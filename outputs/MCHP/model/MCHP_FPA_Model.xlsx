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Sources_Log" sheetId="2" state="visible" r:id="rId4"/>
    <sheet name="Assumptions" sheetId="3" state="visible" r:id="rId5"/>
    <sheet name="Hist_Data" sheetId="4" state="visible" r:id="rId6"/>
    <sheet name="Hist_Analysis" sheetId="5" state="visible" r:id="rId7"/>
    <sheet name="Ops_Model" sheetId="6" state="visible" r:id="rId8"/>
    <sheet name="Revenue" sheetId="7" state="visible" r:id="rId9"/>
    <sheet name="PnL" sheetId="8" state="visible" r:id="rId10"/>
    <sheet name="FCF" sheetId="9" state="visible" r:id="rId11"/>
    <sheet name="Budget" sheetId="10" state="visible" r:id="rId12"/>
    <sheet name="Actuals" sheetId="11" state="visible" r:id="rId13"/>
    <sheet name="Variance" sheetId="12" state="visible" r:id="rId14"/>
    <sheet name="Capex" sheetId="13" state="visible" r:id="rId15"/>
    <sheet name="Dash_Export" sheetId="14" state="visible" r:id="rId16"/>
    <sheet name="Check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<sst xmlns="http://schemas.openxmlformats.org/spreadsheetml/2006/main" count="4308" uniqueCount="1559">
  <si>
    <t xml:space="preserve">Semiconductor FP&amp;A Forecasting and Decision Model</t>
  </si>
  <si>
    <t xml:space="preserve">Fictional Embedded Control Division, modeled on Microchip Technology Inc. (NASDAQ: MCHP)</t>
  </si>
  <si>
    <t xml:space="preserve">Simulated data created for portfolio demonstration. It does not represent nonpublic Microchip Technology information.</t>
  </si>
  <si>
    <t xml:space="preserve">Reported public data comes only from Microchip Technology's SEC filings (see Sources_Log). All division-level operating data is simulated and labeled as such.</t>
  </si>
  <si>
    <t xml:space="preserve">Business question</t>
  </si>
  <si>
    <t xml:space="preserve">How would changes in demand, average selling price, product mix, manufacturing yield, capacity utilization, operating costs and capital spending affect the division's revenue, operating profit and free cash flow?</t>
  </si>
  <si>
    <t xml:space="preserve">Model status</t>
  </si>
  <si>
    <t xml:space="preserve">Built by</t>
  </si>
  <si>
    <t xml:space="preserve">scripts/build_model.py --company MCHP (config: companies/MCHP/config.toml)</t>
  </si>
  <si>
    <t xml:space="preserve">Tab guide</t>
  </si>
  <si>
    <t xml:space="preserve">Cover</t>
  </si>
  <si>
    <t xml:space="preserve">This page</t>
  </si>
  <si>
    <t xml:space="preserve">Sources_Log</t>
  </si>
  <si>
    <t xml:space="preserve">Source register (SEC filings) and assumptions log</t>
  </si>
  <si>
    <t xml:space="preserve">Assumptions</t>
  </si>
  <si>
    <t xml:space="preserve">Scenario selector (one cell), 9 scenario drivers, division &amp; product inputs, seasonality</t>
  </si>
  <si>
    <t xml:space="preserve">Hist_Data</t>
  </si>
  <si>
    <t xml:space="preserve">Reported financials FY2022-FY2026, one source per row (inputs)</t>
  </si>
  <si>
    <t xml:space="preserve">Hist_Analysis</t>
  </si>
  <si>
    <t xml:space="preserve">Growth, margins, segment mix, free cash flow, working capital (formulas)</t>
  </si>
  <si>
    <t xml:space="preserve">Ops_Model</t>
  </si>
  <si>
    <t xml:space="preserve">Product x month operating model: demand, capacity, yield, inventory, revenue, cost, gross profit</t>
  </si>
  <si>
    <t xml:space="preserve">Revenue</t>
  </si>
  <si>
    <t xml:space="preserve">Monthly revenue forecast by product line, mix, quarters, FY vs FY2026 base year</t>
  </si>
  <si>
    <t xml:space="preserve">PnL</t>
  </si>
  <si>
    <t xml:space="preserve">Monthly P&amp;L to net income; EBITDA; FY2026 base-year comparison</t>
  </si>
  <si>
    <t xml:space="preserve">FCF</t>
  </si>
  <si>
    <t xml:space="preserve">Capex and depreciation, working capital, free cash flow</t>
  </si>
  <si>
    <t xml:space="preserve">Budget</t>
  </si>
  <si>
    <t xml:space="preserve">FY2027 budget = Base scenario, locked (does not follow the selector)</t>
  </si>
  <si>
    <t xml:space="preserve">Actuals</t>
  </si>
  <si>
    <t xml:space="preserve">SIMULATED actual results Apr-Aug 2026, same operating logic</t>
  </si>
  <si>
    <t xml:space="preserve">Variance</t>
  </si>
  <si>
    <t xml:space="preserve">YTD budget vs actual: price/volume/mix, operating-profit bridge, reconciliation flags</t>
  </si>
  <si>
    <t xml:space="preserve">Capex</t>
  </si>
  <si>
    <t xml:space="preserve">Hypothetical FPGA automated final-test platform proposal: NPV, IRR, payback, break-even, recommendation by scenario</t>
  </si>
  <si>
    <t xml:space="preserve">Dash_Export</t>
  </si>
  <si>
    <t xml:space="preserve">Tidy tables read by the dashboard export script (live scenario + scenario-independent tables)</t>
  </si>
  <si>
    <t xml:space="preserve">Checks</t>
  </si>
  <si>
    <t xml:space="preserve">Independent checks and hand-calculable unit tests; overall status feeds this cover</t>
  </si>
  <si>
    <t xml:space="preserve">Color legend</t>
  </si>
  <si>
    <t xml:space="preserve">1,234.5</t>
  </si>
  <si>
    <t xml:space="preserve">Blue: hardcoded input (reported value or assumption)</t>
  </si>
  <si>
    <t xml:space="preserve">Black: formula / calculation</t>
  </si>
  <si>
    <t xml:space="preserve">Green: direct link to another tab</t>
  </si>
  <si>
    <t xml:space="preserve">Input</t>
  </si>
  <si>
    <t xml:space="preserve">Yellow fill: key assumption / cell a user may change</t>
  </si>
  <si>
    <t xml:space="preserve">Value classification</t>
  </si>
  <si>
    <t xml:space="preserve">Reported public data - transcribed from an SEC filing (source on every row)</t>
  </si>
  <si>
    <t xml:space="preserve">Calculated value - Excel formula on other cells</t>
  </si>
  <si>
    <t xml:space="preserve">User-provided assumption - logged in Sources_Log with who decided it</t>
  </si>
  <si>
    <t xml:space="preserve">Simulated operational data - labeled with the disclaimer above</t>
  </si>
  <si>
    <t xml:space="preserve">Units &amp; conventions</t>
  </si>
  <si>
    <t xml:space="preserve">USD millions unless noted. Fiscal year ends March 31. Negatives in parentheses. Capex printed negative in Hist_Data, positive in analysis.</t>
  </si>
  <si>
    <t xml:space="preserve">Source Register and Assumptions Log</t>
  </si>
  <si>
    <t xml:space="preserve">Every reported value traces to a source below. Every assumption is logged with who decided it.</t>
  </si>
  <si>
    <t xml:space="preserve">Source register</t>
  </si>
  <si>
    <t xml:space="preserve">ID</t>
  </si>
  <si>
    <t xml:space="preserve">Document</t>
  </si>
  <si>
    <t xml:space="preserve">Accession no.</t>
  </si>
  <si>
    <t xml:space="preserve">Period covered</t>
  </si>
  <si>
    <t xml:space="preserve">URL</t>
  </si>
  <si>
    <t xml:space="preserve">Used for</t>
  </si>
  <si>
    <t xml:space="preserve">Accessed</t>
  </si>
  <si>
    <t xml:space="preserve">S-001</t>
  </si>
  <si>
    <t xml:space="preserve">Form 10-K fiscal 2026</t>
  </si>
  <si>
    <t xml:space="preserve">0000827054-26-000016</t>
  </si>
  <si>
    <t xml:space="preserve">FY2024-FY2026 income &amp; cash flow; FY2025-FY2026 balance sheet; product lines; segments; inventory detail; Item 1 manufacturing facts</t>
  </si>
  <si>
    <t xml:space="preserve">https://www.sec.gov/Archives/edgar/data/827054/000082705426000016/</t>
  </si>
  <si>
    <t xml:space="preserve">Historical analysis; product-mix anchor</t>
  </si>
  <si>
    <t xml:space="preserve">2026-09-22</t>
  </si>
  <si>
    <t xml:space="preserve">S-002</t>
  </si>
  <si>
    <t xml:space="preserve">Form 10-K fiscal 2024</t>
  </si>
  <si>
    <t xml:space="preserve">0000827054-24-000098</t>
  </si>
  <si>
    <t xml:space="preserve">FY2022-FY2024 income &amp; cash flow; FY2023-FY2024 balance sheet; FY2022-FY2024 product lines</t>
  </si>
  <si>
    <t xml:space="preserve">https://www.sec.gov/Archives/edgar/data/827054/000082705424000098/</t>
  </si>
  <si>
    <t xml:space="preserve">Historical analysis; cross-filing check</t>
  </si>
  <si>
    <t xml:space="preserve">S-003</t>
  </si>
  <si>
    <t xml:space="preserve">Form 10-K fiscal 2023</t>
  </si>
  <si>
    <t xml:space="preserve">0000827054-23-000080</t>
  </si>
  <si>
    <t xml:space="preserve">FY2022-FY2023 balance sheet</t>
  </si>
  <si>
    <t xml:space="preserve">https://www.sec.gov/Archives/edgar/data/827054/000082705423000080/</t>
  </si>
  <si>
    <t xml:space="preserve">FY2022 opening working capital; cross-filing check</t>
  </si>
  <si>
    <t xml:space="preserve">S-004</t>
  </si>
  <si>
    <t xml:space="preserve">Form 10-Q Q1 fiscal 2027</t>
  </si>
  <si>
    <t xml:space="preserve">0000827054-26-000038</t>
  </si>
  <si>
    <t xml:space="preserve">Quarter ended 2026-06-30 net sales by product line</t>
  </si>
  <si>
    <t xml:space="preserve">https://ir.microchip.com/sec-filings/all-sec-filings/content/0000827054-26-000038/mchp-20260630.htm</t>
  </si>
  <si>
    <t xml:space="preserve">Context for FY2027 forecast</t>
  </si>
  <si>
    <t xml:space="preserve">S-005</t>
  </si>
  <si>
    <t xml:space="preserve">Q4 &amp; FY2026 earnings release (Exhibit 99.1)</t>
  </si>
  <si>
    <t xml:space="preserve">0000827054-26-000012</t>
  </si>
  <si>
    <t xml:space="preserve">Q4 FY2026 commentary: factory utilization outlook; inventory days; Fab 2 restructuring</t>
  </si>
  <si>
    <t xml:space="preserve">https://www.sec.gov/Archives/edgar/data/827054/000082705426000012/exhibit991q4fy26.htm</t>
  </si>
  <si>
    <t xml:space="preserve">Narrative context only (no values used in model yet)</t>
  </si>
  <si>
    <t xml:space="preserve">Assumptions log</t>
  </si>
  <si>
    <t xml:space="preserve">Area</t>
  </si>
  <si>
    <t xml:space="preserve">Assumption</t>
  </si>
  <si>
    <t xml:space="preserve">Value</t>
  </si>
  <si>
    <t xml:space="preserve">Rationale</t>
  </si>
  <si>
    <t xml:space="preserve">Classification</t>
  </si>
  <si>
    <t xml:space="preserve">Decided by</t>
  </si>
  <si>
    <t xml:space="preserve">Status</t>
  </si>
  <si>
    <t xml:space="preserve">A-001</t>
  </si>
  <si>
    <t xml:space="preserve">Scope</t>
  </si>
  <si>
    <t xml:space="preserve">Public company used for historical data</t>
  </si>
  <si>
    <t xml:space="preserve">Microchip Technology Inc (NASDAQ: MCHP)</t>
  </si>
  <si>
    <t xml:space="preserve">Owns wafer fabs and internal test/assembly; many MCUs are Arm-based; files 10-K/10-Q with the SEC</t>
  </si>
  <si>
    <t xml:space="preserve">User-provided assumption</t>
  </si>
  <si>
    <t xml:space="preserve">User</t>
  </si>
  <si>
    <t xml:space="preserve">Final</t>
  </si>
  <si>
    <t xml:space="preserve">A-002</t>
  </si>
  <si>
    <t xml:space="preserve">Historical window</t>
  </si>
  <si>
    <t xml:space="preserve">FY2022-FY2026 (fiscal years ending March 31)</t>
  </si>
  <si>
    <t xml:space="preserve">Five years covers the FY2023 peak and the FY2024-FY2025 downturn</t>
  </si>
  <si>
    <t xml:space="preserve">Claude (delegated by user)</t>
  </si>
  <si>
    <t xml:space="preserve">A-003</t>
  </si>
  <si>
    <t xml:space="preserve">Timing</t>
  </si>
  <si>
    <t xml:space="preserve">Forecast period</t>
  </si>
  <si>
    <t xml:space="preserve">FY2027 monthly: Apr-2026 to Mar-2027 (12 months)</t>
  </si>
  <si>
    <t xml:space="preserve">Matches Microchip's current fiscal year; lets the budget-vs-actual comparison use a realistic year-to-date</t>
  </si>
  <si>
    <t xml:space="preserve">A-004</t>
  </si>
  <si>
    <t xml:space="preserve">Actuals vs forecast split</t>
  </si>
  <si>
    <t xml:space="preserve">Apr-2026 to Aug-2026 = simulated actuals (5 months YTD); Sep-2026 to Mar-2027 = forecast</t>
  </si>
  <si>
    <t xml:space="preserve">As of 22-Sep-2026 the August close would be complete; September would not</t>
  </si>
  <si>
    <t xml:space="preserve">A-005</t>
  </si>
  <si>
    <t xml:space="preserve">Month convention</t>
  </si>
  <si>
    <t xml:space="preserve">Calendar months (Microchip's own fiscal calendar is not replicated)</t>
  </si>
  <si>
    <t xml:space="preserve">Simpler and auditable; stated in methodology</t>
  </si>
  <si>
    <t xml:space="preserve">A-006</t>
  </si>
  <si>
    <t xml:space="preserve">Division</t>
  </si>
  <si>
    <t xml:space="preserve">Fictional division</t>
  </si>
  <si>
    <t xml:space="preserve">"Embedded Control Division" - fictional division modeled on Microchip's business</t>
  </si>
  <si>
    <t xml:space="preserve">Project requires a fictional division with three product categories</t>
  </si>
  <si>
    <t xml:space="preserve">A-007</t>
  </si>
  <si>
    <t xml:space="preserve">Division base-year (FY2026) revenue</t>
  </si>
  <si>
    <t xml:space="preserve">$1,000.0M</t>
  </si>
  <si>
    <t xml:space="preserve">Round number; about 21% of Microchip FY2026 net sales so it is plausibly one division</t>
  </si>
  <si>
    <t xml:space="preserve">A-008</t>
  </si>
  <si>
    <t xml:space="preserve">Product categories</t>
  </si>
  <si>
    <t xml:space="preserve">1) Mixed-signal microcontrollers  2) Analog &amp; power management  3) FPGAs</t>
  </si>
  <si>
    <t xml:space="preserve">Mirror Microchip's reported product lines. FPGAs are part of Microchip's reported 'Other' line and are NOT reported separately</t>
  </si>
  <si>
    <t xml:space="preserve">A-009</t>
  </si>
  <si>
    <t xml:space="preserve">Base-year product mix</t>
  </si>
  <si>
    <t xml:space="preserve">MCU 49.9756% / Analog &amp; power 28.1980% / FPGA 21.8264%</t>
  </si>
  <si>
    <t xml:space="preserve">Microchip FY2026 reported product-line sales / FY2026 net sales (S-001). FPGA share uses the whole 'Other' line as a stand-in</t>
  </si>
  <si>
    <t xml:space="preserve">Calculated value</t>
  </si>
  <si>
    <t xml:space="preserve">A-010</t>
  </si>
  <si>
    <t xml:space="preserve">Labeling</t>
  </si>
  <si>
    <t xml:space="preserve">Simulated-data disclaimer</t>
  </si>
  <si>
    <t xml:space="preserve">Project data rules</t>
  </si>
  <si>
    <t xml:space="preserve">A-011</t>
  </si>
  <si>
    <t xml:space="preserve">Dashboard</t>
  </si>
  <si>
    <t xml:space="preserve">Dashboard technology</t>
  </si>
  <si>
    <t xml:space="preserve">Custom static web dashboard (HTML/JS) reading JSON exported from the Excel model; Excel is the single source of truth</t>
  </si>
  <si>
    <t xml:space="preserve">User wants a modern look instead of Power BI</t>
  </si>
  <si>
    <t xml:space="preserve">A-012</t>
  </si>
  <si>
    <t xml:space="preserve">Sequencing</t>
  </si>
  <si>
    <t xml:space="preserve">Build order</t>
  </si>
  <si>
    <t xml:space="preserve">Excel model first; dashboard in Phase 7</t>
  </si>
  <si>
    <t xml:space="preserve">Dashboard reads model outputs; avoids placeholder data</t>
  </si>
  <si>
    <t xml:space="preserve">A-013</t>
  </si>
  <si>
    <t xml:space="preserve">DAX / Power Query appendix</t>
  </si>
  <si>
    <t xml:space="preserve">Included as docs/powerbi_appendix.md (not run in Power BI)</t>
  </si>
  <si>
    <t xml:space="preserve">Spec asks for DAX measures and Power Query steps</t>
  </si>
  <si>
    <t xml:space="preserve">A-014</t>
  </si>
  <si>
    <t xml:space="preserve">Style mockup before build</t>
  </si>
  <si>
    <t xml:space="preserve">Skipped by default (no answer); full dashboard built directly</t>
  </si>
  <si>
    <t xml:space="preserve">Faster iteration on the live page</t>
  </si>
  <si>
    <t xml:space="preserve">A-015</t>
  </si>
  <si>
    <t xml:space="preserve">Capex project</t>
  </si>
  <si>
    <t xml:space="preserve">Discount rate and capex project specs</t>
  </si>
  <si>
    <t xml:space="preserve">Set in Phase 5 (see A-030 to A-033)</t>
  </si>
  <si>
    <t xml:space="preserve">Scenario drivers incl. tax rate set in Phase 2 (A-020)</t>
  </si>
  <si>
    <t xml:space="preserve">A-016</t>
  </si>
  <si>
    <t xml:space="preserve">Operations</t>
  </si>
  <si>
    <t xml:space="preserve">Definition of capacity</t>
  </si>
  <si>
    <t xml:space="preserve">Capacity = internal final-test capacity (units tested per month); all division units pass through internal final test</t>
  </si>
  <si>
    <t xml:space="preserve">Microchip performs ~69% of test internally (S-001); sets up the Phase 5 test-equipment decision</t>
  </si>
  <si>
    <t xml:space="preserve">A-017</t>
  </si>
  <si>
    <t xml:space="preserve">Base-year product inputs</t>
  </si>
  <si>
    <t xml:space="preserve">ASP $2.00 / $0.80 / $25.00; yield 92% / 94% / 85%; variable cost $0.31 / $0.15 / $4.70 per unit; fixed cost $9.5m / $5.2m / $4.4m per month; capacity 35.0 / 46.0 / 1.30 m units per month (MCU / Analog &amp; power / FPGA)</t>
  </si>
  <si>
    <t xml:space="preserve">Chosen so base-year gross margin (~58%) is close to Microchip's reported FY2026 57.7% and implied utilization (~65-68%) reflects the downturn</t>
  </si>
  <si>
    <t xml:space="preserve">Simulated operational data</t>
  </si>
  <si>
    <t xml:space="preserve">A-018</t>
  </si>
  <si>
    <t xml:space="preserve">Base-year simplification</t>
  </si>
  <si>
    <t xml:space="preserve">Base year FY2026: production = sales (no inventory change); opening FY2027 finished goods = 1.0 month of base-year sales per product</t>
  </si>
  <si>
    <t xml:space="preserve">Keeps the base year auditable</t>
  </si>
  <si>
    <t xml:space="preserve">A-019</t>
  </si>
  <si>
    <t xml:space="preserve">Inventory costing</t>
  </si>
  <si>
    <t xml:space="preserve">Weighted-average cost per available unit; cost of revenue = units sold x average cost</t>
  </si>
  <si>
    <t xml:space="preserve">Absorption costing: unsold production goes to inventory instead of the P&amp;L</t>
  </si>
  <si>
    <t xml:space="preserve">A-020</t>
  </si>
  <si>
    <t xml:space="preserve">Scenarios</t>
  </si>
  <si>
    <t xml:space="preserve">Scenario driver values</t>
  </si>
  <si>
    <t xml:space="preserve">See Assumptions tab section A (9 drivers x Downside/Base/Upside) with rationale per row</t>
  </si>
  <si>
    <t xml:space="preserve">Anchored to Microchip reported history (Assumptions section B)</t>
  </si>
  <si>
    <t xml:space="preserve">A-021</t>
  </si>
  <si>
    <t xml:space="preserve">Product demand differentials</t>
  </si>
  <si>
    <t xml:space="preserve">MCU 0 pts / Analog &amp; power -5 pts / FPGA +5 pts vs division demand growth</t>
  </si>
  <si>
    <t xml:space="preserve">Creates realistic mix shift for the Phase 4 mix variance</t>
  </si>
  <si>
    <t xml:space="preserve">A-022</t>
  </si>
  <si>
    <t xml:space="preserve">Seasonality</t>
  </si>
  <si>
    <t xml:space="preserve">Monthly factors 0.96-1.08 (sum = 12.00); quarter-end pulls and a December dip</t>
  </si>
  <si>
    <t xml:space="preserve">Typical semiconductor shipment pattern</t>
  </si>
  <si>
    <t xml:space="preserve">A-023</t>
  </si>
  <si>
    <t xml:space="preserve">Opex</t>
  </si>
  <si>
    <t xml:space="preserve">Division base-year opex</t>
  </si>
  <si>
    <t xml:space="preserve">R&amp;D $200m (20% of revenue); SG&amp;A $100m (10%)</t>
  </si>
  <si>
    <t xml:space="preserve">Division excludes corporate overhead that sits in Microchip's company-wide ratios (23.0% / 14.3%)</t>
  </si>
  <si>
    <t xml:space="preserve">A-024</t>
  </si>
  <si>
    <t xml:space="preserve">Cash flow</t>
  </si>
  <si>
    <t xml:space="preserve">Working-capital days</t>
  </si>
  <si>
    <t xml:space="preserve">DSO 60 days on revenue; DPO 40 days on variable manufacturing cost; inventory from Ops_Model</t>
  </si>
  <si>
    <t xml:space="preserve">Microchip DSO 55-69 days FY2022-FY2026</t>
  </si>
  <si>
    <t xml:space="preserve">A-025</t>
  </si>
  <si>
    <t xml:space="preserve">Depreciation</t>
  </si>
  <si>
    <t xml:space="preserve">30% of fixed manufacturing cost is depreciation; FY2027 capex depreciated straight-line over 60 months starting the month after spend (in cost of revenue)</t>
  </si>
  <si>
    <t xml:space="preserve">~7% of revenue vs Microchip ~5.5% (D&amp;A less intangibles amortization) in FY2026</t>
  </si>
  <si>
    <t xml:space="preserve">A-026</t>
  </si>
  <si>
    <t xml:space="preserve">P&amp;L</t>
  </si>
  <si>
    <t xml:space="preserve">Division financing and tax</t>
  </si>
  <si>
    <t xml:space="preserve">No division-level interest; tax = scenario rate x pre-tax income each month (tax paid as expensed; loss months give a credit)</t>
  </si>
  <si>
    <t xml:space="preserve">Financing and tax payments are managed at corporate</t>
  </si>
  <si>
    <t xml:space="preserve">A-027</t>
  </si>
  <si>
    <t xml:space="preserve">FY2027 budget definition</t>
  </si>
  <si>
    <t xml:space="preserve">Budget = Base scenario computed from the Base column of Assumptions (locked; independent of the selector)</t>
  </si>
  <si>
    <t xml:space="preserve">A budget is set once and does not move with forecast scenarios</t>
  </si>
  <si>
    <t xml:space="preserve">A-028</t>
  </si>
  <si>
    <t xml:space="preserve">Simulated actual inputs Apr-Aug 2026</t>
  </si>
  <si>
    <t xml:space="preserve">Demand vs budget +4% / -6% / +12%; ASP vs base year -2.0% / -0.5% / +2.0%; yield 92.5% / 93.5% / 82.0%; utilization 82% / 76% / 88%; variable cost +4.5% / +4.0% / +6.0%; fixed cost $9.6m / $5.1m / $4.6m per month (MCU / Analog / FPGA); R&amp;D $18.0m and SG&amp;A $8.4m per month; capex 2.6% of revenue; monthly demand noise 0.99-1.02</t>
  </si>
  <si>
    <t xml:space="preserve">Designed to show a realistic mix of favorable and unfavorable variances incl. an FPGA yield problem</t>
  </si>
  <si>
    <t xml:space="preserve">A-029</t>
  </si>
  <si>
    <t xml:space="preserve">Variance method</t>
  </si>
  <si>
    <t xml:space="preserve">Price = Ua x (ASPa - ASPb); volume = change in total units x budget average price; mix = change in mix x total Ua x ASPb; profit bridge uses budget gross profit per unit; material, yield, fixed spending and absorption/inventory computed from production data</t>
  </si>
  <si>
    <t xml:space="preserve">Standard FP&amp;A decomposition; volume and mix use units summed across product lines</t>
  </si>
  <si>
    <t xml:space="preserve">A-030</t>
  </si>
  <si>
    <t xml:space="preserve">Hypothetical proposal</t>
  </si>
  <si>
    <t xml:space="preserve">FPGA automated final-test platform: $24.0m equipment + $3.0m installation; +0.30m units/month test capacity; +3 pts FPGA yield; $1.5m/yr operating savings; $1.2m/yr maintenance; 6-year life, no salvage; max practical utilization 90%; FPGA ASP erosion 2%/yr after FY2027</t>
  </si>
  <si>
    <t xml:space="preserve">Targets the FPGA yield and capacity constraint visible in the operating model and variance analysis</t>
  </si>
  <si>
    <t xml:space="preserve">A-031</t>
  </si>
  <si>
    <t xml:space="preserve">Discount rate and decision criteria</t>
  </si>
  <si>
    <t xml:space="preserve">Discount rate 9%; approve criteria per scenario: NPV &gt; 0, IRR &gt;= 11% hurdle, payback &lt;= 4.0 years. Rule: reject if Base fails; approve outright only if Downside also passes; otherwise approve with a demand checkpoint</t>
  </si>
  <si>
    <t xml:space="preserve">Microchip does not report a WACC; 8-11% is a common semiconductor range</t>
  </si>
  <si>
    <t xml:space="preserve">A-032</t>
  </si>
  <si>
    <t xml:space="preserve">Scenario FPGA demand growth after FY2027</t>
  </si>
  <si>
    <t xml:space="preserve">2% / 6% / 10% per year (Downside / Base / Upside)</t>
  </si>
  <si>
    <t xml:space="preserve">Project is judged over FY2028-FY2033 (Years 1-6)</t>
  </si>
  <si>
    <t xml:space="preserve">A-033</t>
  </si>
  <si>
    <t xml:space="preserve">Break-even utilization definition</t>
  </si>
  <si>
    <t xml:space="preserve">Average share of the ADDED test capacity that must be sold for NPV = 0 (NPV is linear in incremental units)</t>
  </si>
  <si>
    <t xml:space="preserve">0% would mean yield and savings alone repay the investment</t>
  </si>
  <si>
    <t xml:space="preserve">A-034</t>
  </si>
  <si>
    <t xml:space="preserve">Dashboard data</t>
  </si>
  <si>
    <t xml:space="preserve">Full-year outlook</t>
  </si>
  <si>
    <t xml:space="preserve">Outlook = simulated actuals Apr-Aug + active-scenario forecast Sep-Mar; forecast months are not re-based on actual Aug inventory</t>
  </si>
  <si>
    <t xml:space="preserve">Keeps one forecast engine; the simplification is labeled in the export metadata</t>
  </si>
  <si>
    <t xml:space="preserve">A-035</t>
  </si>
  <si>
    <t xml:space="preserve">Export method</t>
  </si>
  <si>
    <t xml:space="preserve">export_dashboard_data.py switches the single selector to each scenario</t>
  </si>
  <si>
    <t xml:space="preserve"> reads Dash_Export and writes dashboard/data.json; scenario-independent tables (budget</t>
  </si>
  <si>
    <t xml:space="preserve"> recalculates</t>
  </si>
  <si>
    <t xml:space="preserve"> actuals</t>
  </si>
  <si>
    <t xml:space="preserve"> variance</t>
  </si>
  <si>
    <t xml:space="preserve">A-036</t>
  </si>
  <si>
    <t xml:space="preserve">Dashboard design and data rule</t>
  </si>
  <si>
    <t xml:space="preserve">Self-contained web page (dashboard/index.html) with data embedded at build; pages: Executive overview, Semiconductor operations, Budget vs actual, Scenario planning, Capital allocation, Validation. The page performs no financial logic beyond summing exported records; headline totals are recomputed from records and checked against Excel control totals</t>
  </si>
  <si>
    <t xml:space="preserve">User asked for a custom dashboard instead of Power BI</t>
  </si>
  <si>
    <t xml:space="preserve">A-037</t>
  </si>
  <si>
    <t xml:space="preserve">Risk bins on the demand/capacity heat map</t>
  </si>
  <si>
    <t xml:space="preserve">OK &lt; 0.85; TIGHT 0.85-1.00; SHORT &gt;= 1.00 (demand / good-unit capacity at full load)</t>
  </si>
  <si>
    <t xml:space="preserve">Test-floor vocabulary; thresholds adjustable in dashboard/template.html (binOf)</t>
  </si>
  <si>
    <t xml:space="preserve">Assumptions and Scenario Controls</t>
  </si>
  <si>
    <t xml:space="preserve">Change ONLY the yellow selector (C6) to switch scenario. Blue = input. Every forecast tab reads the Live column.</t>
  </si>
  <si>
    <t xml:space="preserve">ACTIVE SCENARIO  (choose Downside / Base / Upside)</t>
  </si>
  <si>
    <t xml:space="preserve">Base</t>
  </si>
  <si>
    <t xml:space="preserve">&lt;- scenario index (1 = Downside, 2 = Base, 3 = Upside)</t>
  </si>
  <si>
    <t xml:space="preserve">A. Scenario drivers (FY2027 vs FY2026 base year)</t>
  </si>
  <si>
    <t xml:space="preserve">Driver</t>
  </si>
  <si>
    <t xml:space="preserve">Units</t>
  </si>
  <si>
    <t xml:space="preserve">Downside</t>
  </si>
  <si>
    <t xml:space="preserve">Upside</t>
  </si>
  <si>
    <t xml:space="preserve">LIVE</t>
  </si>
  <si>
    <t xml:space="preserve">Rationale / reference</t>
  </si>
  <si>
    <t xml:space="preserve">Customer demand growth</t>
  </si>
  <si>
    <t xml:space="preserve">%</t>
  </si>
  <si>
    <t xml:space="preserve">Microchip Q1 FY2027 sales +38% YoY and Q1 run-rate +26% vs FY2026 (section B). Base takes a more cautious +20%.</t>
  </si>
  <si>
    <t xml:space="preserve">Average selling price change</t>
  </si>
  <si>
    <t xml:space="preserve">Mature semiconductor prices usually drift down slowly; downside = price competition as inventory clears.</t>
  </si>
  <si>
    <t xml:space="preserve">Manufacturing yield change (percentage points vs base-year yield)</t>
  </si>
  <si>
    <t xml:space="preserve">pts</t>
  </si>
  <si>
    <t xml:space="preserve">Applied to each product's base-year final-test yield (section D).</t>
  </si>
  <si>
    <t xml:space="preserve">Capacity utilization (internal final test)</t>
  </si>
  <si>
    <t xml:space="preserve">FY2026 implied ~65% (downturn). Microchip expects 'higher internal factory utilization' (S-005).</t>
  </si>
  <si>
    <t xml:space="preserve">Material-cost inflation (variable cost per unit)</t>
  </si>
  <si>
    <t xml:space="preserve">Wafer, substrate and packaging cost inflation.</t>
  </si>
  <si>
    <t xml:space="preserve">R&amp;D expense growth</t>
  </si>
  <si>
    <t xml:space="preserve">Microchip R&amp;D grew +10.4% in FY2026 (section B). Downside = hiring freeze.</t>
  </si>
  <si>
    <t xml:space="preserve">SG&amp;A expense growth</t>
  </si>
  <si>
    <t xml:space="preserve">Microchip SG&amp;A grew +9.2% in FY2026 (section B).</t>
  </si>
  <si>
    <t xml:space="preserve">Capital expenditures (% of revenue, excl. proposed test-equipment project)</t>
  </si>
  <si>
    <t xml:space="preserve">Microchip capex 1.9% of sales FY2026, 3.7-5.8% FY2022-FY2024 (section B).</t>
  </si>
  <si>
    <t xml:space="preserve">Tax rate</t>
  </si>
  <si>
    <t xml:space="preserve">Microchip effective rate 13-23% in FY2022-FY2026 excl. FY2025 (section B). Downside = US statutory 21%.</t>
  </si>
  <si>
    <t xml:space="preserve">B. Reference points from Microchip Technology's reported history (formulas - context for the drivers above)</t>
  </si>
  <si>
    <t xml:space="preserve">Q1 FY2027 net sales growth vs Q1 FY2026</t>
  </si>
  <si>
    <t xml:space="preserve">Reported public data (Hist tabs)</t>
  </si>
  <si>
    <t xml:space="preserve">Q1 FY2027 sales x 4 vs FY2026 net sales</t>
  </si>
  <si>
    <t xml:space="preserve">Gross margin FY2026 (reported basis)</t>
  </si>
  <si>
    <t xml:space="preserve">Gross margin FY2023 (highest in the history)</t>
  </si>
  <si>
    <t xml:space="preserve">R&amp;D growth FY2026</t>
  </si>
  <si>
    <t xml:space="preserve">SG&amp;A growth FY2026</t>
  </si>
  <si>
    <t xml:space="preserve">Capex % of sales FY2026</t>
  </si>
  <si>
    <t xml:space="preserve">Capex % of sales, average FY2022-FY2026</t>
  </si>
  <si>
    <t xml:space="preserve">Effective tax rate, average FY2022-FY2026 (years shown n.m. excluded)</t>
  </si>
  <si>
    <t xml:space="preserve">Share of test performed internally (FY2026)</t>
  </si>
  <si>
    <t xml:space="preserve">C. Fictional Embedded Control Division - base year FY2026 (Simulated data created for portfolio demonstration. It does not represent nonpublic Microchip Technology information.)</t>
  </si>
  <si>
    <t xml:space="preserve">Division net revenue, FY2026 base year</t>
  </si>
  <si>
    <t xml:space="preserve">$m</t>
  </si>
  <si>
    <t xml:space="preserve">User-provided assumption. ~21% of Microchip Technology FY2026 net sales</t>
  </si>
  <si>
    <t xml:space="preserve">Division R&amp;D expense, FY2026 base year</t>
  </si>
  <si>
    <t xml:space="preserve">20% of revenue. Microchip company-wide 23.0% includes corporate R&amp;D. Used in Phase 3.</t>
  </si>
  <si>
    <t xml:space="preserve">Division SG&amp;A expense, FY2026 base year</t>
  </si>
  <si>
    <t xml:space="preserve">10% of revenue. Microchip company-wide 14.3% includes corporate overhead. Used in Phase 3.</t>
  </si>
  <si>
    <t xml:space="preserve">Forecast start month (first month of FY2027)</t>
  </si>
  <si>
    <t xml:space="preserve">FY2027 = Apr-2026 to Mar-2027, calendar months</t>
  </si>
  <si>
    <t xml:space="preserve">D. Product inputs - base year FY2026 (simulated) and live FY2027 drivers (calculated)</t>
  </si>
  <si>
    <t xml:space="preserve">Mixed-signal MCUs</t>
  </si>
  <si>
    <t xml:space="preserve">Analog &amp; power</t>
  </si>
  <si>
    <t xml:space="preserve">FPGAs</t>
  </si>
  <si>
    <t xml:space="preserve">Notes</t>
  </si>
  <si>
    <t xml:space="preserve">Base-year revenue mix</t>
  </si>
  <si>
    <t xml:space="preserve">Microchip Technology FY2026 reported segment mix. FPGA uses Microchip's whole 'Other' line as a stand-in (FPGAs are not reported separately).</t>
  </si>
  <si>
    <t xml:space="preserve">Base-year revenue</t>
  </si>
  <si>
    <t xml:space="preserve">Division revenue x mix</t>
  </si>
  <si>
    <t xml:space="preserve">Base-year average selling price</t>
  </si>
  <si>
    <t xml:space="preserve">$/unit</t>
  </si>
  <si>
    <t xml:space="preserve">Simulated. Order of magnitude typical for each product type.</t>
  </si>
  <si>
    <t xml:space="preserve">Base-year final-test yield</t>
  </si>
  <si>
    <t xml:space="preserve">Simulated. Good units / units tested. Larger FPGA die -&gt; lower yield.</t>
  </si>
  <si>
    <t xml:space="preserve">Base-year variable cost per unit produced</t>
  </si>
  <si>
    <t xml:space="preserve">Simulated. Wafer, foundry, substrate, package, test consumables per unit started.</t>
  </si>
  <si>
    <t xml:space="preserve">Fixed manufacturing cost per month</t>
  </si>
  <si>
    <t xml:space="preserve">$m/month</t>
  </si>
  <si>
    <t xml:space="preserve">Simulated. Factory overhead, depreciation, fab/test labor. Same in base year and FY2027.</t>
  </si>
  <si>
    <t xml:space="preserve">Internal final-test capacity</t>
  </si>
  <si>
    <t xml:space="preserve">m units/month</t>
  </si>
  <si>
    <t xml:space="preserve">Simulated. Capacity = units the internal test floor can process per month (A-016).</t>
  </si>
  <si>
    <t xml:space="preserve">Product demand growth vs division driver</t>
  </si>
  <si>
    <t xml:space="preserve">Simulated. Keeps mix moving: Microchip Q1 FY2027 growth was Analog +30%, MCU +39%, Other +48%.</t>
  </si>
  <si>
    <t xml:space="preserve">Opening finished-goods inventory (months of base-year sales)</t>
  </si>
  <si>
    <t xml:space="preserve">months</t>
  </si>
  <si>
    <t xml:space="preserve">Simulated opening balance at 1-Apr-2026.</t>
  </si>
  <si>
    <t xml:space="preserve">Base-year FY2026 economics (calculated; assumes production = sales in the base year)</t>
  </si>
  <si>
    <t xml:space="preserve">Units sold</t>
  </si>
  <si>
    <t xml:space="preserve">m units</t>
  </si>
  <si>
    <t xml:space="preserve">Revenue / ASP</t>
  </si>
  <si>
    <t xml:space="preserve">Units produced (tested)</t>
  </si>
  <si>
    <t xml:space="preserve">Units sold / yield (no inventory change in base year)</t>
  </si>
  <si>
    <t xml:space="preserve">Implied capacity utilization</t>
  </si>
  <si>
    <t xml:space="preserve">Units produced / (capacity x 12).</t>
  </si>
  <si>
    <t xml:space="preserve">Variable manufacturing cost</t>
  </si>
  <si>
    <t xml:space="preserve">Units produced x variable cost per unit</t>
  </si>
  <si>
    <t xml:space="preserve">Fixed manufacturing cost</t>
  </si>
  <si>
    <t xml:space="preserve">Monthly fixed cost x 12</t>
  </si>
  <si>
    <t xml:space="preserve">Cost of revenue</t>
  </si>
  <si>
    <t xml:space="preserve">Variable + fixed manufacturing cost</t>
  </si>
  <si>
    <t xml:space="preserve">Gross profit</t>
  </si>
  <si>
    <t xml:space="preserve">Revenue - cost of revenue</t>
  </si>
  <si>
    <t xml:space="preserve">Gross margin</t>
  </si>
  <si>
    <t xml:space="preserve">Calibration: compare with Microchip Technology FY2026 reported gross margin in section B</t>
  </si>
  <si>
    <t xml:space="preserve">Cost per good unit</t>
  </si>
  <si>
    <t xml:space="preserve">Cost of revenue / good units (= units sold in base year). Values the opening inventory.</t>
  </si>
  <si>
    <t xml:space="preserve">Live FY2027 product drivers (calculated from the active scenario)</t>
  </si>
  <si>
    <t xml:space="preserve">FY2027 customer demand</t>
  </si>
  <si>
    <t xml:space="preserve">Base-year units sold x (1 + demand growth + product differential)</t>
  </si>
  <si>
    <t xml:space="preserve">FY2027 average selling price</t>
  </si>
  <si>
    <t xml:space="preserve">Base ASP x (1 + ASP change)</t>
  </si>
  <si>
    <t xml:space="preserve">FY2027 final-test yield</t>
  </si>
  <si>
    <t xml:space="preserve">Base yield + yield change, bounded 0-100%</t>
  </si>
  <si>
    <t xml:space="preserve">FY2027 capacity utilization</t>
  </si>
  <si>
    <t xml:space="preserve">Same scenario utilization for every product line</t>
  </si>
  <si>
    <t xml:space="preserve">FY2027 variable cost per unit produced</t>
  </si>
  <si>
    <t xml:space="preserve">Base variable cost x (1 + material inflation)</t>
  </si>
  <si>
    <t xml:space="preserve">Opening finished-goods inventory (01-Apr-2026)</t>
  </si>
  <si>
    <t xml:space="preserve">Months of inventory x base-year monthly units sold</t>
  </si>
  <si>
    <t xml:space="preserve">Opening finished-goods inventory value</t>
  </si>
  <si>
    <t xml:space="preserve">Opening units x base-year cost per good unit</t>
  </si>
  <si>
    <t xml:space="preserve">E. Monthly demand seasonality (simulated; must sum to 12.00)</t>
  </si>
  <si>
    <t xml:space="preserve">Month</t>
  </si>
  <si>
    <t xml:space="preserve">Sum</t>
  </si>
  <si>
    <t xml:space="preserve">Seasonality factor (1.00 = average month)</t>
  </si>
  <si>
    <t xml:space="preserve">Quarter-end pulls (Jun, Sep, Mar) and a December holiday dip</t>
  </si>
  <si>
    <t xml:space="preserve">F. Live scenario result - FY2027 (from Ops_Model)</t>
  </si>
  <si>
    <t xml:space="preserve">Division revenue</t>
  </si>
  <si>
    <t xml:space="preserve">Growth vs FY2026 base-year revenue</t>
  </si>
  <si>
    <t xml:space="preserve">Revenue at risk from unmet demand</t>
  </si>
  <si>
    <t xml:space="preserve">G. P&amp;L and cash-flow inputs (not scenario-driven)</t>
  </si>
  <si>
    <t xml:space="preserve">Days sales outstanding (DSO)</t>
  </si>
  <si>
    <t xml:space="preserve">days</t>
  </si>
  <si>
    <t xml:space="preserve">Microchip DSO 55-57 days FY2022-FY2025, 69 in FY2026 (reference below). AR = monthly revenue x 12 x DSO / 365</t>
  </si>
  <si>
    <t xml:space="preserve">Days payable outstanding on variable manufacturing cost</t>
  </si>
  <si>
    <t xml:space="preserve">Applied to purchases (variable manufacturing cost). AP = monthly variable cost x 12 x DPO / 365</t>
  </si>
  <si>
    <t xml:space="preserve">Depreciation share of fixed manufacturing cost</t>
  </si>
  <si>
    <t xml:space="preserve">Non-cash part of factory fixed cost. 30% x $229m = ~$69m/yr (~7% of revenue). Reference below</t>
  </si>
  <si>
    <t xml:space="preserve">Useful life of new FY2027 capex</t>
  </si>
  <si>
    <t xml:space="preserve">Straight-line; depreciation starts the month after spend. FY2027 capex depreciation sits in cost of revenue</t>
  </si>
  <si>
    <t xml:space="preserve">Reference: Microchip Technology DSO FY2026</t>
  </si>
  <si>
    <t xml:space="preserve">Reference: Microchip Technology depreciation (D&amp;A less intangibles amortization) % of sales FY2026</t>
  </si>
  <si>
    <t xml:space="preserve">Opening balances at 31-Mar-2026 (calculated from base year)</t>
  </si>
  <si>
    <t xml:space="preserve">Opening accounts receivable</t>
  </si>
  <si>
    <t xml:space="preserve">Base-year revenue x DSO / 365</t>
  </si>
  <si>
    <t xml:space="preserve">Opening finished-goods inventory</t>
  </si>
  <si>
    <t xml:space="preserve">Section D opening inventory value</t>
  </si>
  <si>
    <t xml:space="preserve">Opening accounts payable</t>
  </si>
  <si>
    <t xml:space="preserve">Base-year variable cost x DPO / 365</t>
  </si>
  <si>
    <t xml:space="preserve">Opening operating working capital</t>
  </si>
  <si>
    <t xml:space="preserve">AR + inventory - AP</t>
  </si>
  <si>
    <t xml:space="preserve">H. Live scenario result - FY2027 P&amp;L and cash flow</t>
  </si>
  <si>
    <t xml:space="preserve">Operating profit</t>
  </si>
  <si>
    <t xml:space="preserve">Operating margin</t>
  </si>
  <si>
    <t xml:space="preserve">Net income</t>
  </si>
  <si>
    <t xml:space="preserve">Free cash flow</t>
  </si>
  <si>
    <t xml:space="preserve">FCF margin</t>
  </si>
  <si>
    <t xml:space="preserve">Historical Data - Microchip Technology (reported)</t>
  </si>
  <si>
    <t xml:space="preserve">USD millions unless noted. Fiscal years end March 31. Blue = hardcoded reported value from SEC filing.</t>
  </si>
  <si>
    <t xml:space="preserve">Simulated data created for portfolio demonstration. It does not represent nonpublic Microchip Technology information.  (This tab contains reported public data and calculated values only.)</t>
  </si>
  <si>
    <t xml:space="preserve">Line item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</si>
  <si>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</si>
  <si>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</si>
  <si>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</si>
  <si>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</si>
  <si>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</si>
  <si>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Source (filing, statement page)</t>
  </si>
  <si>
    <t xml:space="preserve">line_id</t>
  </si>
  <si>
    <t xml:space="preserve">Income statement</t>
  </si>
  <si>
    <t xml:space="preserve">Net sales</t>
  </si>
  <si>
    <t xml:space="preserve">Reported public data</t>
  </si>
  <si>
    <t xml:space="preserve">S-002 10-K FY2024 R5.htm; S-001 10-K FY2026 R5.htm</t>
  </si>
  <si>
    <t xml:space="preserve">net_sales</t>
  </si>
  <si>
    <t xml:space="preserve">Cost of sales</t>
  </si>
  <si>
    <t xml:space="preserve">cost_of_sales</t>
  </si>
  <si>
    <t xml:space="preserve">gross_profit</t>
  </si>
  <si>
    <t xml:space="preserve">Research and development</t>
  </si>
  <si>
    <t xml:space="preserve">rd</t>
  </si>
  <si>
    <t xml:space="preserve">Selling, general and administrative</t>
  </si>
  <si>
    <t xml:space="preserve">sga</t>
  </si>
  <si>
    <t xml:space="preserve">Amortization of acquired intangible assets</t>
  </si>
  <si>
    <t xml:space="preserve">other_opex:amortization</t>
  </si>
  <si>
    <t xml:space="preserve">Special charges (income) and other, net</t>
  </si>
  <si>
    <t xml:space="preserve">Printed '(income) charges' in FY2024 10-K; negative = income.</t>
  </si>
  <si>
    <t xml:space="preserve">other_opex:special</t>
  </si>
  <si>
    <t xml:space="preserve">Operating expenses (total)</t>
  </si>
  <si>
    <t xml:space="preserve">total_opex</t>
  </si>
  <si>
    <t xml:space="preserve">Operating income</t>
  </si>
  <si>
    <t xml:space="preserve">operating_income</t>
  </si>
  <si>
    <t xml:space="preserve">Interest income</t>
  </si>
  <si>
    <t xml:space="preserve">nonop:interest_income</t>
  </si>
  <si>
    <t xml:space="preserve">Interest expense</t>
  </si>
  <si>
    <t xml:space="preserve">nonop:interest_expense</t>
  </si>
  <si>
    <t xml:space="preserve">Loss on settlement of debt</t>
  </si>
  <si>
    <t xml:space="preserve">nonop:loss_on_debt</t>
  </si>
  <si>
    <t xml:space="preserve">Other income (loss), net</t>
  </si>
  <si>
    <t xml:space="preserve">nonop:other</t>
  </si>
  <si>
    <t xml:space="preserve">Income before income taxes</t>
  </si>
  <si>
    <t xml:space="preserve">pretax_income</t>
  </si>
  <si>
    <t xml:space="preserve">Income tax provision</t>
  </si>
  <si>
    <t xml:space="preserve">income_tax</t>
  </si>
  <si>
    <t xml:space="preserve">Net income (loss)</t>
  </si>
  <si>
    <t xml:space="preserve">net_income</t>
  </si>
  <si>
    <t xml:space="preserve">Dividends on Series A Preferred Stock</t>
  </si>
  <si>
    <t xml:space="preserve">S-001 10-K FY2026 R5.htm</t>
  </si>
  <si>
    <t xml:space="preserve">memo:preferred_dividends</t>
  </si>
  <si>
    <t xml:space="preserve">Net income (loss) attributable to common stockholders</t>
  </si>
  <si>
    <t xml:space="preserve">memo:net_income_common</t>
  </si>
  <si>
    <t xml:space="preserve">Net sales by reported segment / product line</t>
  </si>
  <si>
    <t xml:space="preserve">Mixed-signal Microcontrollers</t>
  </si>
  <si>
    <t xml:space="preserve">S-002 10-K FY2024 R45.htm; S-001 10-K FY2026 R43.htm</t>
  </si>
  <si>
    <t xml:space="preserve">segment:mixed_signal_microcontrollers</t>
  </si>
  <si>
    <t xml:space="preserve">Analog</t>
  </si>
  <si>
    <t xml:space="preserve">segment:analog</t>
  </si>
  <si>
    <t xml:space="preserve">Other (incl. FPGA, licensing, memory, timing)</t>
  </si>
  <si>
    <t xml:space="preserve">Per 10-K Item 1: FPGA, licensing royalties &amp; IP sales, engineering services, memory, timing systems, manufacturing services, legacy ASICs, aerospace. FPGA not reported separately.</t>
  </si>
  <si>
    <t xml:space="preserve">segment:other</t>
  </si>
  <si>
    <t xml:space="preserve">Other segment disclosures</t>
  </si>
  <si>
    <t xml:space="preserve">Semiconductor products - net sales</t>
  </si>
  <si>
    <t xml:space="preserve">S-001 10-K FY2026 R45.htm</t>
  </si>
  <si>
    <t xml:space="preserve">Segment table first disclosed in this form in S-001 (covers FY2024-FY2026 only).</t>
  </si>
  <si>
    <t xml:space="preserve">segment_info:semis_sales</t>
  </si>
  <si>
    <t xml:space="preserve">Semiconductor products - gross profit</t>
  </si>
  <si>
    <t xml:space="preserve">segment_info:semis_gross_profit</t>
  </si>
  <si>
    <t xml:space="preserve">Technology licensing - net sales</t>
  </si>
  <si>
    <t xml:space="preserve">Technology licensing has no cost of sales in the segment table.</t>
  </si>
  <si>
    <t xml:space="preserve">segment_info:licensing_sales</t>
  </si>
  <si>
    <t xml:space="preserve">Cash flow statement (selected lines)</t>
  </si>
  <si>
    <t xml:space="preserve">S-002 10-K FY2024 R7.htm; S-001 10-K FY2026 R7.htm</t>
  </si>
  <si>
    <t xml:space="preserve">cf:net_income</t>
  </si>
  <si>
    <t xml:space="preserve">Depreciation and amortization</t>
  </si>
  <si>
    <t xml:space="preserve">cf:da</t>
  </si>
  <si>
    <t xml:space="preserve">Share-based compensation expense</t>
  </si>
  <si>
    <t xml:space="preserve">cf:sbc</t>
  </si>
  <si>
    <t xml:space="preserve">(Increase) decrease in accounts receivable</t>
  </si>
  <si>
    <t xml:space="preserve">wc:receivables</t>
  </si>
  <si>
    <t xml:space="preserve">Decrease (increase) in inventories</t>
  </si>
  <si>
    <t xml:space="preserve">wc:inventories</t>
  </si>
  <si>
    <t xml:space="preserve">Increase (decrease) in accounts payable and accrued liabilities</t>
  </si>
  <si>
    <t xml:space="preserve">wc:payables_accrued</t>
  </si>
  <si>
    <t xml:space="preserve">Change in other assets and liabilities</t>
  </si>
  <si>
    <t xml:space="preserve">wc:other</t>
  </si>
  <si>
    <t xml:space="preserve">Change in income tax payable</t>
  </si>
  <si>
    <t xml:space="preserve">wc:income_tax</t>
  </si>
  <si>
    <t xml:space="preserve">Net cash provided by operating activities</t>
  </si>
  <si>
    <t xml:space="preserve">cf:cfo</t>
  </si>
  <si>
    <t xml:space="preserve">Capital expenditures (printed negative)</t>
  </si>
  <si>
    <t xml:space="preserve">Printed as a cash outflow (negative). Analysis converts to positive spend.</t>
  </si>
  <si>
    <t xml:space="preserve">cf:capex</t>
  </si>
  <si>
    <t xml:space="preserve">Net cash used in investing activities</t>
  </si>
  <si>
    <t xml:space="preserve">cf:cfi</t>
  </si>
  <si>
    <t xml:space="preserve">Net cash used in financing activities</t>
  </si>
  <si>
    <t xml:space="preserve">cf:cff</t>
  </si>
  <si>
    <t xml:space="preserve">Payment of cash dividends on common stock</t>
  </si>
  <si>
    <t xml:space="preserve">FY2022-FY2023 printed as 'Payment of cash dividends' (no preferred stock outstanding then).</t>
  </si>
  <si>
    <t xml:space="preserve">cf:dividends</t>
  </si>
  <si>
    <t xml:space="preserve">Cash and cash equivalents, end of period</t>
  </si>
  <si>
    <t xml:space="preserve">cf:cash_end</t>
  </si>
  <si>
    <t xml:space="preserve">Balance sheet (period-end, selected lines)</t>
  </si>
  <si>
    <t xml:space="preserve">Cash and cash equivalents</t>
  </si>
  <si>
    <t xml:space="preserve">S-003 10-K FY2023 R3.htm; S-002 10-K FY2024 R3.htm; S-001 10-K FY2026 R3.htm</t>
  </si>
  <si>
    <t xml:space="preserve">bs:cash</t>
  </si>
  <si>
    <t xml:space="preserve">Accounts receivable, net</t>
  </si>
  <si>
    <t xml:space="preserve">bs:receivables</t>
  </si>
  <si>
    <t xml:space="preserve">Inventories</t>
  </si>
  <si>
    <t xml:space="preserve">Microchip's own reported inventory days use quarterly COGS, so they differ from the annual DIO in Hist_Analysis.</t>
  </si>
  <si>
    <t xml:space="preserve">bs:inventories</t>
  </si>
  <si>
    <t xml:space="preserve">Other current assets</t>
  </si>
  <si>
    <t xml:space="preserve">bs:other_current_assets</t>
  </si>
  <si>
    <t xml:space="preserve">Total current assets</t>
  </si>
  <si>
    <t xml:space="preserve">bs:total_current_assets</t>
  </si>
  <si>
    <t xml:space="preserve">Property, plant and equipment, net</t>
  </si>
  <si>
    <t xml:space="preserve">bs:ppe</t>
  </si>
  <si>
    <t xml:space="preserve">Total assets</t>
  </si>
  <si>
    <t xml:space="preserve">bs:total_assets</t>
  </si>
  <si>
    <t xml:space="preserve">Accounts payable</t>
  </si>
  <si>
    <t xml:space="preserve">bs:payables</t>
  </si>
  <si>
    <t xml:space="preserve">Accrued liabilities</t>
  </si>
  <si>
    <t xml:space="preserve">bs:accrued</t>
  </si>
  <si>
    <t xml:space="preserve">Current portion of long-term debt</t>
  </si>
  <si>
    <t xml:space="preserve">S-003 10-K FY2023 R3.htm; S-002 10-K FY2024 R3.htm</t>
  </si>
  <si>
    <t xml:space="preserve">FY2025-FY2026: no current-debt line presented on the balance sheet (blank, treated as 0 in checks).</t>
  </si>
  <si>
    <t xml:space="preserve">bs:current_debt</t>
  </si>
  <si>
    <t xml:space="preserve">Total current liabilities</t>
  </si>
  <si>
    <t xml:space="preserve">bs:total_current_liabilities</t>
  </si>
  <si>
    <t xml:space="preserve">Long-term debt</t>
  </si>
  <si>
    <t xml:space="preserve">bs:long_term_debt</t>
  </si>
  <si>
    <t xml:space="preserve">Total stockholders' equity</t>
  </si>
  <si>
    <t xml:space="preserve">bs:equity</t>
  </si>
  <si>
    <t xml:space="preserve">Short-term investments</t>
  </si>
  <si>
    <t xml:space="preserve">S-003 10-K FY2023 R3.htm</t>
  </si>
  <si>
    <t xml:space="preserve">Printed only in the FY2023 10-K (FY2022 2.0, FY2023 0.0); blank = not presented, treated as 0.</t>
  </si>
  <si>
    <t xml:space="preserve">bs:st_investments</t>
  </si>
  <si>
    <t xml:space="preserve">Inventory detail</t>
  </si>
  <si>
    <t xml:space="preserve">Raw materials</t>
  </si>
  <si>
    <t xml:space="preserve">S-001 10-K FY2026 R68.htm</t>
  </si>
  <si>
    <t xml:space="preserve">inv:raw_materials</t>
  </si>
  <si>
    <t xml:space="preserve">Work in process</t>
  </si>
  <si>
    <t xml:space="preserve">inv:work_in_process</t>
  </si>
  <si>
    <t xml:space="preserve">Finished goods</t>
  </si>
  <si>
    <t xml:space="preserve">inv:finished_goods</t>
  </si>
  <si>
    <t xml:space="preserve">Quarterly context - first fiscal quarter (April-June)</t>
  </si>
  <si>
    <t xml:space="preserve">Q1 FY2026</t>
  </si>
  <si>
    <t xml:space="preserve">Q1 FY2027</t>
  </si>
  <si>
    <t xml:space="preserve">Source</t>
  </si>
  <si>
    <t xml:space="preserve">S-004 10-Q Q1 FY2027 mchp-20260630.htm</t>
  </si>
  <si>
    <t xml:space="preserve">Q1 FY2026 = prior-year comparative column</t>
  </si>
  <si>
    <t xml:space="preserve">Operating facts stated in the FY2026 annual report (approximate, as stated)</t>
  </si>
  <si>
    <t xml:space="preserve">Share of sales from products made in own wafer fabs</t>
  </si>
  <si>
    <t xml:space="preserve">S-001 10-K FY2026 (annual report, Item 1)</t>
  </si>
  <si>
    <t xml:space="preserve">Percent, not USD millions. Approximate figures as stated ('approximately').</t>
  </si>
  <si>
    <t xml:space="preserve">fact:own_fab_share</t>
  </si>
  <si>
    <t xml:space="preserve">Share of sales from products made at outside foundries</t>
  </si>
  <si>
    <t xml:space="preserve">fact:foundry_share</t>
  </si>
  <si>
    <t xml:space="preserve">Share of assembly performed internally</t>
  </si>
  <si>
    <t xml:space="preserve">fact:internal_assembly_share</t>
  </si>
  <si>
    <t xml:space="preserve">Share of test performed internally</t>
  </si>
  <si>
    <t xml:space="preserve">fact:internal_test_share</t>
  </si>
  <si>
    <t xml:space="preserve">Historical Financial Analysis - Microchip Technology</t>
  </si>
  <si>
    <t xml:space="preserve">All figures are formulas on Hist_Data. Green = direct link to Hist_Data; black = calculation.</t>
  </si>
  <si>
    <t xml:space="preserve">Metric</t>
  </si>
  <si>
    <t xml:space="preserve">Formula / definition</t>
  </si>
  <si>
    <t xml:space="preserve">Growth and profitability</t>
  </si>
  <si>
    <t xml:space="preserve">Link: Hist_Data net sales</t>
  </si>
  <si>
    <t xml:space="preserve">Net sales growth</t>
  </si>
  <si>
    <t xml:space="preserve">n/a</t>
  </si>
  <si>
    <t xml:space="preserve">Net sales / prior-year net sales - 1</t>
  </si>
  <si>
    <t xml:space="preserve">Gross profit / net sales</t>
  </si>
  <si>
    <t xml:space="preserve">R&amp;D % of sales</t>
  </si>
  <si>
    <t xml:space="preserve">Research and development / net sales</t>
  </si>
  <si>
    <t xml:space="preserve">SG&amp;A % of sales</t>
  </si>
  <si>
    <t xml:space="preserve">SG&amp;A / net sales</t>
  </si>
  <si>
    <t xml:space="preserve">Operating margin (GAAP)</t>
  </si>
  <si>
    <t xml:space="preserve">Operating income / net sales</t>
  </si>
  <si>
    <t xml:space="preserve">Other operating items (sum of reported components)</t>
  </si>
  <si>
    <t xml:space="preserve">Sum of: amortization of acquired intangible assets, special charges (income) and other, net</t>
  </si>
  <si>
    <t xml:space="preserve">Operating income before other operating items</t>
  </si>
  <si>
    <t xml:space="preserve">Operating income + other operating items (amortization of acquired intangible assets, special charges (income) and other, net). Analyst calculation - NOT Microchip Technology's reported non-GAAP measure.</t>
  </si>
  <si>
    <t xml:space="preserve">Margin before other operating items</t>
  </si>
  <si>
    <t xml:space="preserve">Row above / net sales. Closest proxy for a product division's operating margin.</t>
  </si>
  <si>
    <t xml:space="preserve">Net margin</t>
  </si>
  <si>
    <t xml:space="preserve">Net income / net sales</t>
  </si>
  <si>
    <t xml:space="preserve">Effective tax rate</t>
  </si>
  <si>
    <t xml:space="preserve">Income tax / income before taxes. Shows n.m. (not meaningful) when pre-tax income is under 2% of sales.</t>
  </si>
  <si>
    <t xml:space="preserve">Incremental gross margin (change in GP / change in sales)</t>
  </si>
  <si>
    <t xml:space="preserve">Shows operating leverage: how much gross profit moved per $1 of sales change (fixed-cost absorption)</t>
  </si>
  <si>
    <t xml:space="preserve">Reported segment / product-line mix and growth</t>
  </si>
  <si>
    <t xml:space="preserve">Mixed-signal Microcontrollers - share of net sales</t>
  </si>
  <si>
    <t xml:space="preserve">Mixed-signal Microcontrollers sales / net sales</t>
  </si>
  <si>
    <t xml:space="preserve">Analog - share of net sales</t>
  </si>
  <si>
    <t xml:space="preserve">Analog sales / net sales</t>
  </si>
  <si>
    <t xml:space="preserve">Other (incl. FPGA, licensing, memory, timing) - share of net sales</t>
  </si>
  <si>
    <t xml:space="preserve">Other (incl. FPGA, licensing, memory, timing) sales / net sales</t>
  </si>
  <si>
    <t xml:space="preserve">Mix total (must equal 100%)</t>
  </si>
  <si>
    <t xml:space="preserve">Sum of the segment shares</t>
  </si>
  <si>
    <t xml:space="preserve">Mixed-signal Microcontrollers - growth</t>
  </si>
  <si>
    <t xml:space="preserve">Mixed-signal Microcontrollers sales / prior year - 1</t>
  </si>
  <si>
    <t xml:space="preserve">Analog - growth</t>
  </si>
  <si>
    <t xml:space="preserve">Analog sales / prior year - 1</t>
  </si>
  <si>
    <t xml:space="preserve">Other (incl. FPGA, licensing, memory, timing) - growth</t>
  </si>
  <si>
    <t xml:space="preserve">Other (incl. FPGA, licensing, memory, timing) sales / prior year - 1</t>
  </si>
  <si>
    <t xml:space="preserve">Cash flow and free cash flow (project definition)</t>
  </si>
  <si>
    <t xml:space="preserve">Link: Hist_Data net income</t>
  </si>
  <si>
    <t xml:space="preserve">Link: Hist_Data D&amp;A (cash flow statement)</t>
  </si>
  <si>
    <t xml:space="preserve">Capital expenditures (positive = spend)</t>
  </si>
  <si>
    <t xml:space="preserve">Negative of capex as printed. Cash-flow statement prints capex negative.</t>
  </si>
  <si>
    <t xml:space="preserve">Increase in working capital</t>
  </si>
  <si>
    <t xml:space="preserve">Negative of the sum of the 5 cash-flow working-capital lines. Positive = cash absorbed by working capital.</t>
  </si>
  <si>
    <t xml:space="preserve">Free cash flow (project definition)</t>
  </si>
  <si>
    <t xml:space="preserve">Net income + D&amp;A - capex - increase in working capital (project formula)</t>
  </si>
  <si>
    <t xml:space="preserve">Other non-cash items in CFO (SBC, deferred tax, other)</t>
  </si>
  <si>
    <t xml:space="preserve">CFO - net income - D&amp;A + increase in WC. Explains the gap to the CFO-based FCF below.</t>
  </si>
  <si>
    <t xml:space="preserve">Free cash flow (CFO - capex, common market definition)</t>
  </si>
  <si>
    <t xml:space="preserve">Net cash from operations - capex. Reconciles to project FCF + other non-cash items (see Checks).</t>
  </si>
  <si>
    <t xml:space="preserve">FCF margin (project definition)</t>
  </si>
  <si>
    <t xml:space="preserve">Project FCF / net sales</t>
  </si>
  <si>
    <t xml:space="preserve">FCF conversion (project FCF / net income)</t>
  </si>
  <si>
    <t xml:space="preserve">x</t>
  </si>
  <si>
    <t xml:space="preserve">Project FCF / net income. Shows n.m. when net income is under 2% of sales.</t>
  </si>
  <si>
    <t xml:space="preserve">Capex % of sales</t>
  </si>
  <si>
    <t xml:space="preserve">Capex / net sales - anchor for the forecast capex assumption</t>
  </si>
  <si>
    <t xml:space="preserve">D&amp;A % of sales</t>
  </si>
  <si>
    <t xml:space="preserve">D&amp;A / net sales</t>
  </si>
  <si>
    <t xml:space="preserve">Share-based compensation % of sales</t>
  </si>
  <si>
    <t xml:space="preserve">SBC / net sales</t>
  </si>
  <si>
    <t xml:space="preserve">Capex / depreciation &amp; amortization</t>
  </si>
  <si>
    <t xml:space="preserve">&lt;1.0x means spending less than D&amp;A (asset base shrinking or amortization-heavy D&amp;A)</t>
  </si>
  <si>
    <t xml:space="preserve">Working capital and asset efficiency (year-end balances)</t>
  </si>
  <si>
    <t xml:space="preserve">Accounts receivable / net sales x 365</t>
  </si>
  <si>
    <t xml:space="preserve">Days inventory outstanding (DIO)</t>
  </si>
  <si>
    <t xml:space="preserve">Inventories / annual cost of sales x 365 (company-reported days often use quarterly COGS, so they can differ).</t>
  </si>
  <si>
    <t xml:space="preserve">Days payable outstanding (DPO)</t>
  </si>
  <si>
    <t xml:space="preserve">Accounts payable / cost of sales x 365</t>
  </si>
  <si>
    <t xml:space="preserve">Cash conversion cycle</t>
  </si>
  <si>
    <t xml:space="preserve">DSO + DIO - DPO</t>
  </si>
  <si>
    <t xml:space="preserve">Operating working capital</t>
  </si>
  <si>
    <t xml:space="preserve">AR + inventories + other current assets - AP - accrued liabilities (excludes cash and debt)</t>
  </si>
  <si>
    <t xml:space="preserve">Operating working capital % of sales</t>
  </si>
  <si>
    <t xml:space="preserve">Anchor for the forecast working-capital assumption</t>
  </si>
  <si>
    <t xml:space="preserve">Net sales / net PP&amp;E</t>
  </si>
  <si>
    <t xml:space="preserve">Fixed-asset turnover</t>
  </si>
  <si>
    <t xml:space="preserve">Quarterly context (first fiscal quarter (April-June))</t>
  </si>
  <si>
    <t xml:space="preserve">YoY growth</t>
  </si>
  <si>
    <t xml:space="preserve">Q1 FY2027 / Q1 FY2026 - 1. Context for the FY2027 demand-growth assumption.</t>
  </si>
  <si>
    <t xml:space="preserve">Analyst observations (each refers to a metric above; numbers quoted are formula results)</t>
  </si>
  <si>
    <t xml:space="preserve">Cycle</t>
  </si>
  <si>
    <t xml:space="preserve">Operating leverage</t>
  </si>
  <si>
    <t xml:space="preserve">Inventory</t>
  </si>
  <si>
    <t xml:space="preserve">Latest quarter</t>
  </si>
  <si>
    <t xml:space="preserve">Product Operating Model - FY2027 monthly (active scenario)</t>
  </si>
  <si>
    <t xml:space="preserve">Units in millions, money in $m, prices in $/unit. Every row traces to Assumptions. Black = formula.</t>
  </si>
  <si>
    <t xml:space="preserve">Scenario shown:</t>
  </si>
  <si>
    <t xml:space="preserve">FY2027</t>
  </si>
  <si>
    <t xml:space="preserve">Formula</t>
  </si>
  <si>
    <t xml:space="preserve">Mixed-signal microcontrollers  -  Simulated data created for portfolio demonstration. It does not represent nonpublic Microchip Technology information.</t>
  </si>
  <si>
    <t xml:space="preserve">Seasonality factor</t>
  </si>
  <si>
    <t xml:space="preserve">Calculated value (simulated inputs)</t>
  </si>
  <si>
    <t xml:space="preserve">Link: Assumptions section E</t>
  </si>
  <si>
    <t xml:space="preserve">Customer demand</t>
  </si>
  <si>
    <t xml:space="preserve">FY2027 demand x seasonality / 12</t>
  </si>
  <si>
    <t xml:space="preserve">Monthly capacity (Assumptions D)</t>
  </si>
  <si>
    <t xml:space="preserve">Capacity utilization</t>
  </si>
  <si>
    <t xml:space="preserve">Scenario utilization. FY = units produced / capacity</t>
  </si>
  <si>
    <t xml:space="preserve">Capacity x utilization</t>
  </si>
  <si>
    <t xml:space="preserve">Manufacturing yield (final test)</t>
  </si>
  <si>
    <t xml:space="preserve">Scenario yield. FY = good units / units produced</t>
  </si>
  <si>
    <t xml:space="preserve">Good units produced</t>
  </si>
  <si>
    <t xml:space="preserve">Units produced x yield</t>
  </si>
  <si>
    <t xml:space="preserve">First month: Assumptions opening balance; then prior month's closing</t>
  </si>
  <si>
    <t xml:space="preserve">Available good units</t>
  </si>
  <si>
    <t xml:space="preserve">Opening inventory + good units produced</t>
  </si>
  <si>
    <t xml:space="preserve">MIN(customer demand, available good units)</t>
  </si>
  <si>
    <t xml:space="preserve">Closing finished-goods inventory</t>
  </si>
  <si>
    <t xml:space="preserve">Available - units sold</t>
  </si>
  <si>
    <t xml:space="preserve">Unmet demand (supply shortfall)</t>
  </si>
  <si>
    <t xml:space="preserve">Demand - units sold. &gt;0 means lost or delayed sales</t>
  </si>
  <si>
    <t xml:space="preserve">Demand / good-unit capacity (risk ratio)</t>
  </si>
  <si>
    <t xml:space="preserve">Demand / (capacity x yield) = share of full-load good output needed. Feeds the risk heat map</t>
  </si>
  <si>
    <t xml:space="preserve">Average selling price</t>
  </si>
  <si>
    <t xml:space="preserve">Scenario ASP. FY = revenue / units sold</t>
  </si>
  <si>
    <t xml:space="preserve">Units sold x ASP</t>
  </si>
  <si>
    <t xml:space="preserve">Variable cost per unit produced</t>
  </si>
  <si>
    <t xml:space="preserve">Scenario variable cost per unit</t>
  </si>
  <si>
    <t xml:space="preserve">Monthly fixed cost (Assumptions D)</t>
  </si>
  <si>
    <t xml:space="preserve">Total manufacturing cost</t>
  </si>
  <si>
    <t xml:space="preserve">Total manufacturing cost / good units. Rises when yield or utilization falls</t>
  </si>
  <si>
    <t xml:space="preserve">Opening inventory value</t>
  </si>
  <si>
    <t xml:space="preserve">Prior month's closing value</t>
  </si>
  <si>
    <t xml:space="preserve">Average cost per available unit</t>
  </si>
  <si>
    <t xml:space="preserve">(Opening value + manufacturing cost) / available units - weighted-average costing</t>
  </si>
  <si>
    <t xml:space="preserve">Units sold x average cost</t>
  </si>
  <si>
    <t xml:space="preserve">Closing inventory value</t>
  </si>
  <si>
    <t xml:space="preserve">Opening value + manufacturing cost - cost of revenue</t>
  </si>
  <si>
    <t xml:space="preserve">Contribution margin</t>
  </si>
  <si>
    <t xml:space="preserve">Revenue - units sold x variable cost per good unit (variable cost / yield)</t>
  </si>
  <si>
    <t xml:space="preserve">Contribution margin %</t>
  </si>
  <si>
    <t xml:space="preserve">Contribution margin / revenue</t>
  </si>
  <si>
    <t xml:space="preserve">Gross margin %</t>
  </si>
  <si>
    <t xml:space="preserve">Gross profit / revenue</t>
  </si>
  <si>
    <t xml:space="preserve">Analog &amp; power management  -  Simulated data created for portfolio demonstration. It does not represent nonpublic Microchip Technology information.</t>
  </si>
  <si>
    <t xml:space="preserve">FPGAs  -  Simulated data created for portfolio demonstration. It does not represent nonpublic Microchip Technology information.</t>
  </si>
  <si>
    <t xml:space="preserve">Division total  -  Simulated data created for portfolio demonstration. It does not represent nonpublic Microchip Technology information.</t>
  </si>
  <si>
    <t xml:space="preserve">Sum of the three product lines</t>
  </si>
  <si>
    <t xml:space="preserve">Closing finished-goods inventory value</t>
  </si>
  <si>
    <t xml:space="preserve">Sum of product closing values. Feeds working capital in Phase 3</t>
  </si>
  <si>
    <t xml:space="preserve">Unmet units x ASP, summed across products</t>
  </si>
  <si>
    <t xml:space="preserve">Monthly Revenue Forecast - FY2027 (active scenario)</t>
  </si>
  <si>
    <t xml:space="preserve">Revenue by product line, units in millions, $m. Simulated data created for portfolio demonstration. It does not represent nonpublic Microchip Technology information.</t>
  </si>
  <si>
    <t xml:space="preserve">Q1 FY27</t>
  </si>
  <si>
    <t xml:space="preserve">Q2 FY27</t>
  </si>
  <si>
    <t xml:space="preserve">Q3 FY27</t>
  </si>
  <si>
    <t xml:space="preserve">Q4 FY27</t>
  </si>
  <si>
    <t xml:space="preserve">FY2026 base</t>
  </si>
  <si>
    <t xml:space="preserve">FY27 vs FY26</t>
  </si>
  <si>
    <t xml:space="preserve">Mixed-signal microcontrollers</t>
  </si>
  <si>
    <t xml:space="preserve">Link: Ops_Model units sold</t>
  </si>
  <si>
    <t xml:space="preserve">Link: Ops_Model revenue</t>
  </si>
  <si>
    <t xml:space="preserve">Revenue / units sold</t>
  </si>
  <si>
    <t xml:space="preserve">Analog &amp; power management</t>
  </si>
  <si>
    <t xml:space="preserve">Sum of product lines</t>
  </si>
  <si>
    <t xml:space="preserve">Mix - Mixed-signal microcontrollers</t>
  </si>
  <si>
    <t xml:space="preserve">Product revenue / division revenue</t>
  </si>
  <si>
    <t xml:space="preserve">Mix - Analog &amp; power management</t>
  </si>
  <si>
    <t xml:space="preserve">Mix - FPGAs</t>
  </si>
  <si>
    <t xml:space="preserve">Mix total</t>
  </si>
  <si>
    <t xml:space="preserve">Must be 100%</t>
  </si>
  <si>
    <t xml:space="preserve">Monthly P&amp;L Forecast - FY2027 (active scenario)</t>
  </si>
  <si>
    <t xml:space="preserve">Division P&amp;L to net income, $m. No division-level interest (financing sits at corporate). Simulated data created for portfolio demonstration. It does not represent nonpublic Microchip Technology information.</t>
  </si>
  <si>
    <t xml:space="preserve">Link: Revenue tab</t>
  </si>
  <si>
    <t xml:space="preserve">Cost of revenue - manufacturing</t>
  </si>
  <si>
    <t xml:space="preserve">Link: Ops_Model (weighted-average inventory cost)</t>
  </si>
  <si>
    <t xml:space="preserve">Cost of revenue - depreciation on FY2027 capex</t>
  </si>
  <si>
    <t xml:space="preserve">Link: FCF tab section A</t>
  </si>
  <si>
    <t xml:space="preserve">Total cost of revenue</t>
  </si>
  <si>
    <t xml:space="preserve">Manufacturing + new-capex depreciation</t>
  </si>
  <si>
    <t xml:space="preserve">Base-year R&amp;D x (1 + R&amp;D growth) / 12</t>
  </si>
  <si>
    <t xml:space="preserve">Base-year SG&amp;A x (1 + SG&amp;A growth) / 12</t>
  </si>
  <si>
    <t xml:space="preserve">Total operating expenses</t>
  </si>
  <si>
    <t xml:space="preserve">R&amp;D + SG&amp;A</t>
  </si>
  <si>
    <t xml:space="preserve">Gross profit - operating expenses</t>
  </si>
  <si>
    <t xml:space="preserve">Operating profit / revenue</t>
  </si>
  <si>
    <t xml:space="preserve">Pre-tax income</t>
  </si>
  <si>
    <t xml:space="preserve">Equals operating profit (no division-level interest or other income)</t>
  </si>
  <si>
    <t xml:space="preserve">Income tax</t>
  </si>
  <si>
    <t xml:space="preserve">Pre-tax income x scenario tax rate (a loss month gives a tax credit)</t>
  </si>
  <si>
    <t xml:space="preserve">Pre-tax income - tax</t>
  </si>
  <si>
    <t xml:space="preserve">Net income / revenue</t>
  </si>
  <si>
    <t xml:space="preserve">Memo</t>
  </si>
  <si>
    <t xml:space="preserve">Depreciation (from FCF tab)</t>
  </si>
  <si>
    <t xml:space="preserve">Link: FCF tab total depreciation</t>
  </si>
  <si>
    <t xml:space="preserve">EBITDA</t>
  </si>
  <si>
    <t xml:space="preserve">Operating profit + depreciation</t>
  </si>
  <si>
    <t xml:space="preserve">EBITDA margin</t>
  </si>
  <si>
    <t xml:space="preserve">EBITDA / revenue</t>
  </si>
  <si>
    <t xml:space="preserve">Contribution margin (from Ops_Model)</t>
  </si>
  <si>
    <t xml:space="preserve">Revenue - variable cost of units sold</t>
  </si>
  <si>
    <t xml:space="preserve">Free Cash Flow Forecast - FY2027 (active scenario)</t>
  </si>
  <si>
    <t xml:space="preserve">FCF = net income + depreciation - capital expenditures - increase in working capital. Simulated data created for portfolio demonstration. It does not represent nonpublic Microchip Technology information.</t>
  </si>
  <si>
    <t xml:space="preserve">A. Capital expenditures and depreciation</t>
  </si>
  <si>
    <t xml:space="preserve">Capital expenditures</t>
  </si>
  <si>
    <t xml:space="preserve">Revenue x capex % (scenario). Excludes the Phase 5 test-equipment proposal</t>
  </si>
  <si>
    <t xml:space="preserve">Depreciation on FY2027 capex</t>
  </si>
  <si>
    <t xml:space="preserve">Straight-line over useful life; starts the month after spend</t>
  </si>
  <si>
    <t xml:space="preserve">Depreciation inside fixed manufacturing cost</t>
  </si>
  <si>
    <t xml:space="preserve">Fixed manufacturing cost x depreciation share</t>
  </si>
  <si>
    <t xml:space="preserve">Total depreciation</t>
  </si>
  <si>
    <t xml:space="preserve">Sum of the two lines above</t>
  </si>
  <si>
    <t xml:space="preserve">B. Operating working capital (period-end balances)</t>
  </si>
  <si>
    <t xml:space="preserve">Accounts receivable</t>
  </si>
  <si>
    <t xml:space="preserve">Monthly revenue x 12 x DSO / 365</t>
  </si>
  <si>
    <t xml:space="preserve">Inventory (finished goods)</t>
  </si>
  <si>
    <t xml:space="preserve">Link: Ops_Model closing inventory value</t>
  </si>
  <si>
    <t xml:space="preserve">Monthly variable manufacturing cost x 12 x DPO / 365</t>
  </si>
  <si>
    <t xml:space="preserve">This month's working capital - prior month's (first month vs 31-Mar-2026 opening balance)</t>
  </si>
  <si>
    <t xml:space="preserve">C. Free cash flow</t>
  </si>
  <si>
    <t xml:space="preserve">Link: PnL</t>
  </si>
  <si>
    <t xml:space="preserve">+ Depreciation</t>
  </si>
  <si>
    <t xml:space="preserve">Section A</t>
  </si>
  <si>
    <t xml:space="preserve">- Capital expenditures</t>
  </si>
  <si>
    <t xml:space="preserve">- Increase in working capital</t>
  </si>
  <si>
    <t xml:space="preserve">Section B</t>
  </si>
  <si>
    <t xml:space="preserve">Net income + depreciation - capex - increase in working capital</t>
  </si>
  <si>
    <t xml:space="preserve">FCF / revenue</t>
  </si>
  <si>
    <t xml:space="preserve">FCF conversion (FCF / net income)</t>
  </si>
  <si>
    <t xml:space="preserve">FCF / net income</t>
  </si>
  <si>
    <t xml:space="preserve">Cumulative free cash flow</t>
  </si>
  <si>
    <t xml:space="preserve">Running total from April 2026</t>
  </si>
  <si>
    <t xml:space="preserve">FY2027 Budget - Base scenario, LOCKED</t>
  </si>
  <si>
    <t xml:space="preserve">Reads the Base column (Assumptions column D) directly, so it does NOT change with the scenario selector.</t>
  </si>
  <si>
    <t xml:space="preserve">YTD Apr-Aug</t>
  </si>
  <si>
    <t xml:space="preserve">Budget drivers (links to the Base column of Assumptions section A)</t>
  </si>
  <si>
    <t xml:space="preserve">User-provided assumption (Base)</t>
  </si>
  <si>
    <t xml:space="preserve">Mixed-signal microcontrollers - budget  (Simulated data created for portfolio demonstration. It does not represent nonpublic Microchip Technology information.)</t>
  </si>
  <si>
    <t xml:space="preserve">Calculated value (budget)</t>
  </si>
  <si>
    <t xml:space="preserve">MIN(demand, available)</t>
  </si>
  <si>
    <t xml:space="preserve">Available - sold</t>
  </si>
  <si>
    <t xml:space="preserve">Unmet demand</t>
  </si>
  <si>
    <t xml:space="preserve">Units produced x variable cost</t>
  </si>
  <si>
    <t xml:space="preserve">Variable + fixed</t>
  </si>
  <si>
    <t xml:space="preserve">Weighted-average cost</t>
  </si>
  <si>
    <t xml:space="preserve">Cost of revenue (manufacturing)</t>
  </si>
  <si>
    <t xml:space="preserve">Opening + manufacturing cost - cost of revenue</t>
  </si>
  <si>
    <t xml:space="preserve">Gross profit (before new-capex depreciation)</t>
  </si>
  <si>
    <t xml:space="preserve">Analog &amp; power management - budget  (Simulated data created for portfolio demonstration. It does not represent nonpublic Microchip Technology information.)</t>
  </si>
  <si>
    <t xml:space="preserve">FPGAs - budget  (Simulated data created for portfolio demonstration. It does not represent nonpublic Microchip Technology information.)</t>
  </si>
  <si>
    <t xml:space="preserve">Division budget P&amp;L to operating profit  (Simulated data created for portfolio demonstration. It does not represent nonpublic Microchip Technology information.)</t>
  </si>
  <si>
    <t xml:space="preserve">Actual Results - Apr-Aug 2026 (SIMULATED)</t>
  </si>
  <si>
    <t xml:space="preserve">Simulated actuals for the budget-vs-actual exercise. Same operating logic as the budget, different inputs.</t>
  </si>
  <si>
    <t xml:space="preserve">Simulated data created for portfolio demonstration. It does not represent nonpublic Microchip Technology information.  ALL VALUES ON THIS TAB ARE SIMULATED.</t>
  </si>
  <si>
    <t xml:space="preserve">Simulated actual inputs</t>
  </si>
  <si>
    <t xml:space="preserve">MCU</t>
  </si>
  <si>
    <t xml:space="preserve">FPGA</t>
  </si>
  <si>
    <t xml:space="preserve">Note</t>
  </si>
  <si>
    <t xml:space="preserve">Demand vs budget</t>
  </si>
  <si>
    <t xml:space="preserve">Design wins in MCUs and FPGAs; analog channel still digesting inventory</t>
  </si>
  <si>
    <t xml:space="preserve">ASP change vs FY2026 base-year ASP</t>
  </si>
  <si>
    <t xml:space="preserve">Budget assumed -1.0% for every product</t>
  </si>
  <si>
    <t xml:space="preserve">Actual final-test yield</t>
  </si>
  <si>
    <t xml:space="preserve">FPGA yield problem on the older test platform (budget 85%)</t>
  </si>
  <si>
    <t xml:space="preserve">Actual capacity utilization</t>
  </si>
  <si>
    <t xml:space="preserve">Analog loading cut to limit inventory; FPGA run hard to meet demand (budget 80%)</t>
  </si>
  <si>
    <t xml:space="preserve">Variable cost change vs FY2026 base-year cost</t>
  </si>
  <si>
    <t xml:space="preserve">Substrate and foundry wafer price increases (budget +3.0%)</t>
  </si>
  <si>
    <t xml:space="preserve">Actual fixed manufacturing cost per month</t>
  </si>
  <si>
    <t xml:space="preserve">FPGA overtime and maintenance on the older testers</t>
  </si>
  <si>
    <t xml:space="preserve">Actual R&amp;D expense per month</t>
  </si>
  <si>
    <t xml:space="preserve">Budget $17.5m: accelerated hiring for next-gen MCU</t>
  </si>
  <si>
    <t xml:space="preserve">Actual SG&amp;A expense per month</t>
  </si>
  <si>
    <t xml:space="preserve">Budget $8.67m: travel and marketing held back</t>
  </si>
  <si>
    <t xml:space="preserve">Actual capex % of revenue</t>
  </si>
  <si>
    <t xml:space="preserve">Budget 3.0%: some projects deferred</t>
  </si>
  <si>
    <t xml:space="preserve">Monthly demand noise (applies to all products)</t>
  </si>
  <si>
    <t xml:space="preserve">Row is by month (Apr-Aug), not by product</t>
  </si>
  <si>
    <t xml:space="preserve">Mixed-signal microcontrollers - actual  (Simulated data created for portfolio demonstration. It does not represent nonpublic Microchip Technology information.)</t>
  </si>
  <si>
    <t xml:space="preserve">Analog &amp; power management - actual  (Simulated data created for portfolio demonstration. It does not represent nonpublic Microchip Technology information.)</t>
  </si>
  <si>
    <t xml:space="preserve">FPGAs - actual  (Simulated data created for portfolio demonstration. It does not represent nonpublic Microchip Technology information.)</t>
  </si>
  <si>
    <t xml:space="preserve">Division actual P&amp;L to operating profit  (Simulated data created for portfolio demonstration. It does not represent nonpublic Microchip Technology information.)</t>
  </si>
  <si>
    <t xml:space="preserve">Budget vs Actual - YTD Apr-Aug 2026</t>
  </si>
  <si>
    <t xml:space="preserve">Favorable = positive (adds to profit). Components are computed separately and must reconcile to the totals.</t>
  </si>
  <si>
    <t xml:space="preserve">Simulated data created for portfolio demonstration. It does not represent nonpublic Microchip Technology information.  (Actuals are simulated.)</t>
  </si>
  <si>
    <t xml:space="preserve">A. YTD P&amp;L summary</t>
  </si>
  <si>
    <t xml:space="preserve">Line</t>
  </si>
  <si>
    <t xml:space="preserve">Actual</t>
  </si>
  <si>
    <t xml:space="preserve">Variance %</t>
  </si>
  <si>
    <t xml:space="preserve">Fav / Unfav</t>
  </si>
  <si>
    <t xml:space="preserve">Definition</t>
  </si>
  <si>
    <t xml:space="preserve">Revenue - Mixed-signal microcontrollers</t>
  </si>
  <si>
    <t xml:space="preserve">Actual - budget</t>
  </si>
  <si>
    <t xml:space="preserve">Revenue - Analog &amp; power management</t>
  </si>
  <si>
    <t xml:space="preserve">Revenue - FPGAs</t>
  </si>
  <si>
    <t xml:space="preserve">Total revenue</t>
  </si>
  <si>
    <t xml:space="preserve">Budget - actual (cost: lower actual = favorable)</t>
  </si>
  <si>
    <t xml:space="preserve">B. Operating KPIs, YTD (budget vs actual)</t>
  </si>
  <si>
    <t xml:space="preserve">KPI</t>
  </si>
  <si>
    <t xml:space="preserve">Difference</t>
  </si>
  <si>
    <t xml:space="preserve">Units sold - Mixed-signal microcontrollers</t>
  </si>
  <si>
    <t xml:space="preserve">Units sold - Analog &amp; power management</t>
  </si>
  <si>
    <t xml:space="preserve">Units sold - FPGAs</t>
  </si>
  <si>
    <t xml:space="preserve">Average selling price - Mixed-signal microcontrollers</t>
  </si>
  <si>
    <t xml:space="preserve">Average selling price - Analog &amp; power management</t>
  </si>
  <si>
    <t xml:space="preserve">Average selling price - FPGAs</t>
  </si>
  <si>
    <t xml:space="preserve">Manufacturing yield - Mixed-signal microcontrollers</t>
  </si>
  <si>
    <t xml:space="preserve">Manufacturing yield - Analog &amp; power management</t>
  </si>
  <si>
    <t xml:space="preserve">Manufacturing yield - FPGAs</t>
  </si>
  <si>
    <t xml:space="preserve">Capacity utilization - Mixed-signal microcontrollers</t>
  </si>
  <si>
    <t xml:space="preserve">Capacity utilization - Analog &amp; power management</t>
  </si>
  <si>
    <t xml:space="preserve">Capacity utilization - FPGAs</t>
  </si>
  <si>
    <t xml:space="preserve">Cost per good unit - Mixed-signal microcontrollers</t>
  </si>
  <si>
    <t xml:space="preserve">Cost per good unit - Analog &amp; power management</t>
  </si>
  <si>
    <t xml:space="preserve">Cost per good unit - FPGAs</t>
  </si>
  <si>
    <t xml:space="preserve">Unmet demand - Mixed-signal microcontrollers</t>
  </si>
  <si>
    <t xml:space="preserve">Unmet demand - Analog &amp; power management</t>
  </si>
  <si>
    <t xml:space="preserve">Unmet demand - FPGAs</t>
  </si>
  <si>
    <t xml:space="preserve">C. Variance inputs by product (YTD)</t>
  </si>
  <si>
    <t xml:space="preserve">Units sold - budget (Ub)</t>
  </si>
  <si>
    <t xml:space="preserve">Units sold - actual (Ua)</t>
  </si>
  <si>
    <t xml:space="preserve">Mix - budget (Ub / total Ub)</t>
  </si>
  <si>
    <t xml:space="preserve">Mix - actual (Ua / total Ua)</t>
  </si>
  <si>
    <t xml:space="preserve">ASP - budget</t>
  </si>
  <si>
    <t xml:space="preserve">Division = budget revenue / total budget units (average price at budget mix)</t>
  </si>
  <si>
    <t xml:space="preserve">ASP - actual</t>
  </si>
  <si>
    <t xml:space="preserve">Cost of revenue per unit sold - budget (cb)</t>
  </si>
  <si>
    <t xml:space="preserve">Budget manufacturing cost of revenue / budget units</t>
  </si>
  <si>
    <t xml:space="preserve">Cost of revenue per unit sold - actual (ca)</t>
  </si>
  <si>
    <t xml:space="preserve">Gross profit per unit - budget (ASPb - cb)</t>
  </si>
  <si>
    <t xml:space="preserve">Units produced - budget (Pb)</t>
  </si>
  <si>
    <t xml:space="preserve">Units produced - actual (Pa)</t>
  </si>
  <si>
    <t xml:space="preserve">Good units - actual (Ga)</t>
  </si>
  <si>
    <t xml:space="preserve">Yield - budget (yb)</t>
  </si>
  <si>
    <t xml:space="preserve">Variable cost per unit produced - budget</t>
  </si>
  <si>
    <t xml:space="preserve">Variable cost per unit produced - actual</t>
  </si>
  <si>
    <t xml:space="preserve">Fixed manufacturing cost - budget</t>
  </si>
  <si>
    <t xml:space="preserve">Fixed manufacturing cost - actual</t>
  </si>
  <si>
    <t xml:space="preserve">Closing inventory value (Aug) - budget</t>
  </si>
  <si>
    <t xml:space="preserve">Closing inventory value (Aug) - actual</t>
  </si>
  <si>
    <t xml:space="preserve">D. Revenue variance: price, volume, mix</t>
  </si>
  <si>
    <t xml:space="preserve">Component</t>
  </si>
  <si>
    <t xml:space="preserve">Price variance</t>
  </si>
  <si>
    <t xml:space="preserve">Ua x (ASPa - ASPb)</t>
  </si>
  <si>
    <t xml:space="preserve">Volume variance</t>
  </si>
  <si>
    <t xml:space="preserve">Budget mix x (total Ua - total Ub) x ASPb.  Division = change in total units x budget average price</t>
  </si>
  <si>
    <t xml:space="preserve">Product-mix variance</t>
  </si>
  <si>
    <t xml:space="preserve">(actual mix - budget mix) x total Ua x ASPb</t>
  </si>
  <si>
    <t xml:space="preserve">Sum of components</t>
  </si>
  <si>
    <t xml:space="preserve">Total revenue variance (actual - budget, computed directly)</t>
  </si>
  <si>
    <t xml:space="preserve">Unreconciled difference (division)</t>
  </si>
  <si>
    <t xml:space="preserve">Note: the product columns of volume and mix are an allocation; only their sum per product ((Ua - Ub) x ASPb) and the division totals are unique.</t>
  </si>
  <si>
    <t xml:space="preserve">E. Operating-profit bridge (waterfall): budget to actual</t>
  </si>
  <si>
    <t xml:space="preserve">Step</t>
  </si>
  <si>
    <t xml:space="preserve">Formula (favorable = positive)</t>
  </si>
  <si>
    <t xml:space="preserve">Budget operating profit (YTD)</t>
  </si>
  <si>
    <t xml:space="preserve">Price</t>
  </si>
  <si>
    <t xml:space="preserve">Same as revenue price variance</t>
  </si>
  <si>
    <t xml:space="preserve">Sales volume</t>
  </si>
  <si>
    <t xml:space="preserve">Budget mix x (total Ua - total Ub) x budget gross profit per unit</t>
  </si>
  <si>
    <t xml:space="preserve">Product mix</t>
  </si>
  <si>
    <t xml:space="preserve">(actual mix - budget mix) x total Ua x budget gross profit per unit</t>
  </si>
  <si>
    <t xml:space="preserve">Material cost</t>
  </si>
  <si>
    <t xml:space="preserve">-Pa x (actual - budget variable cost per unit)</t>
  </si>
  <si>
    <t xml:space="preserve">Manufacturing yield</t>
  </si>
  <si>
    <t xml:space="preserve">-budget variable cost x (units started - units needed at budget yield for actual good output)</t>
  </si>
  <si>
    <t xml:space="preserve">Fixed manufacturing spending (incl. new-capex depreciation)</t>
  </si>
  <si>
    <t xml:space="preserve">-(actual - budget fixed cost); division also includes the new-capex depreciation difference</t>
  </si>
  <si>
    <t xml:space="preserve">Production volume, absorption &amp; inventory</t>
  </si>
  <si>
    <t xml:space="preserve">-[budget var. cost x (standard starts - Pb) - (closing inventory a - b) - (Ua - Ub) x cb]: cost of producing more/less than sold, held in inventory</t>
  </si>
  <si>
    <t xml:space="preserve">R&amp;D</t>
  </si>
  <si>
    <t xml:space="preserve">-(actual - budget R&amp;D)</t>
  </si>
  <si>
    <t xml:space="preserve">SG&amp;A</t>
  </si>
  <si>
    <t xml:space="preserve">-(actual - budget SG&amp;A)</t>
  </si>
  <si>
    <t xml:space="preserve">Actual operating profit - from bridge</t>
  </si>
  <si>
    <t xml:space="preserve">Actual operating profit - from Actuals tab</t>
  </si>
  <si>
    <t xml:space="preserve">Unreconciled difference</t>
  </si>
  <si>
    <t xml:space="preserve">Required variance summary (division, YTD, favorable = positive)</t>
  </si>
  <si>
    <t xml:space="preserve">Total revenue variance</t>
  </si>
  <si>
    <t xml:space="preserve">Volume variance (revenue)</t>
  </si>
  <si>
    <t xml:space="preserve">Product-mix variance (revenue)</t>
  </si>
  <si>
    <t xml:space="preserve">Material-cost variance</t>
  </si>
  <si>
    <t xml:space="preserve">Manufacturing-yield variance</t>
  </si>
  <si>
    <t xml:space="preserve">Operating-expense variance</t>
  </si>
  <si>
    <t xml:space="preserve">Operating-profit variance</t>
  </si>
  <si>
    <t xml:space="preserve">F. Monthly budget vs actual (Apr-Aug 2026)</t>
  </si>
  <si>
    <t xml:space="preserve">Revenue - budget</t>
  </si>
  <si>
    <t xml:space="preserve">Revenue - actual</t>
  </si>
  <si>
    <t xml:space="preserve">Operating profit - budget</t>
  </si>
  <si>
    <t xml:space="preserve">Operating profit - actual</t>
  </si>
  <si>
    <t xml:space="preserve">Revenue variance</t>
  </si>
  <si>
    <t xml:space="preserve">Capital Investment Decision - FPGA Automated Final-Test Platform (hypothetical)</t>
  </si>
  <si>
    <t xml:space="preserve">Incremental with-vs-without-project cash flows, evaluated in all three scenarios. $m unless noted.</t>
  </si>
  <si>
    <t xml:space="preserve">Simulated data created for portfolio demonstration. It does not represent nonpublic Microchip Technology information.  The equipment proposal is hypothetical.</t>
  </si>
  <si>
    <t xml:space="preserve">A. Project inputs (same in every scenario)</t>
  </si>
  <si>
    <t xml:space="preserve">Equipment purchase price</t>
  </si>
  <si>
    <t xml:space="preserve">Hypothetical project assumption</t>
  </si>
  <si>
    <t xml:space="preserve">Automated test handlers + testers for large-die FPGAs</t>
  </si>
  <si>
    <t xml:space="preserve">Installation, qualification and software</t>
  </si>
  <si>
    <t xml:space="preserve">Capitalized with the equipment</t>
  </si>
  <si>
    <t xml:space="preserve">Additional final-test capacity</t>
  </si>
  <si>
    <t xml:space="preserve">+23% on the FPGA line's 1.30m units/month (Assumptions D)</t>
  </si>
  <si>
    <t xml:space="preserve">Expected FPGA yield improvement</t>
  </si>
  <si>
    <t xml:space="preserve">Better contacting and thermal control; applies to ALL FPGA units tested</t>
  </si>
  <si>
    <t xml:space="preserve">Operating-cost savings</t>
  </si>
  <si>
    <t xml:space="preserve">$m/yr</t>
  </si>
  <si>
    <t xml:space="preserve">Retire overtime and repairs on the older testers</t>
  </si>
  <si>
    <t xml:space="preserve">Maintenance cost of new equipment</t>
  </si>
  <si>
    <t xml:space="preserve">Service contract and spares</t>
  </si>
  <si>
    <t xml:space="preserve">Useful life (and tax depreciation period)</t>
  </si>
  <si>
    <t xml:space="preserve">years</t>
  </si>
  <si>
    <t xml:space="preserve">Straight-line</t>
  </si>
  <si>
    <t xml:space="preserve">Salvage value at end of life</t>
  </si>
  <si>
    <t xml:space="preserve">Conservative: none</t>
  </si>
  <si>
    <t xml:space="preserve">Maximum practical utilization</t>
  </si>
  <si>
    <t xml:space="preserve">Test floors cannot run at 100% (changeovers, maintenance)</t>
  </si>
  <si>
    <t xml:space="preserve">Annual FPGA ASP erosion after FY2027</t>
  </si>
  <si>
    <t xml:space="preserve">Price declines each year; unit cost held flat</t>
  </si>
  <si>
    <t xml:space="preserve">Discount rate (division cost of capital)</t>
  </si>
  <si>
    <t xml:space="preserve">Assumed. Microchip does not report a WACC; semiconductor WACCs are commonly 8-11%</t>
  </si>
  <si>
    <t xml:space="preserve">Decision criterion: minimum IRR (hurdle)</t>
  </si>
  <si>
    <t xml:space="preserve">Discount rate + 2 pts risk premium</t>
  </si>
  <si>
    <t xml:space="preserve">Decision criterion: maximum payback</t>
  </si>
  <si>
    <t xml:space="preserve">Equipment-payback norm; shorter than useful life</t>
  </si>
  <si>
    <t xml:space="preserve">Total capital investment (Year 0)</t>
  </si>
  <si>
    <t xml:space="preserve">DSO for incremental receivables (link)</t>
  </si>
  <si>
    <t xml:space="preserve">Link: Assumptions G</t>
  </si>
  <si>
    <t xml:space="preserve">B. Scenario inputs (read from the Downside / Base / Upside columns - all three are evaluated)</t>
  </si>
  <si>
    <t xml:space="preserve">FPGA demand growth per year after FY2027</t>
  </si>
  <si>
    <t xml:space="preserve">Downside: FPGA demand stalls; Upside: AI / aerospace design wins</t>
  </si>
  <si>
    <t xml:space="preserve">FPGA demand FY2027</t>
  </si>
  <si>
    <t xml:space="preserve">Base-year FPGA units x (1 + scenario demand growth + FPGA differential)</t>
  </si>
  <si>
    <t xml:space="preserve">FPGA ASP FY2027</t>
  </si>
  <si>
    <t xml:space="preserve">Base-year ASP x (1 + scenario ASP change)</t>
  </si>
  <si>
    <t xml:space="preserve">FPGA variable cost per unit tested</t>
  </si>
  <si>
    <t xml:space="preserve">Base-year cost x (1 + scenario material inflation)</t>
  </si>
  <si>
    <t xml:space="preserve">FPGA yield without project</t>
  </si>
  <si>
    <t xml:space="preserve">Base-year yield + scenario yield change</t>
  </si>
  <si>
    <t xml:space="preserve">FPGA yield with project</t>
  </si>
  <si>
    <t xml:space="preserve">Yield without project + improvement</t>
  </si>
  <si>
    <t xml:space="preserve">Assumptions A (scenario)</t>
  </si>
  <si>
    <t xml:space="preserve">Good-unit capacity without project</t>
  </si>
  <si>
    <t xml:space="preserve">m units/yr</t>
  </si>
  <si>
    <t xml:space="preserve">Existing capacity x 12 x max utilization x yield</t>
  </si>
  <si>
    <t xml:space="preserve">Good-unit capacity with project</t>
  </si>
  <si>
    <t xml:space="preserve">(Existing + added capacity) x 12 x max utilization x new yield</t>
  </si>
  <si>
    <t xml:space="preserve">Good units from the added capacity at 100% use</t>
  </si>
  <si>
    <t xml:space="preserve">Added capacity x 12 x new yield - denominator for break-even utilization</t>
  </si>
  <si>
    <t xml:space="preserve">C1. Incremental cash flows - DOWNSIDE scenario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</si>
  <si>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</si>
  <si>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</si>
  <si>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</si>
  <si>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</si>
  <si>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</si>
  <si>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</si>
  <si>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</si>
  <si>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</t>
  </si>
  <si>
    <t xml:space="preserve">#</t>
  </si>
  <si>
    <t xml:space="preserve">Calculated value (hypothetical inputs)</t>
  </si>
  <si>
    <t xml:space="preserve">Fiscal year</t>
  </si>
  <si>
    <t xml:space="preserve">FPGA customer demand</t>
  </si>
  <si>
    <t xml:space="preserve">FPGA ASP</t>
  </si>
  <si>
    <t xml:space="preserve">Units sold without project</t>
  </si>
  <si>
    <t xml:space="preserve">MIN(demand, capacity without)</t>
  </si>
  <si>
    <t xml:space="preserve">Units sold with project</t>
  </si>
  <si>
    <t xml:space="preserve">MIN(demand, capacity with)</t>
  </si>
  <si>
    <t xml:space="preserve">Incremental units sold</t>
  </si>
  <si>
    <t xml:space="preserve">Incremental revenue</t>
  </si>
  <si>
    <t xml:space="preserve">Incremental units x ASP</t>
  </si>
  <si>
    <t xml:space="preserve">Contribution from incremental units</t>
  </si>
  <si>
    <t xml:space="preserve">Incremental units x (ASP - variable cost / new yield)</t>
  </si>
  <si>
    <t xml:space="preserve">Scrap reduction (units no longer scrapped)</t>
  </si>
  <si>
    <t xml:space="preserve">Units sold without x (1/old yield - 1/new yield)</t>
  </si>
  <si>
    <t xml:space="preserve">Scrap reduction ($)</t>
  </si>
  <si>
    <t xml:space="preserve">Scrap units x variable cost</t>
  </si>
  <si>
    <t xml:space="preserve">Maintenance cost</t>
  </si>
  <si>
    <t xml:space="preserve">Incremental EBITDA</t>
  </si>
  <si>
    <t xml:space="preserve">Contribution + scrap reduction + savings - maintenance</t>
  </si>
  <si>
    <t xml:space="preserve">Tax depreciation</t>
  </si>
  <si>
    <t xml:space="preserve">(Investment - salvage) / life</t>
  </si>
  <si>
    <t xml:space="preserve">Incremental operating profit (EBIT)</t>
  </si>
  <si>
    <t xml:space="preserve">EBITDA - depreciation</t>
  </si>
  <si>
    <t xml:space="preserve">Tax on incremental EBIT</t>
  </si>
  <si>
    <t xml:space="preserve">EBIT x tax rate (a loss offsets other division profit)</t>
  </si>
  <si>
    <t xml:space="preserve">Incremental after-tax operating profit</t>
  </si>
  <si>
    <t xml:space="preserve">EBIT - tax</t>
  </si>
  <si>
    <t xml:space="preserve">Incremental working capital (receivables)</t>
  </si>
  <si>
    <t xml:space="preserve">Incremental revenue x DSO / 365</t>
  </si>
  <si>
    <t xml:space="preserve">Increase in working capital (recovered in final year)</t>
  </si>
  <si>
    <t xml:space="preserve">Change in incremental WC; final year releases the balance</t>
  </si>
  <si>
    <t xml:space="preserve">Capital investment / salvage</t>
  </si>
  <si>
    <t xml:space="preserve">Year 0: -investment; final year: + salvage</t>
  </si>
  <si>
    <t xml:space="preserve">Incremental free cash flow</t>
  </si>
  <si>
    <t xml:space="preserve">After-tax profit + depreciation - increase in WC + investment</t>
  </si>
  <si>
    <t xml:space="preserve">Discount factor</t>
  </si>
  <si>
    <t xml:space="preserve">1 / (1 + discount rate) ^ year</t>
  </si>
  <si>
    <t xml:space="preserve">Present value of free cash flow</t>
  </si>
  <si>
    <t xml:space="preserve">FCF x discount factor</t>
  </si>
  <si>
    <t xml:space="preserve">Running total of FCF</t>
  </si>
  <si>
    <t xml:space="preserve">Payback helper (year in which cumulative turns positive)</t>
  </si>
  <si>
    <t xml:space="preserve">(year - 1) + unrecovered amount / that year's FCF, only in the crossover year</t>
  </si>
  <si>
    <t xml:space="preserve">Volume-related after-tax cash flow (for break-even)</t>
  </si>
  <si>
    <t xml:space="preserve">Contribution x (1 - tax) - WC effect of incremental revenue</t>
  </si>
  <si>
    <t xml:space="preserve">After-tax cash flow if added capacity fully used (for break-even)</t>
  </si>
  <si>
    <t xml:space="preserve">Full added units x (ASP - var. cost / new yield) x (1 - tax) - WC effect</t>
  </si>
  <si>
    <t xml:space="preserve">NPV at discount rate</t>
  </si>
  <si>
    <t xml:space="preserve">Year-0 cash flow + NPV(rate, years 1-6)</t>
  </si>
  <si>
    <t xml:space="preserve">IRR</t>
  </si>
  <si>
    <t xml:space="preserve">Rate at which NPV = 0 (n.m. if cash flows never recover the investment)</t>
  </si>
  <si>
    <t xml:space="preserve">Payback period</t>
  </si>
  <si>
    <t xml:space="preserve">Years until cumulative FCF turns positive (interpolated)</t>
  </si>
  <si>
    <t xml:space="preserve">NPV with no incremental volume</t>
  </si>
  <si>
    <t xml:space="preserve">NPV minus PV of volume-related cash flow: what yield, scrap, savings and maintenance alone are worth</t>
  </si>
  <si>
    <t xml:space="preserve">PV of cash flow if added capacity fully used</t>
  </si>
  <si>
    <t xml:space="preserve">PV of selling every good unit the added capacity can produce</t>
  </si>
  <si>
    <t xml:space="preserve">Break-even utilization of the added capacity</t>
  </si>
  <si>
    <t xml:space="preserve">Average share of the added capacity that must be sold for NPV = 0 (0% = pays back on yield and savings alone)</t>
  </si>
  <si>
    <t xml:space="preserve">Implied average use of the added capacity in this scenario</t>
  </si>
  <si>
    <t xml:space="preserve">Incremental units / (full added units x years). Can exceed 100% because the yield gain also lifts old-tester output</t>
  </si>
  <si>
    <t xml:space="preserve">C2. Incremental cash flows - BASE scenario</t>
  </si>
  <si>
    <t xml:space="preserve">C3. Incremental cash flows - UPSIDE scenario</t>
  </si>
  <si>
    <t xml:space="preserve">D. Decision criteria and recommendation</t>
  </si>
  <si>
    <t xml:space="preserve">Criterion</t>
  </si>
  <si>
    <t xml:space="preserve">Threshold</t>
  </si>
  <si>
    <t xml:space="preserve">Rule</t>
  </si>
  <si>
    <t xml:space="preserve">NPV ($m)</t>
  </si>
  <si>
    <t xml:space="preserve">Payback (years)</t>
  </si>
  <si>
    <t xml:space="preserve">Break-even utilization of added capacity</t>
  </si>
  <si>
    <t xml:space="preserve">1. NPV &gt; 0 at the discount rate</t>
  </si>
  <si>
    <t xml:space="preserve">Creates value at the division's cost of capital</t>
  </si>
  <si>
    <t xml:space="preserve">2. IRR &gt;= hurdle rate</t>
  </si>
  <si>
    <t xml:space="preserve">Return clears the risk-adjusted hurdle</t>
  </si>
  <si>
    <t xml:space="preserve">3. Payback &lt;= maximum</t>
  </si>
  <si>
    <t xml:space="preserve">Capital is recovered well within the equipment's life</t>
  </si>
  <si>
    <t xml:space="preserve">Meets all three criteria?</t>
  </si>
  <si>
    <t xml:space="preserve">RECOMMENDATION</t>
  </si>
  <si>
    <t xml:space="preserve">Dashboard Export Tables</t>
  </si>
  <si>
    <t xml:space="preserve">Read by scripts/export_dashboard_data.py. Do not insert rows inside a table. Every cell is a link or formula.</t>
  </si>
  <si>
    <t xml:space="preserve">TABLE: meta</t>
  </si>
  <si>
    <t xml:space="preserve">Model metadata (live)</t>
  </si>
  <si>
    <t xml:space="preserve">key</t>
  </si>
  <si>
    <t xml:space="preserve">value</t>
  </si>
  <si>
    <t xml:space="preserve">scenario</t>
  </si>
  <si>
    <t xml:space="preserve">checks_status</t>
  </si>
  <si>
    <t xml:space="preserve">model_phase</t>
  </si>
  <si>
    <t xml:space="preserve">Phase 7 of 9</t>
  </si>
  <si>
    <t xml:space="preserve">disclaimer</t>
  </si>
  <si>
    <t xml:space="preserve">actuals_through</t>
  </si>
  <si>
    <t xml:space="preserve">Aug-2026 (simulated)</t>
  </si>
  <si>
    <t xml:space="preserve">fiscal_year</t>
  </si>
  <si>
    <t xml:space="preserve">FY2027 = Apr-2026 to Mar-2027</t>
  </si>
  <si>
    <t xml:space="preserve">company_reference</t>
  </si>
  <si>
    <t xml:space="preserve">Microchip Technology Inc. (NASDAQ: MCHP) - reported data only in history tables</t>
  </si>
  <si>
    <t xml:space="preserve">units</t>
  </si>
  <si>
    <t xml:space="preserve">USD millions unless noted; units in millions</t>
  </si>
  <si>
    <t xml:space="preserve">outlook_note</t>
  </si>
  <si>
    <t xml:space="preserve">Outlook = simulated actuals Apr-Aug + active-scenario forecast Sep-Mar (forecast months are not re-based on actual inventory)</t>
  </si>
  <si>
    <t xml:space="preserve">TABLE: monthly</t>
  </si>
  <si>
    <t xml:space="preserve">One row per month; forecast columns follow the live scenario; budget is locked; actuals Apr-Aug only</t>
  </si>
  <si>
    <t xml:space="preserve">month</t>
  </si>
  <si>
    <t xml:space="preserve">fiscal_quarter</t>
  </si>
  <si>
    <t xml:space="preserve">period_type</t>
  </si>
  <si>
    <t xml:space="preserve">revenue</t>
  </si>
  <si>
    <t xml:space="preserve">gross_margin</t>
  </si>
  <si>
    <t xml:space="preserve">opex</t>
  </si>
  <si>
    <t xml:space="preserve">operating_profit</t>
  </si>
  <si>
    <t xml:space="preserve">operating_margin</t>
  </si>
  <si>
    <t xml:space="preserve">ebitda</t>
  </si>
  <si>
    <t xml:space="preserve">fcf</t>
  </si>
  <si>
    <t xml:space="preserve">cumulative_fcf</t>
  </si>
  <si>
    <t xml:space="preserve">capex</t>
  </si>
  <si>
    <t xml:space="preserve">budget_revenue</t>
  </si>
  <si>
    <t xml:space="preserve">budget_gross_profit</t>
  </si>
  <si>
    <t xml:space="preserve">budget_operating_profit</t>
  </si>
  <si>
    <t xml:space="preserve">actual_revenue</t>
  </si>
  <si>
    <t xml:space="preserve">actual_gross_profit</t>
  </si>
  <si>
    <t xml:space="preserve">actual_operating_profit</t>
  </si>
  <si>
    <t xml:space="preserve">outlook_revenue</t>
  </si>
  <si>
    <t xml:space="preserve">outlook_operating_profit</t>
  </si>
  <si>
    <t xml:space="preserve">Forecast</t>
  </si>
  <si>
    <t xml:space="preserve">TABLE: product_monthly</t>
  </si>
  <si>
    <t xml:space="preserve">3 products x 12 months (live scenario). demand_capacity_ratio feeds the risk heat map</t>
  </si>
  <si>
    <t xml:space="preserve">product_id</t>
  </si>
  <si>
    <t xml:space="preserve">product</t>
  </si>
  <si>
    <t xml:space="preserve">demand_units</t>
  </si>
  <si>
    <t xml:space="preserve">good_unit_capacity</t>
  </si>
  <si>
    <t xml:space="preserve">demand_capacity_ratio</t>
  </si>
  <si>
    <t xml:space="preserve">units_sold</t>
  </si>
  <si>
    <t xml:space="preserve">unmet_demand</t>
  </si>
  <si>
    <t xml:space="preserve">asp</t>
  </si>
  <si>
    <t xml:space="preserve">yield</t>
  </si>
  <si>
    <t xml:space="preserve">utilization</t>
  </si>
  <si>
    <t xml:space="preserve">cost_per_good_unit</t>
  </si>
  <si>
    <t xml:space="preserve">closing_inventory_units</t>
  </si>
  <si>
    <t xml:space="preserve">ANALOG</t>
  </si>
  <si>
    <t xml:space="preserve">TABLE: product_fy</t>
  </si>
  <si>
    <t xml:space="preserve">FY2027 product profitability (live scenario)</t>
  </si>
  <si>
    <t xml:space="preserve">mix</t>
  </si>
  <si>
    <t xml:space="preserve">contribution_margin</t>
  </si>
  <si>
    <t xml:space="preserve">contribution_margin_pct</t>
  </si>
  <si>
    <t xml:space="preserve">peak_demand_capacity_ratio</t>
  </si>
  <si>
    <t xml:space="preserve">base_year_revenue</t>
  </si>
  <si>
    <t xml:space="preserve">TABLE: kpis</t>
  </si>
  <si>
    <t xml:space="preserve">Headline KPIs (live scenario unless noted)</t>
  </si>
  <si>
    <t xml:space="preserve">metric_id</t>
  </si>
  <si>
    <t xml:space="preserve">label</t>
  </si>
  <si>
    <t xml:space="preserve">unit</t>
  </si>
  <si>
    <t xml:space="preserve">basis</t>
  </si>
  <si>
    <t xml:space="preserve">Revenue FY2027</t>
  </si>
  <si>
    <t xml:space="preserve">Forecast (live scenario)</t>
  </si>
  <si>
    <t xml:space="preserve">revenue_growth</t>
  </si>
  <si>
    <t xml:space="preserve">Revenue growth vs FY2026 base year</t>
  </si>
  <si>
    <t xml:space="preserve">Gross profit FY2027</t>
  </si>
  <si>
    <t xml:space="preserve">Gross margin FY2027</t>
  </si>
  <si>
    <t xml:space="preserve">Operating profit FY2027</t>
  </si>
  <si>
    <t xml:space="preserve">Operating margin FY2027</t>
  </si>
  <si>
    <t xml:space="preserve">Net income FY2027</t>
  </si>
  <si>
    <t xml:space="preserve">EBITDA FY2027</t>
  </si>
  <si>
    <t xml:space="preserve">Free cash flow FY2027</t>
  </si>
  <si>
    <t xml:space="preserve">fcf_margin</t>
  </si>
  <si>
    <t xml:space="preserve">FCF margin FY2027</t>
  </si>
  <si>
    <t xml:space="preserve">Capital expenditures FY2027</t>
  </si>
  <si>
    <t xml:space="preserve">yield_division</t>
  </si>
  <si>
    <t xml:space="preserve">Division yield (good / tested units)</t>
  </si>
  <si>
    <t xml:space="preserve">revenue_at_risk</t>
  </si>
  <si>
    <t xml:space="preserve">budget_revenue_fy</t>
  </si>
  <si>
    <t xml:space="preserve">Budget revenue FY2027</t>
  </si>
  <si>
    <t xml:space="preserve">Budget (locked)</t>
  </si>
  <si>
    <t xml:space="preserve">budget_op_fy</t>
  </si>
  <si>
    <t xml:space="preserve">Budget operating profit FY2027</t>
  </si>
  <si>
    <t xml:space="preserve">ytd_budget_revenue</t>
  </si>
  <si>
    <t xml:space="preserve">YTD budget revenue (Apr-Aug)</t>
  </si>
  <si>
    <t xml:space="preserve">ytd_actual_revenue</t>
  </si>
  <si>
    <t xml:space="preserve">YTD actual revenue (Apr-Aug)</t>
  </si>
  <si>
    <t xml:space="preserve">Actual (simulated)</t>
  </si>
  <si>
    <t xml:space="preserve">ytd_revenue_variance</t>
  </si>
  <si>
    <t xml:space="preserve">YTD revenue variance</t>
  </si>
  <si>
    <t xml:space="preserve">ytd_budget_op</t>
  </si>
  <si>
    <t xml:space="preserve">YTD budget operating profit</t>
  </si>
  <si>
    <t xml:space="preserve">ytd_actual_op</t>
  </si>
  <si>
    <t xml:space="preserve">YTD actual operating profit</t>
  </si>
  <si>
    <t xml:space="preserve">ytd_op_variance</t>
  </si>
  <si>
    <t xml:space="preserve">YTD operating-profit variance</t>
  </si>
  <si>
    <t xml:space="preserve">FY2027 outlook revenue (actual + forecast)</t>
  </si>
  <si>
    <t xml:space="preserve">Outlook</t>
  </si>
  <si>
    <t xml:space="preserve">outlook_op</t>
  </si>
  <si>
    <t xml:space="preserve">FY2027 outlook operating profit</t>
  </si>
  <si>
    <t xml:space="preserve">outlook_op_vs_budget</t>
  </si>
  <si>
    <t xml:space="preserve">Outlook operating profit vs budget</t>
  </si>
  <si>
    <t xml:space="preserve">TABLE: variance_pnl</t>
  </si>
  <si>
    <t xml:space="preserve">YTD Apr-Aug budget vs actual P&amp;L (favorable variance = positive)</t>
  </si>
  <si>
    <t xml:space="preserve">budget</t>
  </si>
  <si>
    <t xml:space="preserve">actual</t>
  </si>
  <si>
    <t xml:space="preserve">variance</t>
  </si>
  <si>
    <t xml:space="preserve">assessment</t>
  </si>
  <si>
    <t xml:space="preserve">rev_mcu</t>
  </si>
  <si>
    <t xml:space="preserve">Revenue - MCU</t>
  </si>
  <si>
    <t xml:space="preserve">rev_ana</t>
  </si>
  <si>
    <t xml:space="preserve">Revenue - Analog &amp; power</t>
  </si>
  <si>
    <t xml:space="preserve">rev_fpga</t>
  </si>
  <si>
    <t xml:space="preserve">Revenue - FPGA</t>
  </si>
  <si>
    <t xml:space="preserve">rev</t>
  </si>
  <si>
    <t xml:space="preserve">cor</t>
  </si>
  <si>
    <t xml:space="preserve">gp</t>
  </si>
  <si>
    <t xml:space="preserve">gm</t>
  </si>
  <si>
    <t xml:space="preserve">op</t>
  </si>
  <si>
    <t xml:space="preserve">om</t>
  </si>
  <si>
    <t xml:space="preserve">TABLE: revenue_variance</t>
  </si>
  <si>
    <t xml:space="preserve">Revenue variance by component and product (YTD)</t>
  </si>
  <si>
    <t xml:space="preserve">component_id</t>
  </si>
  <si>
    <t xml:space="preserve">division</t>
  </si>
  <si>
    <t xml:space="preserve">r_price</t>
  </si>
  <si>
    <t xml:space="preserve">r_vol</t>
  </si>
  <si>
    <t xml:space="preserve">Volume</t>
  </si>
  <si>
    <t xml:space="preserve">r_mix</t>
  </si>
  <si>
    <t xml:space="preserve">r_tot</t>
  </si>
  <si>
    <t xml:space="preserve">TABLE: op_bridge</t>
  </si>
  <si>
    <t xml:space="preserve">Operating-profit waterfall, YTD (division)</t>
  </si>
  <si>
    <t xml:space="preserve">order</t>
  </si>
  <si>
    <t xml:space="preserve">step_id</t>
  </si>
  <si>
    <t xml:space="preserve">kind</t>
  </si>
  <si>
    <t xml:space="preserve">start</t>
  </si>
  <si>
    <t xml:space="preserve">Budget operating profit</t>
  </si>
  <si>
    <t xml:space="preserve">b_price</t>
  </si>
  <si>
    <t xml:space="preserve">delta</t>
  </si>
  <si>
    <t xml:space="preserve">b_vol</t>
  </si>
  <si>
    <t xml:space="preserve">b_mix</t>
  </si>
  <si>
    <t xml:space="preserve">b_mat</t>
  </si>
  <si>
    <t xml:space="preserve">b_yld</t>
  </si>
  <si>
    <t xml:space="preserve">b_fix</t>
  </si>
  <si>
    <t xml:space="preserve">Fixed manufacturing spending</t>
  </si>
  <si>
    <t xml:space="preserve">b_abs</t>
  </si>
  <si>
    <t xml:space="preserve">Production volume &amp; inventory</t>
  </si>
  <si>
    <t xml:space="preserve">b_rd</t>
  </si>
  <si>
    <t xml:space="preserve">b_sga</t>
  </si>
  <si>
    <t xml:space="preserve">end</t>
  </si>
  <si>
    <t xml:space="preserve">Actual operating profit</t>
  </si>
  <si>
    <t xml:space="preserve">TABLE: variance_required</t>
  </si>
  <si>
    <t xml:space="preserve">The eight required variances + reconciliation flags</t>
  </si>
  <si>
    <t xml:space="preserve">variance_id</t>
  </si>
  <si>
    <t xml:space="preserve">s_rev</t>
  </si>
  <si>
    <t xml:space="preserve">s_price</t>
  </si>
  <si>
    <t xml:space="preserve">s_vol</t>
  </si>
  <si>
    <t xml:space="preserve">s_mix</t>
  </si>
  <si>
    <t xml:space="preserve">s_mat</t>
  </si>
  <si>
    <t xml:space="preserve">s_yld</t>
  </si>
  <si>
    <t xml:space="preserve">s_opex</t>
  </si>
  <si>
    <t xml:space="preserve">s_op</t>
  </si>
  <si>
    <t xml:space="preserve">reconciliation_revenue</t>
  </si>
  <si>
    <t xml:space="preserve">Revenue decomposition status</t>
  </si>
  <si>
    <t xml:space="preserve">reconciliation_bridge</t>
  </si>
  <si>
    <t xml:space="preserve">Operating-profit bridge status</t>
  </si>
  <si>
    <t xml:space="preserve">TABLE: variance_kpis</t>
  </si>
  <si>
    <t xml:space="preserve">YTD operating KPIs by product, budget vs actual</t>
  </si>
  <si>
    <t xml:space="preserve">kpi_id</t>
  </si>
  <si>
    <t xml:space="preserve">sold</t>
  </si>
  <si>
    <t xml:space="preserve">ASP</t>
  </si>
  <si>
    <t xml:space="preserve">yld</t>
  </si>
  <si>
    <t xml:space="preserve">Yield</t>
  </si>
  <si>
    <t xml:space="preserve">util</t>
  </si>
  <si>
    <t xml:space="preserve">Utilization</t>
  </si>
  <si>
    <t xml:space="preserve">cpgu</t>
  </si>
  <si>
    <t xml:space="preserve">unmet</t>
  </si>
  <si>
    <t xml:space="preserve">TABLE: capex_summary</t>
  </si>
  <si>
    <t xml:space="preserve">Capital decision by scenario (all three evaluated at once)</t>
  </si>
  <si>
    <t xml:space="preserve">npv</t>
  </si>
  <si>
    <t xml:space="preserve">irr</t>
  </si>
  <si>
    <t xml:space="preserve">payback_years</t>
  </si>
  <si>
    <t xml:space="preserve">break_even_utilization</t>
  </si>
  <si>
    <t xml:space="preserve">implied_utilization</t>
  </si>
  <si>
    <t xml:space="preserve">npv_test</t>
  </si>
  <si>
    <t xml:space="preserve">irr_test</t>
  </si>
  <si>
    <t xml:space="preserve">payback_test</t>
  </si>
  <si>
    <t xml:space="preserve">meets_all</t>
  </si>
  <si>
    <t xml:space="preserve">TABLE: capex_cashflows</t>
  </si>
  <si>
    <t xml:space="preserve">Incremental cash flows by scenario and year</t>
  </si>
  <si>
    <t xml:space="preserve">year</t>
  </si>
  <si>
    <t xml:space="preserve">pv</t>
  </si>
  <si>
    <t xml:space="preserve">incremental_units</t>
  </si>
  <si>
    <t xml:space="preserve">scrap_savings</t>
  </si>
  <si>
    <t xml:space="preserve">TABLE: capex_inputs</t>
  </si>
  <si>
    <t xml:space="preserve">Project inputs and recommendation text</t>
  </si>
  <si>
    <t xml:space="preserve">price</t>
  </si>
  <si>
    <t xml:space="preserve">Equipment purchase price ($m)</t>
  </si>
  <si>
    <t xml:space="preserve">install</t>
  </si>
  <si>
    <t xml:space="preserve">Installation ($m)</t>
  </si>
  <si>
    <t xml:space="preserve">Total investment ($m)</t>
  </si>
  <si>
    <t xml:space="preserve">add_cap</t>
  </si>
  <si>
    <t xml:space="preserve">Added capacity (m units/month)</t>
  </si>
  <si>
    <t xml:space="preserve">yld_gain</t>
  </si>
  <si>
    <t xml:space="preserve">Yield improvement (pts)</t>
  </si>
  <si>
    <t xml:space="preserve">savings</t>
  </si>
  <si>
    <t xml:space="preserve">Operating savings ($m/yr)</t>
  </si>
  <si>
    <t xml:space="preserve">maint</t>
  </si>
  <si>
    <t xml:space="preserve">Maintenance ($m/yr)</t>
  </si>
  <si>
    <t xml:space="preserve">life</t>
  </si>
  <si>
    <t xml:space="preserve">Useful life (years)</t>
  </si>
  <si>
    <t xml:space="preserve">rate</t>
  </si>
  <si>
    <t xml:space="preserve">Discount rate</t>
  </si>
  <si>
    <t xml:space="preserve">hurdle</t>
  </si>
  <si>
    <t xml:space="preserve">IRR hurdle</t>
  </si>
  <si>
    <t xml:space="preserve">max_pb</t>
  </si>
  <si>
    <t xml:space="preserve">Maximum payback (years)</t>
  </si>
  <si>
    <t xml:space="preserve">recommendation</t>
  </si>
  <si>
    <t xml:space="preserve">Recommendation</t>
  </si>
  <si>
    <t xml:space="preserve">rule</t>
  </si>
  <si>
    <t xml:space="preserve">Decision rule</t>
  </si>
  <si>
    <t xml:space="preserve">checkpoint</t>
  </si>
  <si>
    <t xml:space="preserve">Checkpoint</t>
  </si>
  <si>
    <t xml:space="preserve">TABLE: scenario_drivers</t>
  </si>
  <si>
    <t xml:space="preserve">The nine scenario drivers, all three cases (User-provided assumptions)</t>
  </si>
  <si>
    <t xml:space="preserve">driver_id</t>
  </si>
  <si>
    <t xml:space="preserve">dem_g</t>
  </si>
  <si>
    <t xml:space="preserve">asp_chg</t>
  </si>
  <si>
    <t xml:space="preserve">yld_adj</t>
  </si>
  <si>
    <t xml:space="preserve">mat_inf</t>
  </si>
  <si>
    <t xml:space="preserve">rd_g</t>
  </si>
  <si>
    <t xml:space="preserve">sga_g</t>
  </si>
  <si>
    <t xml:space="preserve">capex_pct</t>
  </si>
  <si>
    <t xml:space="preserve">tax</t>
  </si>
  <si>
    <t xml:space="preserve">TABLE: history</t>
  </si>
  <si>
    <t xml:space="preserve">Microchip Technology reported history (Reported public data + Calculated values)</t>
  </si>
  <si>
    <t xml:space="preserve">margin_before_amortization</t>
  </si>
  <si>
    <t xml:space="preserve">fcf_project_definition</t>
  </si>
  <si>
    <t xml:space="preserve">capex_pct_sales</t>
  </si>
  <si>
    <t xml:space="preserve">dio_days</t>
  </si>
  <si>
    <t xml:space="preserve">mcu_segment_sales</t>
  </si>
  <si>
    <t xml:space="preserve">ana_segment_sales</t>
  </si>
  <si>
    <t xml:space="preserve">fpga_segment_sales</t>
  </si>
  <si>
    <t xml:space="preserve">TABLE: control_totals</t>
  </si>
  <si>
    <t xml:space="preserve">Excel control totals - the dashboard must reproduce these exactly</t>
  </si>
  <si>
    <t xml:space="preserve">control_id</t>
  </si>
  <si>
    <t xml:space="preserve">revenue_fy</t>
  </si>
  <si>
    <t xml:space="preserve">operating_profit_fy</t>
  </si>
  <si>
    <t xml:space="preserve">net_income_fy</t>
  </si>
  <si>
    <t xml:space="preserve">fcf_fy</t>
  </si>
  <si>
    <t xml:space="preserve">gross_profit_fy</t>
  </si>
  <si>
    <t xml:space="preserve">capex_npv_base</t>
  </si>
  <si>
    <t xml:space="preserve">Model Checks</t>
  </si>
  <si>
    <t xml:space="preserve">Each check computes an independent result and compares it to the model. Tolerance = 0.05 ($m) or 0.0001 (ratios).</t>
  </si>
  <si>
    <t xml:space="preserve">Check</t>
  </si>
  <si>
    <t xml:space="preserve">Tolerance</t>
  </si>
  <si>
    <t xml:space="preserve">Reported data - internal consistency</t>
  </si>
  <si>
    <t xml:space="preserve">Gross profit = net sales - cost of sales</t>
  </si>
  <si>
    <t xml:space="preserve">Operating expenses = R&amp;D + SG&amp;A + other operating items</t>
  </si>
  <si>
    <t xml:space="preserve">Operating income = gross profit - operating expenses</t>
  </si>
  <si>
    <t xml:space="preserve">Pre-tax income = operating income + non-operating items</t>
  </si>
  <si>
    <t xml:space="preserve">Net income = pre-tax income - tax</t>
  </si>
  <si>
    <t xml:space="preserve">Reported segments / product lines sum to net sales</t>
  </si>
  <si>
    <t xml:space="preserve">Reportable segments sum to net sales</t>
  </si>
  <si>
    <t xml:space="preserve">Cash-flow net income = income-statement net income</t>
  </si>
  <si>
    <t xml:space="preserve">Cash-flow ending cash = balance-sheet cash</t>
  </si>
  <si>
    <t xml:space="preserve">Total current assets = cash + ST investments + AR + inventory + other (+ other listed)</t>
  </si>
  <si>
    <t xml:space="preserve">Balance sheet</t>
  </si>
  <si>
    <t xml:space="preserve">Total current liabilities = AP + accrued + current debt (+ other listed)</t>
  </si>
  <si>
    <t xml:space="preserve">Inventory components sum to total inventory</t>
  </si>
  <si>
    <t xml:space="preserve">Historical analysis - independent recomputation</t>
  </si>
  <si>
    <t xml:space="preserve">Gross margin = 1 - cost of sales / net sales (alternate route)</t>
  </si>
  <si>
    <t xml:space="preserve">Analysis</t>
  </si>
  <si>
    <t xml:space="preserve">Segment mix sums to 100%</t>
  </si>
  <si>
    <t xml:space="preserve">Growth chain: prior-year sales x (1 + growth) = current sales</t>
  </si>
  <si>
    <t xml:space="preserve">FCF (project) recomputed directly from Hist_Data</t>
  </si>
  <si>
    <t xml:space="preserve">FCF (project) + other non-cash items = CFO - capex</t>
  </si>
  <si>
    <t xml:space="preserve">Cash conversion cycle = DSO + DIO - DPO (recomputed from balances)</t>
  </si>
  <si>
    <t xml:space="preserve">Working capital</t>
  </si>
  <si>
    <t xml:space="preserve">Hand-calculable unit tests (fixed inputs, known answers)</t>
  </si>
  <si>
    <t xml:space="preserve">Unit test</t>
  </si>
  <si>
    <t xml:space="preserve">Result</t>
  </si>
  <si>
    <t xml:space="preserve">Expected</t>
  </si>
  <si>
    <t xml:space="preserve">Growth: 100 -&gt; 110 = 10%</t>
  </si>
  <si>
    <t xml:space="preserve">Gross margin: sales 200, COGS 80 = 60%</t>
  </si>
  <si>
    <t xml:space="preserve">FCF: NI 100 + D&amp;A 20 - capex 30 - incr. WC 10 = 80</t>
  </si>
  <si>
    <t xml:space="preserve">Increase in WC from CF lines: AR -15, inventory +5, AP +3 -&gt; +7 absorbed</t>
  </si>
  <si>
    <t xml:space="preserve">DSO: AR 100, sales 365 = 100 days</t>
  </si>
  <si>
    <t xml:space="preserve">CCC: DSO 50 + DIO 120 - DPO 30 = 140 days</t>
  </si>
  <si>
    <t xml:space="preserve">Mix: 50 + 30 + 20 of 100 sums to 100%</t>
  </si>
  <si>
    <t xml:space="preserve">Phase 2 - scenario controls and operating model (result = absolute difference or violation count)</t>
  </si>
  <si>
    <t xml:space="preserve">Scenario selector holds a valid scenario name</t>
  </si>
  <si>
    <t xml:space="preserve">Scenario</t>
  </si>
  <si>
    <t xml:space="preserve">Live column = selected scenario column (all 9 drivers)</t>
  </si>
  <si>
    <t xml:space="preserve">Ops_Model shows the selected scenario name</t>
  </si>
  <si>
    <t xml:space="preserve">Seasonality factors sum to 12.00</t>
  </si>
  <si>
    <t xml:space="preserve">Dates &amp; units</t>
  </si>
  <si>
    <t xml:space="preserve">12 consecutive months, Apr-2026 to Mar-2027</t>
  </si>
  <si>
    <t xml:space="preserve">Base-year mix sums to 100%</t>
  </si>
  <si>
    <t xml:space="preserve">Base-year product revenue sums to division revenue</t>
  </si>
  <si>
    <t xml:space="preserve">Utilization and yield within 0-100% (violations)</t>
  </si>
  <si>
    <t xml:space="preserve">Units produced = capacity x utilization (all months, all products)</t>
  </si>
  <si>
    <t xml:space="preserve">Good units = units produced x yield</t>
  </si>
  <si>
    <t xml:space="preserve">Units sold = MIN(demand, available good units)</t>
  </si>
  <si>
    <t xml:space="preserve">No negative inventory (violations)</t>
  </si>
  <si>
    <t xml:space="preserve">Inventory units roll forward: opening + good - sold = closing (FY)</t>
  </si>
  <si>
    <t xml:space="preserve">Inventory value rolls forward: opening + mfg cost - cost of revenue = closing (FY)</t>
  </si>
  <si>
    <t xml:space="preserve">Revenue = SUMPRODUCT(units sold, ASP) vs FY total (monthly-to-annual)</t>
  </si>
  <si>
    <t xml:space="preserve">Variable cost = SUMPRODUCT(units produced, cost per unit) vs FY total</t>
  </si>
  <si>
    <t xml:space="preserve">Cost</t>
  </si>
  <si>
    <t xml:space="preserve">Division revenue = sum of product FY revenue</t>
  </si>
  <si>
    <t xml:space="preserve">Division gross profit = revenue - cost of revenue</t>
  </si>
  <si>
    <t xml:space="preserve">Division monthly revenue sums to FY (independent SUM of product rows)</t>
  </si>
  <si>
    <t xml:space="preserve">Contribution margin &gt;= gross profit (fixed cost absorbed in cost of revenue)</t>
  </si>
  <si>
    <t xml:space="preserve">Unit test (hand-calculable)</t>
  </si>
  <si>
    <t xml:space="preserve">Capacity 100 x utilization 80% = 80 units produced</t>
  </si>
  <si>
    <t xml:space="preserve">80 produced x 90% yield = 72 good units</t>
  </si>
  <si>
    <t xml:space="preserve">Demand 70, available 0 + 72 -&gt; units sold = MIN(70,72) = 70</t>
  </si>
  <si>
    <t xml:space="preserve">Demand 90, available 72 -&gt; sold 72, unmet 18</t>
  </si>
  <si>
    <t xml:space="preserve">70 units x ASP $2.00 = $140 revenue</t>
  </si>
  <si>
    <t xml:space="preserve">Weighted avg: open 10u @ $1 + 72u costing $90 -&gt; $100/82 per unit</t>
  </si>
  <si>
    <t xml:space="preserve">Cost of revenue: 70 sold x ($100/82) = $85.366</t>
  </si>
  <si>
    <t xml:space="preserve">Closing value: 10 + 90 - 85.366 = 12 units x 1.2195</t>
  </si>
  <si>
    <t xml:space="preserve">Contribution: $140 - 70 x ($0.45 / 90% yield) = $105</t>
  </si>
  <si>
    <t xml:space="preserve">Phase 3 - revenue, P&amp;L and free cash flow (result = absolute difference or violation count)</t>
  </si>
  <si>
    <t xml:space="preserve">Revenue tab = Ops_Model revenue, every product and month</t>
  </si>
  <si>
    <t xml:space="preserve">Revenue: sum of quarters = FY = sum of months (division)</t>
  </si>
  <si>
    <t xml:space="preserve">Monthly-to-annual</t>
  </si>
  <si>
    <t xml:space="preserve">Revenue mix sums to 100% in every month</t>
  </si>
  <si>
    <t xml:space="preserve">P&amp;L revenue = Ops_Model division revenue (FY)</t>
  </si>
  <si>
    <t xml:space="preserve">Gross profit reconciliation: P&amp;L GP + new-capex depreciation = Ops_Model GP</t>
  </si>
  <si>
    <t xml:space="preserve">Gross profit = revenue - cost of revenue (every month)</t>
  </si>
  <si>
    <t xml:space="preserve">Operating profit = gross profit - R&amp;D - SG&amp;A (every month)</t>
  </si>
  <si>
    <t xml:space="preserve">FY R&amp;D = base-year R&amp;D x (1 + growth); FY SG&amp;A likewise</t>
  </si>
  <si>
    <t xml:space="preserve">Tax = tax rate x pre-tax income (FY)</t>
  </si>
  <si>
    <t xml:space="preserve">Net income = pre-tax - tax (FY) and quarters sum to FY</t>
  </si>
  <si>
    <t xml:space="preserve">Capex = capex % x revenue (FY)</t>
  </si>
  <si>
    <t xml:space="preserve">New-capex depreciation (FY) = SUMPRODUCT(capex, months remaining) / life</t>
  </si>
  <si>
    <t xml:space="preserve">Increase in WC summed over the year = closing WC - opening WC</t>
  </si>
  <si>
    <t xml:space="preserve">FCF = NI + depreciation - capex - increase in WC (independent, every month)</t>
  </si>
  <si>
    <t xml:space="preserve">Cumulative FCF at March = FY FCF</t>
  </si>
  <si>
    <t xml:space="preserve">Cash identity: NI + dep - dWC = revenue - cash costs - tax - dAR + dAP (FY)</t>
  </si>
  <si>
    <t xml:space="preserve">Inventory on FCF tab = Ops_Model closing inventory (every month)</t>
  </si>
  <si>
    <t xml:space="preserve">All forecast tabs show the selected scenario</t>
  </si>
  <si>
    <t xml:space="preserve">Forecast month headers match Ops_Model (Revenue, PnL, FCF)</t>
  </si>
  <si>
    <t xml:space="preserve">AR: monthly revenue 100 x 12 x DSO 60 / 365 = 197.260</t>
  </si>
  <si>
    <t xml:space="preserve">Straight-line: capex 60, life 60 months = 1.0 per month</t>
  </si>
  <si>
    <t xml:space="preserve">Capex in month 1 of 12 depreciates 11 months in-year: 60 x 11/60 = 11</t>
  </si>
  <si>
    <t xml:space="preserve">Tax: pre-tax 100 x 18% = 18; net income = 82</t>
  </si>
  <si>
    <t xml:space="preserve">Operating profit: GP 600 - R&amp;D 210 - SG&amp;A 104 = 286</t>
  </si>
  <si>
    <t xml:space="preserve">WC: AR 200 + inventory 150 - AP 50 = 300; increase from 280 = 20</t>
  </si>
  <si>
    <t xml:space="preserve">FCF: NI 82 + dep 10 - capex 30 - increase in WC 20 = 42</t>
  </si>
  <si>
    <t xml:space="preserve">Phase 4 - budget vs actual and variance decomposition</t>
  </si>
  <si>
    <t xml:space="preserve">Budget drivers = Base column of Assumptions (independent of selector)</t>
  </si>
  <si>
    <t xml:space="preserve">When Base is selected: Budget = Ops_Model (revenue and cost of revenue, every product and month)</t>
  </si>
  <si>
    <t xml:space="preserve">When Base is selected: budget operating profit = PnL operating profit (FY)</t>
  </si>
  <si>
    <t xml:space="preserve">Budget: units sold = MIN(demand, available); produced = capacity x utilization; good = produced x yield</t>
  </si>
  <si>
    <t xml:space="preserve">Budget: inventory value rolls forward (opening + mfg cost - cost of revenue = closing)</t>
  </si>
  <si>
    <t xml:space="preserve">Budget: no negative inventory (violations)</t>
  </si>
  <si>
    <t xml:space="preserve">Actuals: units sold = MIN(demand, available); produced = capacity x utilization; good = produced x yield</t>
  </si>
  <si>
    <t xml:space="preserve">Actuals: inventory value rolls forward (opening + mfg cost - cost of revenue = closing)</t>
  </si>
  <si>
    <t xml:space="preserve">Actuals: no negative inventory (violations)</t>
  </si>
  <si>
    <t xml:space="preserve">Budget YTD revenue (Variance tab) = SUM of Budget Apr-Aug product revenue</t>
  </si>
  <si>
    <t xml:space="preserve">Budget vs actual</t>
  </si>
  <si>
    <t xml:space="preserve">Actual YTD revenue (Variance tab) = SUM of Actuals Apr-Aug product revenue</t>
  </si>
  <si>
    <t xml:space="preserve">Budget and actual YTD operating profit = SUM of monthly operating profit</t>
  </si>
  <si>
    <t xml:space="preserve">Revenue: price + volume + mix = total revenue variance (division)</t>
  </si>
  <si>
    <t xml:space="preserve">Variance reconciliation</t>
  </si>
  <si>
    <t xml:space="preserve">Revenue: volume + mix per product = (Ua - Ub) x ASPb</t>
  </si>
  <si>
    <t xml:space="preserve">Operating-profit bridge components reconcile to actual operating profit</t>
  </si>
  <si>
    <t xml:space="preserve">Unit-cost components (material + yield + fixed + absorption) = -Ua x (ca - cb), per product</t>
  </si>
  <si>
    <t xml:space="preserve">Operating-profit variance = revenue + cost-of-revenue + opex variances (favorable-positive signs)</t>
  </si>
  <si>
    <t xml:space="preserve">Monthly variances sum to YTD (revenue and operating profit)</t>
  </si>
  <si>
    <t xml:space="preserve">Actuals months = first five budget months (Apr-Aug 2026)</t>
  </si>
  <si>
    <t xml:space="preserve">Budget and actual start from the same opening inventory</t>
  </si>
  <si>
    <t xml:space="preserve">PVM example - price: 120 x ($9 - $10) + 90 x ($5 - $5) = -120</t>
  </si>
  <si>
    <t xml:space="preserve">PVM example - volume: (210 - 200) x ($1,500 / 200) = +75</t>
  </si>
  <si>
    <t xml:space="preserve">PVM example - mix: (120/210 - 0.5) x 210 x $10 + (90/210 - 0.5) x 210 x $5 = +75</t>
  </si>
  <si>
    <t xml:space="preserve">PVM example - components sum to total variance: 1,530 - 1,500 = 30</t>
  </si>
  <si>
    <t xml:space="preserve">Yield: var. cost $1.00, budget yield 90%, 90 good from 105 started -&gt; -$1 x (105 - 100) = -5</t>
  </si>
  <si>
    <t xml:space="preserve">Material: 105 produced x ($1.10 - $1.00) -&gt; -10.5</t>
  </si>
  <si>
    <t xml:space="preserve">Opex: actual 90 vs budget 87.5 -&gt; -2.5 unfavorable</t>
  </si>
  <si>
    <t xml:space="preserve">Phase 5 - capital investment analysis</t>
  </si>
  <si>
    <t xml:space="preserve">Downside: NPV = SUMPRODUCT(FCF, 1/(1+r)^t) (independent of NPV())</t>
  </si>
  <si>
    <t xml:space="preserve">NPV / IRR</t>
  </si>
  <si>
    <t xml:space="preserve">Downside: NPV at the IRR = 0 (skipped if IRR n.m.)</t>
  </si>
  <si>
    <t xml:space="preserve">Downside: incremental EBITDA = (rev with - rev without) - (var. cost with - without) + savings - maintenance</t>
  </si>
  <si>
    <t xml:space="preserve">Cash flows</t>
  </si>
  <si>
    <t xml:space="preserve">Downside: units sold with &gt;= without, and &lt;= demand (violations)</t>
  </si>
  <si>
    <t xml:space="preserve">Downside: depreciation over life = investment - salvage; working capital fully recovered</t>
  </si>
  <si>
    <t xml:space="preserve">Downside: cumulative FCF in Year 6 = sum of FCF</t>
  </si>
  <si>
    <t xml:space="preserve">Base: NPV = SUMPRODUCT(FCF, 1/(1+r)^t) (independent of NPV())</t>
  </si>
  <si>
    <t xml:space="preserve">Base: NPV at the IRR = 0 (skipped if IRR n.m.)</t>
  </si>
  <si>
    <t xml:space="preserve">Base: incremental EBITDA = (rev with - rev without) - (var. cost with - without) + savings - maintenance</t>
  </si>
  <si>
    <t xml:space="preserve">Base: units sold with &gt;= without, and &lt;= demand (violations)</t>
  </si>
  <si>
    <t xml:space="preserve">Base: depreciation over life = investment - salvage; working capital fully recovered</t>
  </si>
  <si>
    <t xml:space="preserve">Base: cumulative FCF in Year 6 = sum of FCF</t>
  </si>
  <si>
    <t xml:space="preserve">Upside: NPV = SUMPRODUCT(FCF, 1/(1+r)^t) (independent of NPV())</t>
  </si>
  <si>
    <t xml:space="preserve">Upside: NPV at the IRR = 0 (skipped if IRR n.m.)</t>
  </si>
  <si>
    <t xml:space="preserve">Upside: incremental EBITDA = (rev with - rev without) - (var. cost with - without) + savings - maintenance</t>
  </si>
  <si>
    <t xml:space="preserve">Upside: units sold with &gt;= without, and &lt;= demand (violations)</t>
  </si>
  <si>
    <t xml:space="preserve">Upside: depreciation over life = investment - salvage; working capital fully recovered</t>
  </si>
  <si>
    <t xml:space="preserve">Upside: cumulative FCF in Year 6 = sum of FCF</t>
  </si>
  <si>
    <t xml:space="preserve">Capex scenario inputs read the matching Assumptions columns (FY2027 FPGA demand, Base = Ops_Model when Base selected)</t>
  </si>
  <si>
    <t xml:space="preserve">Tax rates in Capex = Assumptions scenario tax rates</t>
  </si>
  <si>
    <t xml:space="preserve">Live decision column = selected scenario</t>
  </si>
  <si>
    <t xml:space="preserve">NPV: -100 now, +60 in years 1 and 2 at 10% = 4.132</t>
  </si>
  <si>
    <t xml:space="preserve">IRR of -100, +60, +60 = 13.066%</t>
  </si>
  <si>
    <t xml:space="preserve">Payback: -100, +60, +60 -&gt; 1 + 40/60 = 1.667 years</t>
  </si>
  <si>
    <t xml:space="preserve">Discount factor year 3 at 9% = 0.7722</t>
  </si>
  <si>
    <t xml:space="preserve">Break-even: NPV without volume -20, PV at full use 80 -&gt; 25%</t>
  </si>
  <si>
    <t xml:space="preserve">Scrap reduction: 10m units, yield 85% -&gt; 88%: 10 x (1/0.85 - 1/0.88) = 0.4011m</t>
  </si>
  <si>
    <t xml:space="preserve">Tax shield: $27m / 6 years x 18% = $0.81m per year</t>
  </si>
  <si>
    <t xml:space="preserve">Phase 6 - dashboard export tables</t>
  </si>
  <si>
    <t xml:space="preserve">Export monthly: 12 records, unique months, first Apr-2026, last Mar-2027</t>
  </si>
  <si>
    <t xml:space="preserve">Missing / duplicate records</t>
  </si>
  <si>
    <t xml:space="preserve">Export product x month: 36 records, 36 unique (month, product) keys, 12 per product</t>
  </si>
  <si>
    <t xml:space="preserve">Export: no blank forecast values (monthly revenue/OP/FCF, product revenue)</t>
  </si>
  <si>
    <t xml:space="preserve">Export: actuals present for exactly 5 months (Apr-Aug) and labeled 'Actual'</t>
  </si>
  <si>
    <t xml:space="preserve">Export monthly revenue / OP / FCF sum = PnL and FCF FY totals</t>
  </si>
  <si>
    <t xml:space="preserve">Dashboard totals vs Excel</t>
  </si>
  <si>
    <t xml:space="preserve">Export product x month revenue sum = division FY revenue; product FY sums match</t>
  </si>
  <si>
    <t xml:space="preserve">Export budget monthly sums = Budget FY; actual monthly sums = Actuals YTD</t>
  </si>
  <si>
    <t xml:space="preserve">Outlook = actuals (Apr-Aug) + forecast (Sep-Mar)</t>
  </si>
  <si>
    <t xml:space="preserve">Export bridge: start + deltas = end, and end = Actuals operating profit</t>
  </si>
  <si>
    <t xml:space="preserve">Export capex summary = Capex tab NPV for all scenarios</t>
  </si>
  <si>
    <t xml:space="preserve">Export capex cash flows: 21 records; NPV rebuilt from exported FCF = exported NPV</t>
  </si>
  <si>
    <t xml:space="preserve">Export value ranges: margins, yields, utilization within 0-100% (violations)</t>
  </si>
  <si>
    <t xml:space="preserve">Export history: 5 fiscal years FY2022-FY2026, net sales = Hist_Data</t>
  </si>
  <si>
    <t xml:space="preserve">Export scenario label = selector</t>
  </si>
  <si>
    <t xml:space="preserve">OVERALL MODEL STATUS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</si>
</sst>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0.0%;\(0.0%\);\-"/>
    <numFmt numFmtId="166" formatCode="0%"/>
    <numFmt numFmtId="167" formatCode="#,##0.0;\(#,##0.0\);\-"/>
    <numFmt numFmtId="168" formatCode="mmm\-yy"/>
    <numFmt numFmtId="169" formatCode="0.0000%"/>
    <numFmt numFmtId="170" formatCode="\$#,##0.00"/>
    <numFmt numFmtId="171" formatCode="#,##0.00"/>
    <numFmt numFmtId="172" formatCode="0.00"/>
    <numFmt numFmtId="173" formatCode="\$#,##0.000"/>
    <numFmt numFmtId="174" formatCode="0"/>
    <numFmt numFmtId="175" formatCode="0.0"/>
    <numFmt numFmtId="176" formatCode="0.00\x;\(0.00&quot;x)&quot;;\-"/>
    <numFmt numFmtId="177" formatCode="0.0;\(0.0\);\-"/>
    <numFmt numFmtId="178" formatCode="#,##0.000"/>
    <numFmt numFmtId="179" formatCode="\$#,##0.0000"/>
    <numFmt numFmtId="180" formatCode="0.000000"/>
    <numFmt numFmtId="181" formatCode="@"/>
    <numFmt numFmtId="182" formatCode="0.0000"/>
    <numFmt numFmtId="183" formatCode="0.00&quot; yrs&quot;"/>
    <numFmt numFmtId="184" formatCode="yyyy\-mm\-dd"/>
    <numFmt numFmtId="185" formatCode="#,##0.0000"/>
    <numFmt numFmtId="186" formatCode="0.0000;\(0.0000\);\-"/>
    <numFmt numFmtId="187" formatCode="[$$-409]#,##0.00;[RED]\-[$$-409]#,##0.00"/>
    <numFmt numFmtId="188" formatCode="0.0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A44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6"/>
      <color rgb="FF1F2A44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CF4"/>
        <bgColor rgb="FFFFF2CC"/>
      </patternFill>
    </fill>
    <fill>
      <patternFill patternType="solid">
        <fgColor rgb="FF1F2A44"/>
        <bgColor rgb="FF003366"/>
      </patternFill>
    </fill>
    <fill>
      <patternFill patternType="solid">
        <fgColor rgb="FFFFF2CC"/>
        <bgColor rgb="FFE8ECF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8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7F7F7F"/>
      <rgbColor rgb="FF003366"/>
      <rgbColor rgb="FF70AD47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OneDrive/Desktop/F&amp;A%20Project%20Engine/outputs/MCHP/model/MCHP_FPA_Model.xlsx" TargetMode="External"/><Relationship Id="rId2" Type="http://schemas.openxmlformats.org/officeDocument/2006/relationships/hyperlink" Target="../../../../OneDrive/Desktop/F&amp;A%20Project%20Engine/outputs/MCHP/model/MCHP_FPA_Model.xlsx" TargetMode="External"/><Relationship Id="rId3" Type="http://schemas.openxmlformats.org/officeDocument/2006/relationships/hyperlink" Target="../../../../OneDrive/Desktop/F&amp;A%20Project%20Engine/outputs/MCHP/model/MCHP_FPA_Model.xlsx" TargetMode="External"/><Relationship Id="rId4" Type="http://schemas.openxmlformats.org/officeDocument/2006/relationships/hyperlink" Target="../../../../OneDrive/Desktop/F&amp;A%20Project%20Engine/outputs/MCHP/model/MCHP_FPA_Model.xlsx" TargetMode="External"/><Relationship Id="rId5" Type="http://schemas.openxmlformats.org/officeDocument/2006/relationships/hyperlink" Target="../../../../OneDrive/Desktop/F&amp;A%20Project%20Engine/outputs/MCHP/model/MCHP_FPA_Model.xlsx" TargetMode="External"/><Relationship Id="rId6" Type="http://schemas.openxmlformats.org/officeDocument/2006/relationships/hyperlink" Target="../../../../OneDrive/Desktop/F&amp;A%20Project%20Engine/outputs/MCHP/model/MCHP_FPA_Model.xlsx" TargetMode="External"/><Relationship Id="rId7" Type="http://schemas.openxmlformats.org/officeDocument/2006/relationships/hyperlink" Target="../../../../OneDrive/Desktop/F&amp;A%20Project%20Engine/outputs/MCHP/model/MCHP_FPA_Model.xlsx" TargetMode="External"/><Relationship Id="rId8" Type="http://schemas.openxmlformats.org/officeDocument/2006/relationships/hyperlink" Target="../../../../OneDrive/Desktop/F&amp;A%20Project%20Engine/outputs/MCHP/model/MCHP_FPA_Model.xlsx" TargetMode="External"/><Relationship Id="rId9" Type="http://schemas.openxmlformats.org/officeDocument/2006/relationships/hyperlink" Target="../../../../OneDrive/Desktop/F&amp;A%20Project%20Engine/outputs/MCHP/model/MCHP_FPA_Model.xlsx" TargetMode="External"/><Relationship Id="rId10" Type="http://schemas.openxmlformats.org/officeDocument/2006/relationships/hyperlink" Target="../../../../OneDrive/Desktop/F&amp;A%20Project%20Engine/outputs/MCHP/model/MCHP_FPA_Model.xlsx" TargetMode="External"/><Relationship Id="rId11" Type="http://schemas.openxmlformats.org/officeDocument/2006/relationships/hyperlink" Target="../../../../OneDrive/Desktop/F&amp;A%20Project%20Engine/outputs/MCHP/model/MCHP_FPA_Model.xlsx" TargetMode="External"/><Relationship Id="rId12" Type="http://schemas.openxmlformats.org/officeDocument/2006/relationships/hyperlink" Target="../../../../OneDrive/Desktop/F&amp;A%20Project%20Engine/outputs/MCHP/model/MCHP_FPA_Model.xlsx" TargetMode="External"/><Relationship Id="rId13" Type="http://schemas.openxmlformats.org/officeDocument/2006/relationships/hyperlink" Target="../../../../OneDrive/Desktop/F&amp;A%20Project%20Engine/outputs/MCHP/model/MCHP_FPA_Model.xlsx" TargetMode="External"/><Relationship Id="rId14" Type="http://schemas.openxmlformats.org/officeDocument/2006/relationships/hyperlink" Target="../../../../OneDrive/Desktop/F&amp;A%20Project%20Engine/outputs/MCHP/model/MCHP_FPA_Model.xlsx" TargetMode="External"/><Relationship Id="rId15" Type="http://schemas.openxmlformats.org/officeDocument/2006/relationships/hyperlink" Target="../../../../OneDrive/Desktop/F&amp;A%20Project%20Engine/outputs/MCHP/model/MCHP_FPA_Model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827054/000082705426000016/" TargetMode="External"/><Relationship Id="rId2" Type="http://schemas.openxmlformats.org/officeDocument/2006/relationships/hyperlink" Target="https://www.sec.gov/Archives/edgar/data/827054/000082705424000098/" TargetMode="External"/><Relationship Id="rId3" Type="http://schemas.openxmlformats.org/officeDocument/2006/relationships/hyperlink" Target="https://www.sec.gov/Archives/edgar/data/827054/000082705423000080/" TargetMode="External"/><Relationship Id="rId4" Type="http://schemas.openxmlformats.org/officeDocument/2006/relationships/hyperlink" Target="https://ir.microchip.com/sec-filings/all-sec-filings/content/0000827054-26-000038/mchp-20260630.htm" TargetMode="External"/><Relationship Id="rId5" Type="http://schemas.openxmlformats.org/officeDocument/2006/relationships/hyperlink" Target="https://www.sec.gov/Archives/edgar/data/827054/000082705426000012/exhibit991q4fy26.ht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true"/>
  </sheetPr>
  <dimension ref="B2:C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8" customFormat="false" ht="42" hidden="false" customHeight="true" outlineLevel="0" collapsed="false">
      <c r="B8" s="5" t="s">
        <v>4</v>
      </c>
      <c r="C8" s="6" t="s">
        <v>5</v>
      </c>
    </row>
    <row r="10" customFormat="false" ht="15" hidden="false" customHeight="false" outlineLevel="0" collapsed="false">
      <c r="B10" s="5" t="s">
        <v>6</v>
      </c>
      <c r="C10" s="7" t="str">
        <f aca="false">Checks!$C$174</f>
        <v>ALL CHECKS PASS</v>
      </c>
    </row>
    <row r="11" customFormat="false" ht="15" hidden="false" customHeight="false" outlineLevel="0" collapsed="false">
      <c r="B11" s="5" t="s">
        <v>7</v>
      </c>
      <c r="C11" s="8" t="s">
        <v>8</v>
      </c>
    </row>
    <row r="13" customFormat="false" ht="15" hidden="false" customHeight="false" outlineLevel="0" collapsed="false">
      <c r="B13" s="5" t="s">
        <v>9</v>
      </c>
    </row>
    <row r="14" customFormat="false" ht="15" hidden="false" customHeight="false" outlineLevel="0" collapsed="false">
      <c r="B14" s="9" t="s">
        <v>10</v>
      </c>
      <c r="C14" s="8" t="s">
        <v>11</v>
      </c>
    </row>
    <row r="15" customFormat="false" ht="15" hidden="false" customHeight="false" outlineLevel="0" collapsed="false">
      <c r="B15" s="9" t="s">
        <v>12</v>
      </c>
      <c r="C15" s="8" t="s">
        <v>13</v>
      </c>
    </row>
    <row r="16" customFormat="false" ht="15" hidden="false" customHeight="false" outlineLevel="0" collapsed="false">
      <c r="B16" s="9" t="s">
        <v>14</v>
      </c>
      <c r="C16" s="8" t="s">
        <v>15</v>
      </c>
    </row>
    <row r="17" customFormat="false" ht="15" hidden="false" customHeight="false" outlineLevel="0" collapsed="false">
      <c r="B17" s="9" t="s">
        <v>16</v>
      </c>
      <c r="C17" s="8" t="s">
        <v>17</v>
      </c>
    </row>
    <row r="18" customFormat="false" ht="15" hidden="false" customHeight="false" outlineLevel="0" collapsed="false">
      <c r="B18" s="9" t="s">
        <v>18</v>
      </c>
      <c r="C18" s="8" t="s">
        <v>19</v>
      </c>
    </row>
    <row r="19" customFormat="false" ht="15" hidden="false" customHeight="false" outlineLevel="0" collapsed="false">
      <c r="B19" s="9" t="s">
        <v>20</v>
      </c>
      <c r="C19" s="8" t="s">
        <v>21</v>
      </c>
    </row>
    <row r="20" customFormat="false" ht="15" hidden="false" customHeight="false" outlineLevel="0" collapsed="false">
      <c r="B20" s="9" t="s">
        <v>22</v>
      </c>
      <c r="C20" s="8" t="s">
        <v>23</v>
      </c>
    </row>
    <row r="21" customFormat="false" ht="15" hidden="false" customHeight="false" outlineLevel="0" collapsed="false">
      <c r="B21" s="9" t="s">
        <v>24</v>
      </c>
      <c r="C21" s="8" t="s">
        <v>25</v>
      </c>
    </row>
    <row r="22" customFormat="false" ht="15" hidden="false" customHeight="false" outlineLevel="0" collapsed="false">
      <c r="B22" s="9" t="s">
        <v>26</v>
      </c>
      <c r="C22" s="8" t="s">
        <v>27</v>
      </c>
    </row>
    <row r="23" customFormat="false" ht="15" hidden="false" customHeight="false" outlineLevel="0" collapsed="false">
      <c r="B23" s="9" t="s">
        <v>28</v>
      </c>
      <c r="C23" s="8" t="s">
        <v>29</v>
      </c>
    </row>
    <row r="24" customFormat="false" ht="15" hidden="false" customHeight="false" outlineLevel="0" collapsed="false">
      <c r="B24" s="9" t="s">
        <v>30</v>
      </c>
      <c r="C24" s="8" t="s">
        <v>31</v>
      </c>
    </row>
    <row r="25" customFormat="false" ht="15" hidden="false" customHeight="false" outlineLevel="0" collapsed="false">
      <c r="B25" s="9" t="s">
        <v>32</v>
      </c>
      <c r="C25" s="8" t="s">
        <v>33</v>
      </c>
    </row>
    <row r="26" customFormat="false" ht="15" hidden="false" customHeight="false" outlineLevel="0" collapsed="false">
      <c r="B26" s="9" t="s">
        <v>34</v>
      </c>
      <c r="C26" s="8" t="s">
        <v>35</v>
      </c>
    </row>
    <row r="27" customFormat="false" ht="15" hidden="false" customHeight="false" outlineLevel="0" collapsed="false">
      <c r="B27" s="9" t="s">
        <v>36</v>
      </c>
      <c r="C27" s="8" t="s">
        <v>37</v>
      </c>
    </row>
    <row r="28" customFormat="false" ht="15" hidden="false" customHeight="false" outlineLevel="0" collapsed="false">
      <c r="B28" s="9" t="s">
        <v>38</v>
      </c>
      <c r="C28" s="8" t="s">
        <v>39</v>
      </c>
    </row>
    <row r="30" customFormat="false" ht="15" hidden="false" customHeight="false" outlineLevel="0" collapsed="false">
      <c r="B30" s="5" t="s">
        <v>40</v>
      </c>
    </row>
    <row r="31" customFormat="false" ht="15" hidden="false" customHeight="false" outlineLevel="0" collapsed="false">
      <c r="B31" s="10" t="s">
        <v>41</v>
      </c>
      <c r="C31" s="8" t="s">
        <v>42</v>
      </c>
    </row>
    <row r="32" customFormat="false" ht="15" hidden="false" customHeight="false" outlineLevel="0" collapsed="false">
      <c r="B32" s="11" t="s">
        <v>41</v>
      </c>
      <c r="C32" s="8" t="s">
        <v>43</v>
      </c>
    </row>
    <row r="33" customFormat="false" ht="15" hidden="false" customHeight="false" outlineLevel="0" collapsed="false">
      <c r="B33" s="12" t="s">
        <v>41</v>
      </c>
      <c r="C33" s="8" t="s">
        <v>44</v>
      </c>
    </row>
    <row r="34" customFormat="false" ht="15" hidden="false" customHeight="false" outlineLevel="0" collapsed="false">
      <c r="B34" s="13" t="s">
        <v>45</v>
      </c>
      <c r="C34" s="8" t="s">
        <v>46</v>
      </c>
    </row>
    <row r="36" customFormat="false" ht="15" hidden="false" customHeight="false" outlineLevel="0" collapsed="false">
      <c r="B36" s="5" t="s">
        <v>47</v>
      </c>
    </row>
    <row r="37" customFormat="false" ht="15" hidden="false" customHeight="false" outlineLevel="0" collapsed="false">
      <c r="C37" s="8" t="s">
        <v>48</v>
      </c>
    </row>
    <row r="38" customFormat="false" ht="15" hidden="false" customHeight="false" outlineLevel="0" collapsed="false">
      <c r="C38" s="8" t="s">
        <v>49</v>
      </c>
    </row>
    <row r="39" customFormat="false" ht="15" hidden="false" customHeight="false" outlineLevel="0" collapsed="false">
      <c r="C39" s="8" t="s">
        <v>50</v>
      </c>
    </row>
    <row r="40" customFormat="false" ht="15" hidden="false" customHeight="false" outlineLevel="0" collapsed="false">
      <c r="C40" s="8" t="s">
        <v>51</v>
      </c>
    </row>
    <row r="42" customFormat="false" ht="15" hidden="false" customHeight="false" outlineLevel="0" collapsed="false">
      <c r="B42" s="5" t="s">
        <v>52</v>
      </c>
      <c r="C42" s="8" t="s">
        <v>53</v>
      </c>
    </row>
  </sheetData>
  <hyperlinks>
    <hyperlink ref="B14" r:id="rId1" location="'Cover'!A1" display="Cover"/>
    <hyperlink ref="B15" r:id="rId2" location="'Sources_Log'!A1" display="Sources_Log"/>
    <hyperlink ref="B16" r:id="rId3" location="'Assumptions'!A1" display="Assumptions"/>
    <hyperlink ref="B17" r:id="rId4" location="'Hist_Data'!A1" display="Hist_Data"/>
    <hyperlink ref="B18" r:id="rId5" location="'Hist_Analysis'!A1" display="Hist_Analysis"/>
    <hyperlink ref="B19" r:id="rId6" location="'Ops_Model'!A1" display="Ops_Model"/>
    <hyperlink ref="B20" r:id="rId7" location="'Revenue'!A1" display="Revenue"/>
    <hyperlink ref="B21" r:id="rId8" location="'PnL'!A1" display="PnL"/>
    <hyperlink ref="B22" r:id="rId9" location="'FCF'!A1" display="FCF"/>
    <hyperlink ref="B23" r:id="rId10" location="'Budget'!A1" display="Budget"/>
    <hyperlink ref="B24" r:id="rId11" location="'Actuals'!A1" display="Actuals"/>
    <hyperlink ref="B25" r:id="rId12" location="'Variance'!A1" display="Variance"/>
    <hyperlink ref="B26" r:id="rId13" location="'Capex'!A1" display="Capex"/>
    <hyperlink ref="B27" r:id="rId14" location="'Dash_Export'!A1" display="Dash_Export"/>
    <hyperlink ref="B28" r:id="rId15" location="'Checks'!A1" display="Check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60"/>
    <col collapsed="false" customWidth="true" hidden="false" outlineLevel="0" max="7" min="6" style="0" width="22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4" t="s">
        <v>54</v>
      </c>
    </row>
    <row r="2" customFormat="false" ht="15" hidden="false" customHeight="false" outlineLevel="0" collapsed="false">
      <c r="A2" s="4" t="s">
        <v>55</v>
      </c>
    </row>
    <row r="3" customFormat="false" ht="15" hidden="false" customHeight="false" outlineLevel="0" collapsed="false">
      <c r="A3" s="15" t="s">
        <v>2</v>
      </c>
    </row>
    <row r="5" customFormat="false" ht="15" hidden="false" customHeight="false" outlineLevel="0" collapsed="false">
      <c r="A5" s="16" t="s">
        <v>56</v>
      </c>
      <c r="B5" s="17"/>
      <c r="C5" s="17"/>
      <c r="D5" s="17"/>
      <c r="E5" s="17"/>
      <c r="F5" s="17"/>
      <c r="G5" s="17"/>
      <c r="H5" s="17"/>
    </row>
    <row r="6" customFormat="false" ht="15" hidden="false" customHeight="false" outlineLevel="0" collapsed="false">
      <c r="A6" s="18" t="s">
        <v>57</v>
      </c>
      <c r="B6" s="19" t="s">
        <v>58</v>
      </c>
      <c r="C6" s="19" t="s">
        <v>59</v>
      </c>
      <c r="D6" s="19" t="s">
        <v>60</v>
      </c>
      <c r="E6" s="19" t="s">
        <v>61</v>
      </c>
      <c r="F6" s="19" t="s">
        <v>62</v>
      </c>
      <c r="G6" s="19" t="s">
        <v>63</v>
      </c>
      <c r="H6" s="19"/>
    </row>
    <row r="7" customFormat="false" ht="35.5" hidden="false" customHeight="false" outlineLevel="0" collapsed="false">
      <c r="A7" s="6" t="s">
        <v>64</v>
      </c>
      <c r="B7" s="6" t="s">
        <v>65</v>
      </c>
      <c r="C7" s="6" t="s">
        <v>66</v>
      </c>
      <c r="D7" s="6" t="s">
        <v>67</v>
      </c>
      <c r="E7" s="20" t="s">
        <v>68</v>
      </c>
      <c r="F7" s="6" t="s">
        <v>69</v>
      </c>
      <c r="G7" s="6" t="s">
        <v>70</v>
      </c>
    </row>
    <row r="8" customFormat="false" ht="24.05" hidden="false" customHeight="false" outlineLevel="0" collapsed="false">
      <c r="A8" s="6" t="s">
        <v>71</v>
      </c>
      <c r="B8" s="6" t="s">
        <v>72</v>
      </c>
      <c r="C8" s="6" t="s">
        <v>73</v>
      </c>
      <c r="D8" s="6" t="s">
        <v>74</v>
      </c>
      <c r="E8" s="20" t="s">
        <v>75</v>
      </c>
      <c r="F8" s="6" t="s">
        <v>76</v>
      </c>
      <c r="G8" s="6" t="s">
        <v>70</v>
      </c>
    </row>
    <row r="9" customFormat="false" ht="24.05" hidden="false" customHeight="false" outlineLevel="0" collapsed="false">
      <c r="A9" s="6" t="s">
        <v>77</v>
      </c>
      <c r="B9" s="6" t="s">
        <v>78</v>
      </c>
      <c r="C9" s="6" t="s">
        <v>79</v>
      </c>
      <c r="D9" s="6" t="s">
        <v>80</v>
      </c>
      <c r="E9" s="20" t="s">
        <v>81</v>
      </c>
      <c r="F9" s="6" t="s">
        <v>82</v>
      </c>
      <c r="G9" s="6" t="s">
        <v>70</v>
      </c>
    </row>
    <row r="10" customFormat="false" ht="24.05" hidden="false" customHeight="false" outlineLevel="0" collapsed="false">
      <c r="A10" s="6" t="s">
        <v>83</v>
      </c>
      <c r="B10" s="6" t="s">
        <v>84</v>
      </c>
      <c r="C10" s="6" t="s">
        <v>85</v>
      </c>
      <c r="D10" s="6" t="s">
        <v>86</v>
      </c>
      <c r="E10" s="20" t="s">
        <v>87</v>
      </c>
      <c r="F10" s="6" t="s">
        <v>88</v>
      </c>
      <c r="G10" s="6" t="s">
        <v>70</v>
      </c>
    </row>
    <row r="11" customFormat="false" ht="24.05" hidden="false" customHeight="false" outlineLevel="0" collapsed="false">
      <c r="A11" s="6" t="s">
        <v>89</v>
      </c>
      <c r="B11" s="6" t="s">
        <v>90</v>
      </c>
      <c r="C11" s="6" t="s">
        <v>91</v>
      </c>
      <c r="D11" s="6" t="s">
        <v>92</v>
      </c>
      <c r="E11" s="20" t="s">
        <v>93</v>
      </c>
      <c r="F11" s="6" t="s">
        <v>94</v>
      </c>
      <c r="G11" s="6" t="s">
        <v>70</v>
      </c>
    </row>
    <row r="13" customFormat="false" ht="15" hidden="false" customHeight="false" outlineLevel="0" collapsed="false">
      <c r="A13" s="16" t="s">
        <v>95</v>
      </c>
      <c r="B13" s="17"/>
      <c r="C13" s="17"/>
      <c r="D13" s="17"/>
      <c r="E13" s="17"/>
      <c r="F13" s="17"/>
      <c r="G13" s="17"/>
      <c r="H13" s="17"/>
    </row>
    <row r="14" customFormat="false" ht="15" hidden="false" customHeight="false" outlineLevel="0" collapsed="false">
      <c r="A14" s="18" t="s">
        <v>57</v>
      </c>
      <c r="B14" s="19" t="s">
        <v>96</v>
      </c>
      <c r="C14" s="19" t="s">
        <v>97</v>
      </c>
      <c r="D14" s="19" t="s">
        <v>98</v>
      </c>
      <c r="E14" s="19" t="s">
        <v>99</v>
      </c>
      <c r="F14" s="19" t="s">
        <v>100</v>
      </c>
      <c r="G14" s="19" t="s">
        <v>101</v>
      </c>
      <c r="H14" s="19" t="s">
        <v>102</v>
      </c>
    </row>
    <row r="15" customFormat="false" ht="24.05" hidden="false" customHeight="false" outlineLevel="0" collapsed="false">
      <c r="A15" s="6" t="s">
        <v>103</v>
      </c>
      <c r="B15" s="6" t="s">
        <v>104</v>
      </c>
      <c r="C15" s="6" t="s">
        <v>105</v>
      </c>
      <c r="D15" s="6" t="s">
        <v>106</v>
      </c>
      <c r="E15" s="6" t="s">
        <v>107</v>
      </c>
      <c r="F15" s="6" t="s">
        <v>108</v>
      </c>
      <c r="G15" s="6" t="s">
        <v>109</v>
      </c>
      <c r="H15" s="6" t="s">
        <v>110</v>
      </c>
    </row>
    <row r="16" customFormat="false" ht="24.05" hidden="false" customHeight="false" outlineLevel="0" collapsed="false">
      <c r="A16" s="6" t="s">
        <v>111</v>
      </c>
      <c r="B16" s="6" t="s">
        <v>104</v>
      </c>
      <c r="C16" s="6" t="s">
        <v>112</v>
      </c>
      <c r="D16" s="6" t="s">
        <v>113</v>
      </c>
      <c r="E16" s="6" t="s">
        <v>114</v>
      </c>
      <c r="F16" s="6" t="s">
        <v>108</v>
      </c>
      <c r="G16" s="6" t="s">
        <v>115</v>
      </c>
      <c r="H16" s="6" t="s">
        <v>110</v>
      </c>
    </row>
    <row r="17" customFormat="false" ht="24.05" hidden="false" customHeight="false" outlineLevel="0" collapsed="false">
      <c r="A17" s="6" t="s">
        <v>116</v>
      </c>
      <c r="B17" s="6" t="s">
        <v>117</v>
      </c>
      <c r="C17" s="6" t="s">
        <v>118</v>
      </c>
      <c r="D17" s="6" t="s">
        <v>119</v>
      </c>
      <c r="E17" s="6" t="s">
        <v>120</v>
      </c>
      <c r="F17" s="6" t="s">
        <v>108</v>
      </c>
      <c r="G17" s="6" t="s">
        <v>115</v>
      </c>
      <c r="H17" s="6" t="s">
        <v>110</v>
      </c>
    </row>
    <row r="18" customFormat="false" ht="24.05" hidden="false" customHeight="false" outlineLevel="0" collapsed="false">
      <c r="A18" s="6" t="s">
        <v>121</v>
      </c>
      <c r="B18" s="6" t="s">
        <v>117</v>
      </c>
      <c r="C18" s="6" t="s">
        <v>122</v>
      </c>
      <c r="D18" s="6" t="s">
        <v>123</v>
      </c>
      <c r="E18" s="6" t="s">
        <v>124</v>
      </c>
      <c r="F18" s="6" t="s">
        <v>108</v>
      </c>
      <c r="G18" s="6" t="s">
        <v>115</v>
      </c>
      <c r="H18" s="6" t="s">
        <v>110</v>
      </c>
    </row>
    <row r="19" customFormat="false" ht="24.05" hidden="false" customHeight="false" outlineLevel="0" collapsed="false">
      <c r="A19" s="6" t="s">
        <v>125</v>
      </c>
      <c r="B19" s="6" t="s">
        <v>117</v>
      </c>
      <c r="C19" s="6" t="s">
        <v>126</v>
      </c>
      <c r="D19" s="6" t="s">
        <v>127</v>
      </c>
      <c r="E19" s="6" t="s">
        <v>128</v>
      </c>
      <c r="F19" s="6" t="s">
        <v>108</v>
      </c>
      <c r="G19" s="6" t="s">
        <v>115</v>
      </c>
      <c r="H19" s="6" t="s">
        <v>110</v>
      </c>
    </row>
    <row r="20" customFormat="false" ht="24.05" hidden="false" customHeight="false" outlineLevel="0" collapsed="false">
      <c r="A20" s="6" t="s">
        <v>129</v>
      </c>
      <c r="B20" s="6" t="s">
        <v>130</v>
      </c>
      <c r="C20" s="6" t="s">
        <v>131</v>
      </c>
      <c r="D20" s="6" t="s">
        <v>132</v>
      </c>
      <c r="E20" s="6" t="s">
        <v>133</v>
      </c>
      <c r="F20" s="6" t="s">
        <v>108</v>
      </c>
      <c r="G20" s="6" t="s">
        <v>115</v>
      </c>
      <c r="H20" s="6" t="s">
        <v>110</v>
      </c>
    </row>
    <row r="21" customFormat="false" ht="24.05" hidden="false" customHeight="false" outlineLevel="0" collapsed="false">
      <c r="A21" s="6" t="s">
        <v>134</v>
      </c>
      <c r="B21" s="6" t="s">
        <v>130</v>
      </c>
      <c r="C21" s="6" t="s">
        <v>135</v>
      </c>
      <c r="D21" s="6" t="s">
        <v>136</v>
      </c>
      <c r="E21" s="6" t="s">
        <v>137</v>
      </c>
      <c r="F21" s="6" t="s">
        <v>108</v>
      </c>
      <c r="G21" s="6" t="s">
        <v>115</v>
      </c>
      <c r="H21" s="6" t="s">
        <v>110</v>
      </c>
    </row>
    <row r="22" customFormat="false" ht="24.05" hidden="false" customHeight="false" outlineLevel="0" collapsed="false">
      <c r="A22" s="6" t="s">
        <v>138</v>
      </c>
      <c r="B22" s="6" t="s">
        <v>130</v>
      </c>
      <c r="C22" s="6" t="s">
        <v>139</v>
      </c>
      <c r="D22" s="6" t="s">
        <v>140</v>
      </c>
      <c r="E22" s="6" t="s">
        <v>141</v>
      </c>
      <c r="F22" s="6" t="s">
        <v>108</v>
      </c>
      <c r="G22" s="6" t="s">
        <v>115</v>
      </c>
      <c r="H22" s="6" t="s">
        <v>110</v>
      </c>
    </row>
    <row r="23" customFormat="false" ht="24.05" hidden="false" customHeight="false" outlineLevel="0" collapsed="false">
      <c r="A23" s="6" t="s">
        <v>142</v>
      </c>
      <c r="B23" s="6" t="s">
        <v>130</v>
      </c>
      <c r="C23" s="6" t="s">
        <v>143</v>
      </c>
      <c r="D23" s="6" t="s">
        <v>144</v>
      </c>
      <c r="E23" s="6" t="s">
        <v>145</v>
      </c>
      <c r="F23" s="6" t="s">
        <v>146</v>
      </c>
      <c r="G23" s="6" t="s">
        <v>115</v>
      </c>
      <c r="H23" s="6" t="s">
        <v>110</v>
      </c>
    </row>
    <row r="24" customFormat="false" ht="24.05" hidden="false" customHeight="false" outlineLevel="0" collapsed="false">
      <c r="A24" s="6" t="s">
        <v>147</v>
      </c>
      <c r="B24" s="6" t="s">
        <v>148</v>
      </c>
      <c r="C24" s="6" t="s">
        <v>149</v>
      </c>
      <c r="D24" s="6" t="s">
        <v>2</v>
      </c>
      <c r="E24" s="6" t="s">
        <v>150</v>
      </c>
      <c r="F24" s="6" t="s">
        <v>108</v>
      </c>
      <c r="G24" s="6" t="s">
        <v>109</v>
      </c>
      <c r="H24" s="6" t="s">
        <v>110</v>
      </c>
    </row>
    <row r="25" customFormat="false" ht="35.5" hidden="false" customHeight="false" outlineLevel="0" collapsed="false">
      <c r="A25" s="6" t="s">
        <v>151</v>
      </c>
      <c r="B25" s="6" t="s">
        <v>152</v>
      </c>
      <c r="C25" s="6" t="s">
        <v>153</v>
      </c>
      <c r="D25" s="6" t="s">
        <v>154</v>
      </c>
      <c r="E25" s="6" t="s">
        <v>155</v>
      </c>
      <c r="F25" s="6" t="s">
        <v>108</v>
      </c>
      <c r="G25" s="6" t="s">
        <v>109</v>
      </c>
      <c r="H25" s="6" t="s">
        <v>110</v>
      </c>
    </row>
    <row r="26" customFormat="false" ht="24.05" hidden="false" customHeight="false" outlineLevel="0" collapsed="false">
      <c r="A26" s="6" t="s">
        <v>156</v>
      </c>
      <c r="B26" s="6" t="s">
        <v>157</v>
      </c>
      <c r="C26" s="6" t="s">
        <v>158</v>
      </c>
      <c r="D26" s="6" t="s">
        <v>159</v>
      </c>
      <c r="E26" s="6" t="s">
        <v>160</v>
      </c>
      <c r="F26" s="6" t="s">
        <v>108</v>
      </c>
      <c r="G26" s="6" t="s">
        <v>115</v>
      </c>
      <c r="H26" s="6" t="s">
        <v>110</v>
      </c>
    </row>
    <row r="27" customFormat="false" ht="24.05" hidden="false" customHeight="false" outlineLevel="0" collapsed="false">
      <c r="A27" s="6" t="s">
        <v>161</v>
      </c>
      <c r="B27" s="6" t="s">
        <v>152</v>
      </c>
      <c r="C27" s="6" t="s">
        <v>162</v>
      </c>
      <c r="D27" s="6" t="s">
        <v>163</v>
      </c>
      <c r="E27" s="6" t="s">
        <v>164</v>
      </c>
      <c r="F27" s="6" t="s">
        <v>108</v>
      </c>
      <c r="G27" s="6" t="s">
        <v>115</v>
      </c>
      <c r="H27" s="6" t="s">
        <v>110</v>
      </c>
    </row>
    <row r="28" customFormat="false" ht="24.05" hidden="false" customHeight="false" outlineLevel="0" collapsed="false">
      <c r="A28" s="6" t="s">
        <v>165</v>
      </c>
      <c r="B28" s="6" t="s">
        <v>152</v>
      </c>
      <c r="C28" s="6" t="s">
        <v>166</v>
      </c>
      <c r="D28" s="6" t="s">
        <v>167</v>
      </c>
      <c r="E28" s="6" t="s">
        <v>168</v>
      </c>
      <c r="F28" s="6" t="s">
        <v>108</v>
      </c>
      <c r="G28" s="6" t="s">
        <v>115</v>
      </c>
      <c r="H28" s="6" t="s">
        <v>110</v>
      </c>
    </row>
    <row r="29" customFormat="false" ht="24.05" hidden="false" customHeight="false" outlineLevel="0" collapsed="false">
      <c r="A29" s="6" t="s">
        <v>169</v>
      </c>
      <c r="B29" s="6" t="s">
        <v>170</v>
      </c>
      <c r="C29" s="6" t="s">
        <v>171</v>
      </c>
      <c r="D29" s="6" t="s">
        <v>172</v>
      </c>
      <c r="E29" s="6" t="s">
        <v>173</v>
      </c>
      <c r="F29" s="6" t="s">
        <v>108</v>
      </c>
      <c r="G29" s="6" t="s">
        <v>115</v>
      </c>
      <c r="H29" s="6" t="s">
        <v>110</v>
      </c>
    </row>
    <row r="30" customFormat="false" ht="24.05" hidden="false" customHeight="false" outlineLevel="0" collapsed="false">
      <c r="A30" s="6" t="s">
        <v>174</v>
      </c>
      <c r="B30" s="6" t="s">
        <v>175</v>
      </c>
      <c r="C30" s="6" t="s">
        <v>176</v>
      </c>
      <c r="D30" s="6" t="s">
        <v>177</v>
      </c>
      <c r="E30" s="6" t="s">
        <v>178</v>
      </c>
      <c r="F30" s="6" t="s">
        <v>108</v>
      </c>
      <c r="G30" s="6" t="s">
        <v>115</v>
      </c>
      <c r="H30" s="6" t="s">
        <v>110</v>
      </c>
    </row>
    <row r="31" customFormat="false" ht="46.95" hidden="false" customHeight="false" outlineLevel="0" collapsed="false">
      <c r="A31" s="6" t="s">
        <v>179</v>
      </c>
      <c r="B31" s="6" t="s">
        <v>175</v>
      </c>
      <c r="C31" s="6" t="s">
        <v>180</v>
      </c>
      <c r="D31" s="6" t="s">
        <v>181</v>
      </c>
      <c r="E31" s="6" t="s">
        <v>182</v>
      </c>
      <c r="F31" s="6" t="s">
        <v>183</v>
      </c>
      <c r="G31" s="6" t="s">
        <v>115</v>
      </c>
      <c r="H31" s="6" t="s">
        <v>110</v>
      </c>
    </row>
    <row r="32" customFormat="false" ht="35.5" hidden="false" customHeight="false" outlineLevel="0" collapsed="false">
      <c r="A32" s="6" t="s">
        <v>184</v>
      </c>
      <c r="B32" s="6" t="s">
        <v>175</v>
      </c>
      <c r="C32" s="6" t="s">
        <v>185</v>
      </c>
      <c r="D32" s="6" t="s">
        <v>186</v>
      </c>
      <c r="E32" s="6" t="s">
        <v>187</v>
      </c>
      <c r="F32" s="6" t="s">
        <v>183</v>
      </c>
      <c r="G32" s="6" t="s">
        <v>115</v>
      </c>
      <c r="H32" s="6" t="s">
        <v>110</v>
      </c>
    </row>
    <row r="33" customFormat="false" ht="24.05" hidden="false" customHeight="false" outlineLevel="0" collapsed="false">
      <c r="A33" s="6" t="s">
        <v>188</v>
      </c>
      <c r="B33" s="6" t="s">
        <v>175</v>
      </c>
      <c r="C33" s="6" t="s">
        <v>189</v>
      </c>
      <c r="D33" s="6" t="s">
        <v>190</v>
      </c>
      <c r="E33" s="6" t="s">
        <v>191</v>
      </c>
      <c r="F33" s="6" t="s">
        <v>108</v>
      </c>
      <c r="G33" s="6" t="s">
        <v>115</v>
      </c>
      <c r="H33" s="6" t="s">
        <v>110</v>
      </c>
    </row>
    <row r="34" customFormat="false" ht="24.05" hidden="false" customHeight="false" outlineLevel="0" collapsed="false">
      <c r="A34" s="6" t="s">
        <v>192</v>
      </c>
      <c r="B34" s="6" t="s">
        <v>193</v>
      </c>
      <c r="C34" s="6" t="s">
        <v>194</v>
      </c>
      <c r="D34" s="6" t="s">
        <v>195</v>
      </c>
      <c r="E34" s="6" t="s">
        <v>196</v>
      </c>
      <c r="F34" s="6" t="s">
        <v>108</v>
      </c>
      <c r="G34" s="6" t="s">
        <v>115</v>
      </c>
      <c r="H34" s="6" t="s">
        <v>110</v>
      </c>
    </row>
    <row r="35" customFormat="false" ht="24.05" hidden="false" customHeight="false" outlineLevel="0" collapsed="false">
      <c r="A35" s="6" t="s">
        <v>197</v>
      </c>
      <c r="B35" s="6" t="s">
        <v>175</v>
      </c>
      <c r="C35" s="6" t="s">
        <v>198</v>
      </c>
      <c r="D35" s="6" t="s">
        <v>199</v>
      </c>
      <c r="E35" s="6" t="s">
        <v>200</v>
      </c>
      <c r="F35" s="6" t="s">
        <v>183</v>
      </c>
      <c r="G35" s="6" t="s">
        <v>115</v>
      </c>
      <c r="H35" s="6" t="s">
        <v>110</v>
      </c>
    </row>
    <row r="36" customFormat="false" ht="24.05" hidden="false" customHeight="false" outlineLevel="0" collapsed="false">
      <c r="A36" s="6" t="s">
        <v>201</v>
      </c>
      <c r="B36" s="6" t="s">
        <v>175</v>
      </c>
      <c r="C36" s="6" t="s">
        <v>202</v>
      </c>
      <c r="D36" s="6" t="s">
        <v>203</v>
      </c>
      <c r="E36" s="6" t="s">
        <v>204</v>
      </c>
      <c r="F36" s="6" t="s">
        <v>183</v>
      </c>
      <c r="G36" s="6" t="s">
        <v>115</v>
      </c>
      <c r="H36" s="6" t="s">
        <v>110</v>
      </c>
    </row>
    <row r="37" customFormat="false" ht="24.05" hidden="false" customHeight="false" outlineLevel="0" collapsed="false">
      <c r="A37" s="6" t="s">
        <v>205</v>
      </c>
      <c r="B37" s="6" t="s">
        <v>206</v>
      </c>
      <c r="C37" s="6" t="s">
        <v>207</v>
      </c>
      <c r="D37" s="6" t="s">
        <v>208</v>
      </c>
      <c r="E37" s="6" t="s">
        <v>209</v>
      </c>
      <c r="F37" s="6" t="s">
        <v>183</v>
      </c>
      <c r="G37" s="6" t="s">
        <v>115</v>
      </c>
      <c r="H37" s="6" t="s">
        <v>110</v>
      </c>
    </row>
    <row r="38" customFormat="false" ht="24.05" hidden="false" customHeight="false" outlineLevel="0" collapsed="false">
      <c r="A38" s="6" t="s">
        <v>210</v>
      </c>
      <c r="B38" s="6" t="s">
        <v>211</v>
      </c>
      <c r="C38" s="6" t="s">
        <v>212</v>
      </c>
      <c r="D38" s="6" t="s">
        <v>213</v>
      </c>
      <c r="E38" s="6" t="s">
        <v>214</v>
      </c>
      <c r="F38" s="6" t="s">
        <v>108</v>
      </c>
      <c r="G38" s="6" t="s">
        <v>115</v>
      </c>
      <c r="H38" s="6" t="s">
        <v>110</v>
      </c>
    </row>
    <row r="39" customFormat="false" ht="35.5" hidden="false" customHeight="false" outlineLevel="0" collapsed="false">
      <c r="A39" s="6" t="s">
        <v>215</v>
      </c>
      <c r="B39" s="6" t="s">
        <v>211</v>
      </c>
      <c r="C39" s="6" t="s">
        <v>216</v>
      </c>
      <c r="D39" s="6" t="s">
        <v>217</v>
      </c>
      <c r="E39" s="6" t="s">
        <v>218</v>
      </c>
      <c r="F39" s="6" t="s">
        <v>183</v>
      </c>
      <c r="G39" s="6" t="s">
        <v>115</v>
      </c>
      <c r="H39" s="6" t="s">
        <v>110</v>
      </c>
    </row>
    <row r="40" customFormat="false" ht="35.5" hidden="false" customHeight="false" outlineLevel="0" collapsed="false">
      <c r="A40" s="6" t="s">
        <v>219</v>
      </c>
      <c r="B40" s="6" t="s">
        <v>220</v>
      </c>
      <c r="C40" s="6" t="s">
        <v>221</v>
      </c>
      <c r="D40" s="6" t="s">
        <v>222</v>
      </c>
      <c r="E40" s="6" t="s">
        <v>223</v>
      </c>
      <c r="F40" s="6" t="s">
        <v>108</v>
      </c>
      <c r="G40" s="6" t="s">
        <v>115</v>
      </c>
      <c r="H40" s="6" t="s">
        <v>110</v>
      </c>
    </row>
    <row r="41" customFormat="false" ht="24.05" hidden="false" customHeight="false" outlineLevel="0" collapsed="false">
      <c r="A41" s="6" t="s">
        <v>224</v>
      </c>
      <c r="B41" s="6" t="s">
        <v>28</v>
      </c>
      <c r="C41" s="6" t="s">
        <v>225</v>
      </c>
      <c r="D41" s="6" t="s">
        <v>226</v>
      </c>
      <c r="E41" s="6" t="s">
        <v>227</v>
      </c>
      <c r="F41" s="6" t="s">
        <v>108</v>
      </c>
      <c r="G41" s="6" t="s">
        <v>115</v>
      </c>
      <c r="H41" s="6" t="s">
        <v>110</v>
      </c>
    </row>
    <row r="42" customFormat="false" ht="69.85" hidden="false" customHeight="false" outlineLevel="0" collapsed="false">
      <c r="A42" s="6" t="s">
        <v>228</v>
      </c>
      <c r="B42" s="6" t="s">
        <v>30</v>
      </c>
      <c r="C42" s="6" t="s">
        <v>229</v>
      </c>
      <c r="D42" s="6" t="s">
        <v>230</v>
      </c>
      <c r="E42" s="6" t="s">
        <v>231</v>
      </c>
      <c r="F42" s="6" t="s">
        <v>183</v>
      </c>
      <c r="G42" s="6" t="s">
        <v>115</v>
      </c>
      <c r="H42" s="6" t="s">
        <v>110</v>
      </c>
    </row>
    <row r="43" customFormat="false" ht="58.4" hidden="false" customHeight="false" outlineLevel="0" collapsed="false">
      <c r="A43" s="6" t="s">
        <v>232</v>
      </c>
      <c r="B43" s="6" t="s">
        <v>32</v>
      </c>
      <c r="C43" s="6" t="s">
        <v>233</v>
      </c>
      <c r="D43" s="6" t="s">
        <v>234</v>
      </c>
      <c r="E43" s="6" t="s">
        <v>235</v>
      </c>
      <c r="F43" s="6" t="s">
        <v>108</v>
      </c>
      <c r="G43" s="6" t="s">
        <v>115</v>
      </c>
      <c r="H43" s="6" t="s">
        <v>110</v>
      </c>
    </row>
    <row r="44" customFormat="false" ht="58.4" hidden="false" customHeight="false" outlineLevel="0" collapsed="false">
      <c r="A44" s="6" t="s">
        <v>236</v>
      </c>
      <c r="B44" s="6" t="s">
        <v>170</v>
      </c>
      <c r="C44" s="6" t="s">
        <v>237</v>
      </c>
      <c r="D44" s="6" t="s">
        <v>238</v>
      </c>
      <c r="E44" s="6" t="s">
        <v>239</v>
      </c>
      <c r="F44" s="6" t="s">
        <v>183</v>
      </c>
      <c r="G44" s="6" t="s">
        <v>115</v>
      </c>
      <c r="H44" s="6" t="s">
        <v>110</v>
      </c>
    </row>
    <row r="45" customFormat="false" ht="46.95" hidden="false" customHeight="false" outlineLevel="0" collapsed="false">
      <c r="A45" s="6" t="s">
        <v>240</v>
      </c>
      <c r="B45" s="6" t="s">
        <v>170</v>
      </c>
      <c r="C45" s="6" t="s">
        <v>241</v>
      </c>
      <c r="D45" s="6" t="s">
        <v>242</v>
      </c>
      <c r="E45" s="6" t="s">
        <v>243</v>
      </c>
      <c r="F45" s="6" t="s">
        <v>108</v>
      </c>
      <c r="G45" s="6" t="s">
        <v>115</v>
      </c>
      <c r="H45" s="6" t="s">
        <v>110</v>
      </c>
    </row>
    <row r="46" customFormat="false" ht="24.05" hidden="false" customHeight="false" outlineLevel="0" collapsed="false">
      <c r="A46" s="6" t="s">
        <v>244</v>
      </c>
      <c r="B46" s="6" t="s">
        <v>170</v>
      </c>
      <c r="C46" s="6" t="s">
        <v>245</v>
      </c>
      <c r="D46" s="6" t="s">
        <v>246</v>
      </c>
      <c r="E46" s="6" t="s">
        <v>247</v>
      </c>
      <c r="F46" s="6" t="s">
        <v>183</v>
      </c>
      <c r="G46" s="6" t="s">
        <v>115</v>
      </c>
      <c r="H46" s="6" t="s">
        <v>110</v>
      </c>
    </row>
    <row r="47" customFormat="false" ht="24.05" hidden="false" customHeight="false" outlineLevel="0" collapsed="false">
      <c r="A47" s="6" t="s">
        <v>248</v>
      </c>
      <c r="B47" s="6" t="s">
        <v>170</v>
      </c>
      <c r="C47" s="6" t="s">
        <v>249</v>
      </c>
      <c r="D47" s="6" t="s">
        <v>250</v>
      </c>
      <c r="E47" s="6" t="s">
        <v>251</v>
      </c>
      <c r="F47" s="6" t="s">
        <v>108</v>
      </c>
      <c r="G47" s="6" t="s">
        <v>115</v>
      </c>
      <c r="H47" s="6" t="s">
        <v>110</v>
      </c>
    </row>
    <row r="48" customFormat="false" ht="35.5" hidden="false" customHeight="false" outlineLevel="0" collapsed="false">
      <c r="A48" s="6" t="s">
        <v>252</v>
      </c>
      <c r="B48" s="6" t="s">
        <v>253</v>
      </c>
      <c r="C48" s="6" t="s">
        <v>254</v>
      </c>
      <c r="D48" s="6" t="s">
        <v>255</v>
      </c>
      <c r="E48" s="6" t="s">
        <v>256</v>
      </c>
      <c r="F48" s="6" t="s">
        <v>108</v>
      </c>
      <c r="G48" s="6" t="s">
        <v>115</v>
      </c>
      <c r="H48" s="6" t="s">
        <v>110</v>
      </c>
    </row>
    <row r="49" customFormat="false" ht="24.05" hidden="false" customHeight="false" outlineLevel="0" collapsed="false">
      <c r="A49" s="6" t="s">
        <v>257</v>
      </c>
      <c r="B49" s="6" t="s">
        <v>253</v>
      </c>
      <c r="C49" s="6" t="s">
        <v>258</v>
      </c>
      <c r="D49" s="6" t="s">
        <v>259</v>
      </c>
      <c r="E49" s="6" t="s">
        <v>260</v>
      </c>
      <c r="F49" s="6" t="s">
        <v>261</v>
      </c>
      <c r="G49" s="6" t="s">
        <v>262</v>
      </c>
      <c r="H49" s="6" t="s">
        <v>263</v>
      </c>
    </row>
    <row r="50" customFormat="false" ht="81.3" hidden="false" customHeight="false" outlineLevel="0" collapsed="false">
      <c r="A50" s="6" t="s">
        <v>264</v>
      </c>
      <c r="B50" s="6" t="s">
        <v>152</v>
      </c>
      <c r="C50" s="6" t="s">
        <v>265</v>
      </c>
      <c r="D50" s="6" t="s">
        <v>266</v>
      </c>
      <c r="E50" s="6" t="s">
        <v>267</v>
      </c>
      <c r="F50" s="6" t="s">
        <v>108</v>
      </c>
      <c r="G50" s="6" t="s">
        <v>115</v>
      </c>
      <c r="H50" s="6" t="s">
        <v>110</v>
      </c>
    </row>
    <row r="51" customFormat="false" ht="24.05" hidden="false" customHeight="false" outlineLevel="0" collapsed="false">
      <c r="A51" s="6" t="s">
        <v>268</v>
      </c>
      <c r="B51" s="6" t="s">
        <v>152</v>
      </c>
      <c r="C51" s="6" t="s">
        <v>269</v>
      </c>
      <c r="D51" s="6" t="s">
        <v>270</v>
      </c>
      <c r="E51" s="6" t="s">
        <v>271</v>
      </c>
      <c r="F51" s="6" t="s">
        <v>108</v>
      </c>
      <c r="G51" s="6" t="s">
        <v>115</v>
      </c>
      <c r="H51" s="6" t="s">
        <v>110</v>
      </c>
    </row>
  </sheetData>
  <hyperlinks>
    <hyperlink ref="E7" r:id="rId1" display="https://www.sec.gov/Archives/edgar/data/827054/000082705426000016/"/>
    <hyperlink ref="E8" r:id="rId2" display="https://www.sec.gov/Archives/edgar/data/827054/000082705424000098/"/>
    <hyperlink ref="E9" r:id="rId3" display="https://www.sec.gov/Archives/edgar/data/827054/000082705423000080/"/>
    <hyperlink ref="E10" r:id="rId4" display="https://ir.microchip.com/sec-filings/all-sec-filings/content/0000827054-26-000038/mchp-20260630.htm"/>
    <hyperlink ref="E11" r:id="rId5" display="https://www.sec.gov/Archives/edgar/data/827054/000082705426000012/exhibit991q4fy26.ht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2" style="0" width="12"/>
    <col collapsed="false" customWidth="true" hidden="false" outlineLevel="0" max="16" min="16" style="0" width="26"/>
    <col collapsed="false" customWidth="true" hidden="false" outlineLevel="0" max="17" min="17" style="0" width="70"/>
  </cols>
  <sheetData>
    <row r="1" customFormat="false" ht="19.7" hidden="false" customHeight="false" outlineLevel="0" collapsed="false">
      <c r="A1" s="14" t="s">
        <v>272</v>
      </c>
    </row>
    <row r="2" customFormat="false" ht="15" hidden="false" customHeight="false" outlineLevel="0" collapsed="false">
      <c r="A2" s="4" t="s">
        <v>273</v>
      </c>
    </row>
    <row r="3" customFormat="false" ht="15" hidden="false" customHeight="false" outlineLevel="0" collapsed="false">
      <c r="A3" s="15" t="s">
        <v>2</v>
      </c>
    </row>
    <row r="6" customFormat="false" ht="15" hidden="false" customHeight="false" outlineLevel="0" collapsed="false">
      <c r="A6" s="21" t="s">
        <v>274</v>
      </c>
      <c r="C6" s="22" t="s">
        <v>275</v>
      </c>
      <c r="D6" s="11" t="n">
        <f aca="false">MATCH($C$6,$C$9:$E$9,0)</f>
        <v>2</v>
      </c>
      <c r="E6" s="4" t="s">
        <v>276</v>
      </c>
    </row>
    <row r="8" customFormat="false" ht="15" hidden="false" customHeight="false" outlineLevel="0" collapsed="false">
      <c r="A8" s="16" t="s">
        <v>277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customFormat="false" ht="15" hidden="false" customHeight="false" outlineLevel="0" collapsed="false">
      <c r="A9" s="18" t="s">
        <v>278</v>
      </c>
      <c r="B9" s="19" t="s">
        <v>279</v>
      </c>
      <c r="C9" s="19" t="s">
        <v>280</v>
      </c>
      <c r="D9" s="19" t="s">
        <v>275</v>
      </c>
      <c r="E9" s="19" t="s">
        <v>281</v>
      </c>
      <c r="F9" s="19" t="s">
        <v>282</v>
      </c>
      <c r="G9" s="19"/>
      <c r="H9" s="19"/>
      <c r="I9" s="19"/>
      <c r="J9" s="19"/>
      <c r="K9" s="19"/>
      <c r="L9" s="19"/>
      <c r="M9" s="19"/>
      <c r="N9" s="19"/>
      <c r="O9" s="19"/>
      <c r="P9" s="19" t="s">
        <v>100</v>
      </c>
      <c r="Q9" s="19" t="s">
        <v>283</v>
      </c>
    </row>
    <row r="10" customFormat="false" ht="15" hidden="false" customHeight="false" outlineLevel="0" collapsed="false">
      <c r="A10" s="8" t="s">
        <v>284</v>
      </c>
      <c r="B10" s="8" t="s">
        <v>285</v>
      </c>
      <c r="C10" s="23" t="n">
        <v>0.05</v>
      </c>
      <c r="D10" s="23" t="n">
        <v>0.2</v>
      </c>
      <c r="E10" s="23" t="n">
        <v>0.3</v>
      </c>
      <c r="F10" s="24" t="n">
        <f aca="false">INDEX(C10:E10,1,$D$6)</f>
        <v>0.2</v>
      </c>
      <c r="P10" s="8" t="s">
        <v>108</v>
      </c>
      <c r="Q10" s="8" t="s">
        <v>286</v>
      </c>
    </row>
    <row r="11" customFormat="false" ht="15" hidden="false" customHeight="false" outlineLevel="0" collapsed="false">
      <c r="A11" s="8" t="s">
        <v>287</v>
      </c>
      <c r="B11" s="8" t="s">
        <v>285</v>
      </c>
      <c r="C11" s="23" t="n">
        <v>-0.04</v>
      </c>
      <c r="D11" s="23" t="n">
        <v>-0.01</v>
      </c>
      <c r="E11" s="23" t="n">
        <v>0.01</v>
      </c>
      <c r="F11" s="24" t="n">
        <f aca="false">INDEX(C11:E11,1,$D$6)</f>
        <v>-0.01</v>
      </c>
      <c r="P11" s="8" t="s">
        <v>108</v>
      </c>
      <c r="Q11" s="8" t="s">
        <v>288</v>
      </c>
    </row>
    <row r="12" customFormat="false" ht="15" hidden="false" customHeight="false" outlineLevel="0" collapsed="false">
      <c r="A12" s="8" t="s">
        <v>289</v>
      </c>
      <c r="B12" s="8" t="s">
        <v>290</v>
      </c>
      <c r="C12" s="23" t="n">
        <v>-0.02</v>
      </c>
      <c r="D12" s="23" t="n">
        <v>0</v>
      </c>
      <c r="E12" s="23" t="n">
        <v>0.01</v>
      </c>
      <c r="F12" s="24" t="n">
        <f aca="false">INDEX(C12:E12,1,$D$6)</f>
        <v>0</v>
      </c>
      <c r="P12" s="8" t="s">
        <v>108</v>
      </c>
      <c r="Q12" s="8" t="s">
        <v>291</v>
      </c>
    </row>
    <row r="13" customFormat="false" ht="15" hidden="false" customHeight="false" outlineLevel="0" collapsed="false">
      <c r="A13" s="8" t="s">
        <v>292</v>
      </c>
      <c r="B13" s="8" t="s">
        <v>285</v>
      </c>
      <c r="C13" s="23" t="n">
        <v>0.7</v>
      </c>
      <c r="D13" s="23" t="n">
        <v>0.8</v>
      </c>
      <c r="E13" s="23" t="n">
        <v>0.88</v>
      </c>
      <c r="F13" s="24" t="n">
        <f aca="false">INDEX(C13:E13,1,$D$6)</f>
        <v>0.8</v>
      </c>
      <c r="P13" s="8" t="s">
        <v>108</v>
      </c>
      <c r="Q13" s="8" t="s">
        <v>293</v>
      </c>
    </row>
    <row r="14" customFormat="false" ht="15" hidden="false" customHeight="false" outlineLevel="0" collapsed="false">
      <c r="A14" s="8" t="s">
        <v>294</v>
      </c>
      <c r="B14" s="8" t="s">
        <v>285</v>
      </c>
      <c r="C14" s="23" t="n">
        <v>0.06</v>
      </c>
      <c r="D14" s="23" t="n">
        <v>0.03</v>
      </c>
      <c r="E14" s="23" t="n">
        <v>0.01</v>
      </c>
      <c r="F14" s="24" t="n">
        <f aca="false">INDEX(C14:E14,1,$D$6)</f>
        <v>0.03</v>
      </c>
      <c r="P14" s="8" t="s">
        <v>108</v>
      </c>
      <c r="Q14" s="8" t="s">
        <v>295</v>
      </c>
    </row>
    <row r="15" customFormat="false" ht="15" hidden="false" customHeight="false" outlineLevel="0" collapsed="false">
      <c r="A15" s="8" t="s">
        <v>296</v>
      </c>
      <c r="B15" s="8" t="s">
        <v>285</v>
      </c>
      <c r="C15" s="23" t="n">
        <v>0.02</v>
      </c>
      <c r="D15" s="23" t="n">
        <v>0.05</v>
      </c>
      <c r="E15" s="23" t="n">
        <v>0.08</v>
      </c>
      <c r="F15" s="24" t="n">
        <f aca="false">INDEX(C15:E15,1,$D$6)</f>
        <v>0.05</v>
      </c>
      <c r="P15" s="8" t="s">
        <v>108</v>
      </c>
      <c r="Q15" s="8" t="s">
        <v>297</v>
      </c>
    </row>
    <row r="16" customFormat="false" ht="15" hidden="false" customHeight="false" outlineLevel="0" collapsed="false">
      <c r="A16" s="8" t="s">
        <v>298</v>
      </c>
      <c r="B16" s="8" t="s">
        <v>285</v>
      </c>
      <c r="C16" s="23" t="n">
        <v>0.01</v>
      </c>
      <c r="D16" s="23" t="n">
        <v>0.04</v>
      </c>
      <c r="E16" s="23" t="n">
        <v>0.06</v>
      </c>
      <c r="F16" s="24" t="n">
        <f aca="false">INDEX(C16:E16,1,$D$6)</f>
        <v>0.04</v>
      </c>
      <c r="P16" s="8" t="s">
        <v>108</v>
      </c>
      <c r="Q16" s="8" t="s">
        <v>299</v>
      </c>
    </row>
    <row r="17" customFormat="false" ht="15" hidden="false" customHeight="false" outlineLevel="0" collapsed="false">
      <c r="A17" s="8" t="s">
        <v>300</v>
      </c>
      <c r="B17" s="8" t="s">
        <v>285</v>
      </c>
      <c r="C17" s="23" t="n">
        <v>0.02</v>
      </c>
      <c r="D17" s="23" t="n">
        <v>0.03</v>
      </c>
      <c r="E17" s="23" t="n">
        <v>0.04</v>
      </c>
      <c r="F17" s="24" t="n">
        <f aca="false">INDEX(C17:E17,1,$D$6)</f>
        <v>0.03</v>
      </c>
      <c r="P17" s="8" t="s">
        <v>108</v>
      </c>
      <c r="Q17" s="8" t="s">
        <v>301</v>
      </c>
    </row>
    <row r="18" customFormat="false" ht="15" hidden="false" customHeight="false" outlineLevel="0" collapsed="false">
      <c r="A18" s="8" t="s">
        <v>302</v>
      </c>
      <c r="B18" s="8" t="s">
        <v>285</v>
      </c>
      <c r="C18" s="23" t="n">
        <v>0.21</v>
      </c>
      <c r="D18" s="23" t="n">
        <v>0.18</v>
      </c>
      <c r="E18" s="23" t="n">
        <v>0.16</v>
      </c>
      <c r="F18" s="24" t="n">
        <f aca="false">INDEX(C18:E18,1,$D$6)</f>
        <v>0.18</v>
      </c>
      <c r="P18" s="8" t="s">
        <v>108</v>
      </c>
      <c r="Q18" s="8" t="s">
        <v>303</v>
      </c>
    </row>
    <row r="20" customFormat="false" ht="15" hidden="false" customHeight="false" outlineLevel="0" collapsed="false">
      <c r="A20" s="16" t="s">
        <v>304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customFormat="false" ht="15" hidden="false" customHeight="false" outlineLevel="0" collapsed="false">
      <c r="A21" s="8" t="s">
        <v>305</v>
      </c>
      <c r="F21" s="25" t="n">
        <f aca="false">Hist_Analysis!$E$51</f>
        <v>0.38047419804742</v>
      </c>
      <c r="P21" s="8" t="s">
        <v>146</v>
      </c>
      <c r="Q21" s="8" t="s">
        <v>306</v>
      </c>
    </row>
    <row r="22" customFormat="false" ht="15" hidden="false" customHeight="false" outlineLevel="0" collapsed="false">
      <c r="A22" s="8" t="s">
        <v>307</v>
      </c>
      <c r="F22" s="25" t="n">
        <f aca="false">Hist_Data!$D$70*4/Hist_Data!$G$7-1</f>
        <v>0.260062379325709</v>
      </c>
      <c r="P22" s="8" t="s">
        <v>146</v>
      </c>
      <c r="Q22" s="8" t="s">
        <v>306</v>
      </c>
    </row>
    <row r="23" customFormat="false" ht="15" hidden="false" customHeight="false" outlineLevel="0" collapsed="false">
      <c r="A23" s="8" t="s">
        <v>308</v>
      </c>
      <c r="F23" s="25" t="n">
        <f aca="false">Hist_Analysis!$G$9</f>
        <v>0.577348242133628</v>
      </c>
      <c r="P23" s="8" t="s">
        <v>146</v>
      </c>
      <c r="Q23" s="8" t="s">
        <v>306</v>
      </c>
    </row>
    <row r="24" customFormat="false" ht="15" hidden="false" customHeight="false" outlineLevel="0" collapsed="false">
      <c r="A24" s="8" t="s">
        <v>309</v>
      </c>
      <c r="F24" s="25" t="n">
        <f aca="false">Hist_Analysis!$D$9</f>
        <v>0.675210636709446</v>
      </c>
      <c r="P24" s="8" t="s">
        <v>146</v>
      </c>
      <c r="Q24" s="8" t="s">
        <v>306</v>
      </c>
    </row>
    <row r="25" customFormat="false" ht="15" hidden="false" customHeight="false" outlineLevel="0" collapsed="false">
      <c r="A25" s="8" t="s">
        <v>310</v>
      </c>
      <c r="F25" s="25" t="n">
        <f aca="false">Hist_Data!$G$10/Hist_Data!$F$10-1</f>
        <v>0.103781256352917</v>
      </c>
      <c r="P25" s="8" t="s">
        <v>146</v>
      </c>
      <c r="Q25" s="8" t="s">
        <v>306</v>
      </c>
    </row>
    <row r="26" customFormat="false" ht="15" hidden="false" customHeight="false" outlineLevel="0" collapsed="false">
      <c r="A26" s="8" t="s">
        <v>311</v>
      </c>
      <c r="F26" s="25" t="n">
        <f aca="false">Hist_Data!$G$11/Hist_Data!$F$11-1</f>
        <v>0.0916302412174193</v>
      </c>
      <c r="P26" s="8" t="s">
        <v>146</v>
      </c>
      <c r="Q26" s="8" t="s">
        <v>306</v>
      </c>
    </row>
    <row r="27" customFormat="false" ht="15" hidden="false" customHeight="false" outlineLevel="0" collapsed="false">
      <c r="A27" s="8" t="s">
        <v>312</v>
      </c>
      <c r="F27" s="25" t="n">
        <f aca="false">Hist_Analysis!$G$37</f>
        <v>0.0193291039867603</v>
      </c>
      <c r="P27" s="8" t="s">
        <v>146</v>
      </c>
      <c r="Q27" s="8" t="s">
        <v>306</v>
      </c>
    </row>
    <row r="28" customFormat="false" ht="15" hidden="false" customHeight="false" outlineLevel="0" collapsed="false">
      <c r="A28" s="8" t="s">
        <v>313</v>
      </c>
      <c r="F28" s="25" t="n">
        <f aca="false">AVERAGE(Hist_Analysis!$C$37:$G$37)</f>
        <v>0.0394348792133913</v>
      </c>
      <c r="P28" s="8" t="s">
        <v>146</v>
      </c>
      <c r="Q28" s="8" t="s">
        <v>306</v>
      </c>
    </row>
    <row r="29" customFormat="false" ht="15" hidden="false" customHeight="false" outlineLevel="0" collapsed="false">
      <c r="A29" s="8" t="s">
        <v>314</v>
      </c>
      <c r="F29" s="25" t="n">
        <f aca="false">AVERAGE(Hist_Analysis!$C$17:$G$17)</f>
        <v>0.17922278907308</v>
      </c>
      <c r="P29" s="8" t="s">
        <v>146</v>
      </c>
      <c r="Q29" s="8" t="s">
        <v>306</v>
      </c>
    </row>
    <row r="30" customFormat="false" ht="15" hidden="false" customHeight="false" outlineLevel="0" collapsed="false">
      <c r="A30" s="8" t="s">
        <v>315</v>
      </c>
      <c r="F30" s="26" t="n">
        <f aca="false">Hist_Data!$G$79</f>
        <v>0.69</v>
      </c>
      <c r="P30" s="8" t="s">
        <v>146</v>
      </c>
      <c r="Q30" s="8" t="s">
        <v>306</v>
      </c>
    </row>
    <row r="32" customFormat="false" ht="15" hidden="false" customHeight="false" outlineLevel="0" collapsed="false">
      <c r="A32" s="16" t="s">
        <v>316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</row>
    <row r="33" customFormat="false" ht="15" hidden="false" customHeight="false" outlineLevel="0" collapsed="false">
      <c r="A33" s="7" t="s">
        <v>317</v>
      </c>
      <c r="B33" s="8" t="s">
        <v>318</v>
      </c>
      <c r="F33" s="27" t="n">
        <v>1000</v>
      </c>
      <c r="P33" s="8" t="s">
        <v>108</v>
      </c>
      <c r="Q33" s="8" t="s">
        <v>319</v>
      </c>
    </row>
    <row r="34" customFormat="false" ht="15" hidden="false" customHeight="false" outlineLevel="0" collapsed="false">
      <c r="A34" s="8" t="s">
        <v>320</v>
      </c>
      <c r="B34" s="8" t="s">
        <v>318</v>
      </c>
      <c r="F34" s="28" t="n">
        <v>200</v>
      </c>
      <c r="P34" s="8" t="s">
        <v>183</v>
      </c>
      <c r="Q34" s="8" t="s">
        <v>321</v>
      </c>
    </row>
    <row r="35" customFormat="false" ht="15" hidden="false" customHeight="false" outlineLevel="0" collapsed="false">
      <c r="A35" s="8" t="s">
        <v>322</v>
      </c>
      <c r="B35" s="8" t="s">
        <v>318</v>
      </c>
      <c r="F35" s="28" t="n">
        <v>100</v>
      </c>
      <c r="P35" s="8" t="s">
        <v>183</v>
      </c>
      <c r="Q35" s="8" t="s">
        <v>323</v>
      </c>
    </row>
    <row r="36" customFormat="false" ht="15" hidden="false" customHeight="false" outlineLevel="0" collapsed="false">
      <c r="A36" s="8" t="s">
        <v>324</v>
      </c>
      <c r="F36" s="29" t="n">
        <v>46113</v>
      </c>
      <c r="P36" s="8" t="s">
        <v>108</v>
      </c>
      <c r="Q36" s="8" t="s">
        <v>325</v>
      </c>
    </row>
    <row r="38" customFormat="false" ht="15" hidden="false" customHeight="false" outlineLevel="0" collapsed="false">
      <c r="A38" s="16" t="s">
        <v>326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 customFormat="false" ht="24.05" hidden="false" customHeight="false" outlineLevel="0" collapsed="false">
      <c r="A39" s="18" t="s">
        <v>45</v>
      </c>
      <c r="B39" s="19" t="s">
        <v>279</v>
      </c>
      <c r="C39" s="19" t="s">
        <v>327</v>
      </c>
      <c r="D39" s="19" t="s">
        <v>328</v>
      </c>
      <c r="E39" s="19" t="s">
        <v>329</v>
      </c>
      <c r="F39" s="19" t="s">
        <v>130</v>
      </c>
      <c r="G39" s="19"/>
      <c r="H39" s="19"/>
      <c r="I39" s="19"/>
      <c r="J39" s="19"/>
      <c r="K39" s="19"/>
      <c r="L39" s="19"/>
      <c r="M39" s="19"/>
      <c r="N39" s="19"/>
      <c r="O39" s="19"/>
      <c r="P39" s="19" t="s">
        <v>100</v>
      </c>
      <c r="Q39" s="19" t="s">
        <v>330</v>
      </c>
    </row>
    <row r="40" customFormat="false" ht="15" hidden="false" customHeight="false" outlineLevel="0" collapsed="false">
      <c r="A40" s="8" t="s">
        <v>331</v>
      </c>
      <c r="B40" s="8" t="s">
        <v>285</v>
      </c>
      <c r="C40" s="30" t="n">
        <f aca="false">Hist_Analysis!$G$20</f>
        <v>0.499755999236172</v>
      </c>
      <c r="D40" s="30" t="n">
        <f aca="false">Hist_Analysis!$G$21</f>
        <v>0.281980013154824</v>
      </c>
      <c r="E40" s="30" t="n">
        <f aca="false">Hist_Analysis!$G$22</f>
        <v>0.218263987609005</v>
      </c>
      <c r="F40" s="30" t="n">
        <f aca="false">SUM(C40:E40)</f>
        <v>1</v>
      </c>
      <c r="P40" s="8" t="s">
        <v>146</v>
      </c>
      <c r="Q40" s="8" t="s">
        <v>332</v>
      </c>
    </row>
    <row r="41" customFormat="false" ht="15" hidden="false" customHeight="false" outlineLevel="0" collapsed="false">
      <c r="A41" s="7" t="s">
        <v>333</v>
      </c>
      <c r="B41" s="8" t="s">
        <v>318</v>
      </c>
      <c r="C41" s="31" t="n">
        <f aca="false">$F$33*$C$40</f>
        <v>499.755999236172</v>
      </c>
      <c r="D41" s="31" t="n">
        <f aca="false">$F$33*$D$40</f>
        <v>281.980013154824</v>
      </c>
      <c r="E41" s="31" t="n">
        <f aca="false">$F$33*$E$40</f>
        <v>218.263987609005</v>
      </c>
      <c r="F41" s="31" t="n">
        <f aca="false">SUM(C41:E41)</f>
        <v>1000</v>
      </c>
      <c r="P41" s="8" t="s">
        <v>146</v>
      </c>
      <c r="Q41" s="8" t="s">
        <v>334</v>
      </c>
    </row>
    <row r="42" customFormat="false" ht="15" hidden="false" customHeight="false" outlineLevel="0" collapsed="false">
      <c r="A42" s="8" t="s">
        <v>335</v>
      </c>
      <c r="B42" s="8" t="s">
        <v>336</v>
      </c>
      <c r="C42" s="32" t="n">
        <v>2</v>
      </c>
      <c r="D42" s="32" t="n">
        <v>0.8</v>
      </c>
      <c r="E42" s="32" t="n">
        <v>25</v>
      </c>
      <c r="P42" s="8" t="s">
        <v>183</v>
      </c>
      <c r="Q42" s="8" t="s">
        <v>337</v>
      </c>
    </row>
    <row r="43" customFormat="false" ht="15" hidden="false" customHeight="false" outlineLevel="0" collapsed="false">
      <c r="A43" s="8" t="s">
        <v>338</v>
      </c>
      <c r="B43" s="8" t="s">
        <v>285</v>
      </c>
      <c r="C43" s="23" t="n">
        <v>0.92</v>
      </c>
      <c r="D43" s="23" t="n">
        <v>0.94</v>
      </c>
      <c r="E43" s="23" t="n">
        <v>0.85</v>
      </c>
      <c r="P43" s="8" t="s">
        <v>183</v>
      </c>
      <c r="Q43" s="8" t="s">
        <v>339</v>
      </c>
    </row>
    <row r="44" customFormat="false" ht="15" hidden="false" customHeight="false" outlineLevel="0" collapsed="false">
      <c r="A44" s="8" t="s">
        <v>340</v>
      </c>
      <c r="B44" s="8" t="s">
        <v>336</v>
      </c>
      <c r="C44" s="32" t="n">
        <v>0.31</v>
      </c>
      <c r="D44" s="32" t="n">
        <v>0.15</v>
      </c>
      <c r="E44" s="32" t="n">
        <v>4.7</v>
      </c>
      <c r="P44" s="8" t="s">
        <v>183</v>
      </c>
      <c r="Q44" s="8" t="s">
        <v>341</v>
      </c>
    </row>
    <row r="45" customFormat="false" ht="15" hidden="false" customHeight="false" outlineLevel="0" collapsed="false">
      <c r="A45" s="8" t="s">
        <v>342</v>
      </c>
      <c r="B45" s="8" t="s">
        <v>343</v>
      </c>
      <c r="C45" s="28" t="n">
        <v>9.5</v>
      </c>
      <c r="D45" s="28" t="n">
        <v>5.2</v>
      </c>
      <c r="E45" s="28" t="n">
        <v>4.4</v>
      </c>
      <c r="F45" s="31" t="n">
        <f aca="false">SUM(C45:E45)</f>
        <v>19.1</v>
      </c>
      <c r="P45" s="8" t="s">
        <v>183</v>
      </c>
      <c r="Q45" s="8" t="s">
        <v>344</v>
      </c>
    </row>
    <row r="46" customFormat="false" ht="15" hidden="false" customHeight="false" outlineLevel="0" collapsed="false">
      <c r="A46" s="8" t="s">
        <v>345</v>
      </c>
      <c r="B46" s="8" t="s">
        <v>346</v>
      </c>
      <c r="C46" s="33" t="n">
        <v>35</v>
      </c>
      <c r="D46" s="33" t="n">
        <v>46</v>
      </c>
      <c r="E46" s="33" t="n">
        <v>1.3</v>
      </c>
      <c r="P46" s="8" t="s">
        <v>183</v>
      </c>
      <c r="Q46" s="8" t="s">
        <v>347</v>
      </c>
    </row>
    <row r="47" customFormat="false" ht="15" hidden="false" customHeight="false" outlineLevel="0" collapsed="false">
      <c r="A47" s="8" t="s">
        <v>348</v>
      </c>
      <c r="B47" s="8" t="s">
        <v>290</v>
      </c>
      <c r="C47" s="23" t="n">
        <v>0</v>
      </c>
      <c r="D47" s="23" t="n">
        <v>-0.05</v>
      </c>
      <c r="E47" s="23" t="n">
        <v>0.05</v>
      </c>
      <c r="P47" s="8" t="s">
        <v>183</v>
      </c>
      <c r="Q47" s="8" t="s">
        <v>349</v>
      </c>
    </row>
    <row r="48" customFormat="false" ht="15" hidden="false" customHeight="false" outlineLevel="0" collapsed="false">
      <c r="A48" s="8" t="s">
        <v>350</v>
      </c>
      <c r="B48" s="8" t="s">
        <v>351</v>
      </c>
      <c r="C48" s="34" t="n">
        <v>1</v>
      </c>
      <c r="D48" s="34" t="n">
        <v>1</v>
      </c>
      <c r="E48" s="34" t="n">
        <v>1</v>
      </c>
      <c r="P48" s="8" t="s">
        <v>183</v>
      </c>
      <c r="Q48" s="8" t="s">
        <v>352</v>
      </c>
    </row>
    <row r="50" customFormat="false" ht="15" hidden="false" customHeight="false" outlineLevel="0" collapsed="false">
      <c r="A50" s="5" t="s">
        <v>353</v>
      </c>
    </row>
    <row r="51" customFormat="false" ht="15" hidden="false" customHeight="false" outlineLevel="0" collapsed="false">
      <c r="A51" s="8" t="s">
        <v>354</v>
      </c>
      <c r="B51" s="8" t="s">
        <v>355</v>
      </c>
      <c r="C51" s="35" t="n">
        <f aca="false">$C$41/$C$42</f>
        <v>249.877999618086</v>
      </c>
      <c r="D51" s="35" t="n">
        <f aca="false">$D$41/$D$42</f>
        <v>352.47501644353</v>
      </c>
      <c r="E51" s="35" t="n">
        <f aca="false">$E$41/$E$42</f>
        <v>8.73055950436019</v>
      </c>
      <c r="P51" s="8" t="s">
        <v>146</v>
      </c>
      <c r="Q51" s="8" t="s">
        <v>356</v>
      </c>
    </row>
    <row r="52" customFormat="false" ht="15" hidden="false" customHeight="false" outlineLevel="0" collapsed="false">
      <c r="A52" s="8" t="s">
        <v>357</v>
      </c>
      <c r="B52" s="8" t="s">
        <v>355</v>
      </c>
      <c r="C52" s="35" t="n">
        <f aca="false">$C$51/$C$43</f>
        <v>271.606521324006</v>
      </c>
      <c r="D52" s="35" t="n">
        <f aca="false">$D$51/$D$43</f>
        <v>374.973421748436</v>
      </c>
      <c r="E52" s="35" t="n">
        <f aca="false">$E$51/$E$43</f>
        <v>10.2712464757179</v>
      </c>
      <c r="P52" s="8" t="s">
        <v>146</v>
      </c>
      <c r="Q52" s="8" t="s">
        <v>358</v>
      </c>
    </row>
    <row r="53" customFormat="false" ht="15" hidden="false" customHeight="false" outlineLevel="0" collapsed="false">
      <c r="A53" s="8" t="s">
        <v>359</v>
      </c>
      <c r="B53" s="8" t="s">
        <v>285</v>
      </c>
      <c r="C53" s="36" t="n">
        <f aca="false">$C$52/($C$46*12)</f>
        <v>0.646682193628586</v>
      </c>
      <c r="D53" s="36" t="n">
        <f aca="false">$D$52/($D$46*12)</f>
        <v>0.6792996770805</v>
      </c>
      <c r="E53" s="36" t="n">
        <f aca="false">$E$52/($E$46*12)</f>
        <v>0.65841323562294</v>
      </c>
      <c r="P53" s="8" t="s">
        <v>146</v>
      </c>
      <c r="Q53" s="8" t="s">
        <v>360</v>
      </c>
    </row>
    <row r="54" customFormat="false" ht="15" hidden="false" customHeight="false" outlineLevel="0" collapsed="false">
      <c r="A54" s="8" t="s">
        <v>361</v>
      </c>
      <c r="B54" s="8" t="s">
        <v>318</v>
      </c>
      <c r="C54" s="31" t="n">
        <f aca="false">$C$52*$C$44</f>
        <v>84.1980216104419</v>
      </c>
      <c r="D54" s="31" t="n">
        <f aca="false">$D$52*$D$44</f>
        <v>56.2460132622654</v>
      </c>
      <c r="E54" s="31" t="n">
        <f aca="false">$E$52*$E$44</f>
        <v>48.274858435874</v>
      </c>
      <c r="F54" s="31" t="n">
        <f aca="false">SUM(C54:E54)</f>
        <v>188.718893308581</v>
      </c>
      <c r="P54" s="8" t="s">
        <v>146</v>
      </c>
      <c r="Q54" s="8" t="s">
        <v>362</v>
      </c>
    </row>
    <row r="55" customFormat="false" ht="15" hidden="false" customHeight="false" outlineLevel="0" collapsed="false">
      <c r="A55" s="8" t="s">
        <v>363</v>
      </c>
      <c r="B55" s="8" t="s">
        <v>318</v>
      </c>
      <c r="C55" s="31" t="n">
        <f aca="false">$C$45*12</f>
        <v>114</v>
      </c>
      <c r="D55" s="31" t="n">
        <f aca="false">$D$45*12</f>
        <v>62.4</v>
      </c>
      <c r="E55" s="31" t="n">
        <f aca="false">$E$45*12</f>
        <v>52.8</v>
      </c>
      <c r="F55" s="31" t="n">
        <f aca="false">SUM(C55:E55)</f>
        <v>229.2</v>
      </c>
      <c r="P55" s="8" t="s">
        <v>146</v>
      </c>
      <c r="Q55" s="8" t="s">
        <v>364</v>
      </c>
    </row>
    <row r="56" customFormat="false" ht="15" hidden="false" customHeight="false" outlineLevel="0" collapsed="false">
      <c r="A56" s="8" t="s">
        <v>365</v>
      </c>
      <c r="B56" s="8" t="s">
        <v>318</v>
      </c>
      <c r="C56" s="31" t="n">
        <f aca="false">$C$54+$C$55</f>
        <v>198.198021610442</v>
      </c>
      <c r="D56" s="31" t="n">
        <f aca="false">$D$54+$D$55</f>
        <v>118.646013262265</v>
      </c>
      <c r="E56" s="31" t="n">
        <f aca="false">$E$54+$E$55</f>
        <v>101.074858435874</v>
      </c>
      <c r="F56" s="31" t="n">
        <f aca="false">SUM(C56:E56)</f>
        <v>417.918893308581</v>
      </c>
      <c r="P56" s="8" t="s">
        <v>146</v>
      </c>
      <c r="Q56" s="8" t="s">
        <v>366</v>
      </c>
    </row>
    <row r="57" customFormat="false" ht="15" hidden="false" customHeight="false" outlineLevel="0" collapsed="false">
      <c r="A57" s="7" t="s">
        <v>367</v>
      </c>
      <c r="B57" s="8" t="s">
        <v>318</v>
      </c>
      <c r="C57" s="31" t="n">
        <f aca="false">$C$41-$C$56</f>
        <v>301.55797762573</v>
      </c>
      <c r="D57" s="31" t="n">
        <f aca="false">$D$41-$D$56</f>
        <v>163.333999892558</v>
      </c>
      <c r="E57" s="31" t="n">
        <f aca="false">$E$41-$E$56</f>
        <v>117.189129173131</v>
      </c>
      <c r="F57" s="31" t="n">
        <f aca="false">SUM(C57:E57)</f>
        <v>582.081106691419</v>
      </c>
      <c r="P57" s="8" t="s">
        <v>146</v>
      </c>
      <c r="Q57" s="8" t="s">
        <v>368</v>
      </c>
    </row>
    <row r="58" customFormat="false" ht="15" hidden="false" customHeight="false" outlineLevel="0" collapsed="false">
      <c r="A58" s="8" t="s">
        <v>369</v>
      </c>
      <c r="B58" s="8" t="s">
        <v>285</v>
      </c>
      <c r="C58" s="36" t="n">
        <f aca="false">IFERROR($C$57/$C$41,0)</f>
        <v>0.603410420458447</v>
      </c>
      <c r="D58" s="36" t="n">
        <f aca="false">IFERROR($D$57/$D$41,0)</f>
        <v>0.579239634983911</v>
      </c>
      <c r="E58" s="36" t="n">
        <f aca="false">IFERROR($E$57/$E$41,0)</f>
        <v>0.536914634690272</v>
      </c>
      <c r="F58" s="36" t="n">
        <f aca="false">IFERROR(F57/F41,0)</f>
        <v>0.582081106691419</v>
      </c>
      <c r="P58" s="8" t="s">
        <v>146</v>
      </c>
      <c r="Q58" s="8" t="s">
        <v>370</v>
      </c>
    </row>
    <row r="59" customFormat="false" ht="15" hidden="false" customHeight="false" outlineLevel="0" collapsed="false">
      <c r="A59" s="8" t="s">
        <v>371</v>
      </c>
      <c r="B59" s="8" t="s">
        <v>336</v>
      </c>
      <c r="C59" s="37" t="n">
        <f aca="false">$C$56/$C$51</f>
        <v>0.793179159083106</v>
      </c>
      <c r="D59" s="37" t="n">
        <f aca="false">$D$56/$D$51</f>
        <v>0.336608292012872</v>
      </c>
      <c r="E59" s="37" t="n">
        <f aca="false">$E$56/$E$51</f>
        <v>11.5771341327432</v>
      </c>
      <c r="P59" s="8" t="s">
        <v>146</v>
      </c>
      <c r="Q59" s="8" t="s">
        <v>372</v>
      </c>
    </row>
    <row r="61" customFormat="false" ht="15" hidden="false" customHeight="false" outlineLevel="0" collapsed="false">
      <c r="A61" s="5" t="s">
        <v>373</v>
      </c>
    </row>
    <row r="62" customFormat="false" ht="15" hidden="false" customHeight="false" outlineLevel="0" collapsed="false">
      <c r="A62" s="8" t="s">
        <v>374</v>
      </c>
      <c r="B62" s="8" t="s">
        <v>355</v>
      </c>
      <c r="C62" s="35" t="n">
        <f aca="false">$C$51*(1+$F$10+$C$47)</f>
        <v>299.853599541703</v>
      </c>
      <c r="D62" s="35" t="n">
        <f aca="false">$D$51*(1+$F$10+$D$47)</f>
        <v>405.346268910059</v>
      </c>
      <c r="E62" s="35" t="n">
        <f aca="false">$E$51*(1+$F$10+$E$47)</f>
        <v>10.9131993804502</v>
      </c>
      <c r="P62" s="8" t="s">
        <v>146</v>
      </c>
      <c r="Q62" s="8" t="s">
        <v>375</v>
      </c>
    </row>
    <row r="63" customFormat="false" ht="15" hidden="false" customHeight="false" outlineLevel="0" collapsed="false">
      <c r="A63" s="8" t="s">
        <v>376</v>
      </c>
      <c r="B63" s="8" t="s">
        <v>336</v>
      </c>
      <c r="C63" s="37" t="n">
        <f aca="false">$C$42*(1+$F$11)</f>
        <v>1.98</v>
      </c>
      <c r="D63" s="37" t="n">
        <f aca="false">$D$42*(1+$F$11)</f>
        <v>0.792</v>
      </c>
      <c r="E63" s="37" t="n">
        <f aca="false">$E$42*(1+$F$11)</f>
        <v>24.75</v>
      </c>
      <c r="P63" s="8" t="s">
        <v>146</v>
      </c>
      <c r="Q63" s="8" t="s">
        <v>377</v>
      </c>
    </row>
    <row r="64" customFormat="false" ht="15" hidden="false" customHeight="false" outlineLevel="0" collapsed="false">
      <c r="A64" s="8" t="s">
        <v>378</v>
      </c>
      <c r="B64" s="8" t="s">
        <v>285</v>
      </c>
      <c r="C64" s="36" t="n">
        <f aca="false">MIN(1,MAX(0,$C$43+$F$12))</f>
        <v>0.92</v>
      </c>
      <c r="D64" s="36" t="n">
        <f aca="false">MIN(1,MAX(0,$D$43+$F$12))</f>
        <v>0.94</v>
      </c>
      <c r="E64" s="36" t="n">
        <f aca="false">MIN(1,MAX(0,$E$43+$F$12))</f>
        <v>0.85</v>
      </c>
      <c r="P64" s="8" t="s">
        <v>146</v>
      </c>
      <c r="Q64" s="8" t="s">
        <v>379</v>
      </c>
    </row>
    <row r="65" customFormat="false" ht="15" hidden="false" customHeight="false" outlineLevel="0" collapsed="false">
      <c r="A65" s="8" t="s">
        <v>380</v>
      </c>
      <c r="B65" s="8" t="s">
        <v>285</v>
      </c>
      <c r="C65" s="36" t="n">
        <f aca="false">$F$13</f>
        <v>0.8</v>
      </c>
      <c r="D65" s="36" t="n">
        <f aca="false">$F$13</f>
        <v>0.8</v>
      </c>
      <c r="E65" s="36" t="n">
        <f aca="false">$F$13</f>
        <v>0.8</v>
      </c>
      <c r="P65" s="8" t="s">
        <v>146</v>
      </c>
      <c r="Q65" s="8" t="s">
        <v>381</v>
      </c>
    </row>
    <row r="66" customFormat="false" ht="15" hidden="false" customHeight="false" outlineLevel="0" collapsed="false">
      <c r="A66" s="8" t="s">
        <v>382</v>
      </c>
      <c r="B66" s="8" t="s">
        <v>336</v>
      </c>
      <c r="C66" s="37" t="n">
        <f aca="false">$C$44*(1+$F$14)</f>
        <v>0.3193</v>
      </c>
      <c r="D66" s="37" t="n">
        <f aca="false">$D$44*(1+$F$14)</f>
        <v>0.1545</v>
      </c>
      <c r="E66" s="37" t="n">
        <f aca="false">$E$44*(1+$F$14)</f>
        <v>4.841</v>
      </c>
      <c r="P66" s="8" t="s">
        <v>146</v>
      </c>
      <c r="Q66" s="8" t="s">
        <v>383</v>
      </c>
    </row>
    <row r="67" customFormat="false" ht="15" hidden="false" customHeight="false" outlineLevel="0" collapsed="false">
      <c r="A67" s="8" t="s">
        <v>384</v>
      </c>
      <c r="B67" s="8" t="s">
        <v>355</v>
      </c>
      <c r="C67" s="35" t="n">
        <f aca="false">$C$48*$C$51/12</f>
        <v>20.8231666348405</v>
      </c>
      <c r="D67" s="35" t="n">
        <f aca="false">$D$48*$D$51/12</f>
        <v>29.3729180369608</v>
      </c>
      <c r="E67" s="35" t="n">
        <f aca="false">$E$48*$E$51/12</f>
        <v>0.727546625363349</v>
      </c>
      <c r="P67" s="8" t="s">
        <v>146</v>
      </c>
      <c r="Q67" s="8" t="s">
        <v>385</v>
      </c>
    </row>
    <row r="68" customFormat="false" ht="15" hidden="false" customHeight="false" outlineLevel="0" collapsed="false">
      <c r="A68" s="8" t="s">
        <v>386</v>
      </c>
      <c r="B68" s="8" t="s">
        <v>318</v>
      </c>
      <c r="C68" s="31" t="n">
        <f aca="false">$C$67*$C$59</f>
        <v>16.5165018008702</v>
      </c>
      <c r="D68" s="31" t="n">
        <f aca="false">$D$67*$D$59</f>
        <v>9.88716777185545</v>
      </c>
      <c r="E68" s="31" t="n">
        <f aca="false">$E$67*$E$59</f>
        <v>8.42290486965617</v>
      </c>
      <c r="F68" s="31" t="n">
        <f aca="false">SUM(C68:E68)</f>
        <v>34.8265744423818</v>
      </c>
      <c r="P68" s="8" t="s">
        <v>146</v>
      </c>
      <c r="Q68" s="8" t="s">
        <v>387</v>
      </c>
    </row>
    <row r="70" customFormat="false" ht="15" hidden="false" customHeight="false" outlineLevel="0" collapsed="false">
      <c r="A70" s="16" t="s">
        <v>388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</row>
    <row r="71" customFormat="false" ht="15" hidden="false" customHeight="false" outlineLevel="0" collapsed="false">
      <c r="A71" s="7" t="s">
        <v>389</v>
      </c>
      <c r="C71" s="38" t="n">
        <f aca="false">DATE(YEAR($F$36),MONTH($F$36)+0,1)</f>
        <v>46113</v>
      </c>
      <c r="D71" s="38" t="n">
        <f aca="false">DATE(YEAR($F$36),MONTH($F$36)+1,1)</f>
        <v>46143</v>
      </c>
      <c r="E71" s="38" t="n">
        <f aca="false">DATE(YEAR($F$36),MONTH($F$36)+2,1)</f>
        <v>46174</v>
      </c>
      <c r="F71" s="38" t="n">
        <f aca="false">DATE(YEAR($F$36),MONTH($F$36)+3,1)</f>
        <v>46204</v>
      </c>
      <c r="G71" s="38" t="n">
        <f aca="false">DATE(YEAR($F$36),MONTH($F$36)+4,1)</f>
        <v>46235</v>
      </c>
      <c r="H71" s="38" t="n">
        <f aca="false">DATE(YEAR($F$36),MONTH($F$36)+5,1)</f>
        <v>46266</v>
      </c>
      <c r="I71" s="38" t="n">
        <f aca="false">DATE(YEAR($F$36),MONTH($F$36)+6,1)</f>
        <v>46296</v>
      </c>
      <c r="J71" s="38" t="n">
        <f aca="false">DATE(YEAR($F$36),MONTH($F$36)+7,1)</f>
        <v>46327</v>
      </c>
      <c r="K71" s="38" t="n">
        <f aca="false">DATE(YEAR($F$36),MONTH($F$36)+8,1)</f>
        <v>46357</v>
      </c>
      <c r="L71" s="38" t="n">
        <f aca="false">DATE(YEAR($F$36),MONTH($F$36)+9,1)</f>
        <v>46388</v>
      </c>
      <c r="M71" s="38" t="n">
        <f aca="false">DATE(YEAR($F$36),MONTH($F$36)+10,1)</f>
        <v>46419</v>
      </c>
      <c r="N71" s="38" t="n">
        <f aca="false">DATE(YEAR($F$36),MONTH($F$36)+11,1)</f>
        <v>46447</v>
      </c>
      <c r="O71" s="7" t="s">
        <v>390</v>
      </c>
    </row>
    <row r="72" customFormat="false" ht="15" hidden="false" customHeight="false" outlineLevel="0" collapsed="false">
      <c r="A72" s="8" t="s">
        <v>391</v>
      </c>
      <c r="C72" s="34" t="n">
        <v>0.96</v>
      </c>
      <c r="D72" s="34" t="n">
        <v>0.98</v>
      </c>
      <c r="E72" s="34" t="n">
        <v>1.02</v>
      </c>
      <c r="F72" s="34" t="n">
        <v>0.97</v>
      </c>
      <c r="G72" s="34" t="n">
        <v>0.99</v>
      </c>
      <c r="H72" s="34" t="n">
        <v>1.04</v>
      </c>
      <c r="I72" s="34" t="n">
        <v>1.03</v>
      </c>
      <c r="J72" s="34" t="n">
        <v>1.01</v>
      </c>
      <c r="K72" s="34" t="n">
        <v>0.95</v>
      </c>
      <c r="L72" s="34" t="n">
        <v>0.97</v>
      </c>
      <c r="M72" s="34" t="n">
        <v>1</v>
      </c>
      <c r="N72" s="34" t="n">
        <v>1.08</v>
      </c>
      <c r="O72" s="39" t="n">
        <f aca="false">SUM(C72:N72)</f>
        <v>12</v>
      </c>
      <c r="P72" s="8" t="s">
        <v>183</v>
      </c>
      <c r="Q72" s="8" t="s">
        <v>392</v>
      </c>
    </row>
    <row r="74" customFormat="false" ht="15" hidden="false" customHeight="false" outlineLevel="0" collapsed="false">
      <c r="A74" s="16" t="s">
        <v>393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</row>
    <row r="75" customFormat="false" ht="15" hidden="false" customHeight="false" outlineLevel="0" collapsed="false">
      <c r="A75" s="8" t="s">
        <v>394</v>
      </c>
      <c r="F75" s="40" t="n">
        <f aca="false">Ops_Model!$O$98</f>
        <v>1184.84605673548</v>
      </c>
      <c r="P75" s="8" t="s">
        <v>146</v>
      </c>
    </row>
    <row r="76" customFormat="false" ht="15" hidden="false" customHeight="false" outlineLevel="0" collapsed="false">
      <c r="A76" s="8" t="s">
        <v>395</v>
      </c>
      <c r="F76" s="25" t="n">
        <f aca="false">Ops_Model!$O$98/$F$33-1</f>
        <v>0.184846056735482</v>
      </c>
      <c r="P76" s="8" t="s">
        <v>146</v>
      </c>
    </row>
    <row r="77" customFormat="false" ht="15" hidden="false" customHeight="false" outlineLevel="0" collapsed="false">
      <c r="A77" s="8" t="s">
        <v>367</v>
      </c>
      <c r="F77" s="40" t="n">
        <f aca="false">Ops_Model!$O$105</f>
        <v>723.253795465317</v>
      </c>
      <c r="P77" s="8" t="s">
        <v>146</v>
      </c>
    </row>
    <row r="78" customFormat="false" ht="15" hidden="false" customHeight="false" outlineLevel="0" collapsed="false">
      <c r="A78" s="8" t="s">
        <v>369</v>
      </c>
      <c r="F78" s="25" t="n">
        <f aca="false">Ops_Model!$O$106</f>
        <v>0.610420055292284</v>
      </c>
      <c r="P78" s="8" t="s">
        <v>146</v>
      </c>
    </row>
    <row r="79" customFormat="false" ht="15" hidden="false" customHeight="false" outlineLevel="0" collapsed="false">
      <c r="A79" s="8" t="s">
        <v>396</v>
      </c>
      <c r="F79" s="40" t="n">
        <f aca="false">Ops_Model!$O$108</f>
        <v>0</v>
      </c>
      <c r="P79" s="8" t="s">
        <v>146</v>
      </c>
    </row>
    <row r="81" customFormat="false" ht="15" hidden="false" customHeight="false" outlineLevel="0" collapsed="false">
      <c r="A81" s="16" t="s">
        <v>397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</row>
    <row r="82" customFormat="false" ht="15" hidden="false" customHeight="false" outlineLevel="0" collapsed="false">
      <c r="A82" s="8" t="s">
        <v>398</v>
      </c>
      <c r="B82" s="8" t="s">
        <v>399</v>
      </c>
      <c r="F82" s="41" t="n">
        <v>60</v>
      </c>
      <c r="P82" s="8" t="s">
        <v>108</v>
      </c>
      <c r="Q82" s="8" t="s">
        <v>400</v>
      </c>
    </row>
    <row r="83" customFormat="false" ht="15" hidden="false" customHeight="false" outlineLevel="0" collapsed="false">
      <c r="A83" s="8" t="s">
        <v>401</v>
      </c>
      <c r="B83" s="8" t="s">
        <v>399</v>
      </c>
      <c r="F83" s="41" t="n">
        <v>40</v>
      </c>
      <c r="P83" s="8" t="s">
        <v>108</v>
      </c>
      <c r="Q83" s="8" t="s">
        <v>402</v>
      </c>
    </row>
    <row r="84" customFormat="false" ht="15" hidden="false" customHeight="false" outlineLevel="0" collapsed="false">
      <c r="A84" s="8" t="s">
        <v>403</v>
      </c>
      <c r="B84" s="8" t="s">
        <v>285</v>
      </c>
      <c r="F84" s="23" t="n">
        <v>0.3</v>
      </c>
      <c r="P84" s="8" t="s">
        <v>183</v>
      </c>
      <c r="Q84" s="8" t="s">
        <v>404</v>
      </c>
    </row>
    <row r="85" customFormat="false" ht="15" hidden="false" customHeight="false" outlineLevel="0" collapsed="false">
      <c r="A85" s="8" t="s">
        <v>405</v>
      </c>
      <c r="B85" s="8" t="s">
        <v>351</v>
      </c>
      <c r="F85" s="41" t="n">
        <v>60</v>
      </c>
      <c r="P85" s="8" t="s">
        <v>108</v>
      </c>
      <c r="Q85" s="8" t="s">
        <v>406</v>
      </c>
    </row>
    <row r="86" customFormat="false" ht="15" hidden="false" customHeight="false" outlineLevel="0" collapsed="false">
      <c r="A86" s="8" t="s">
        <v>407</v>
      </c>
      <c r="F86" s="42" t="n">
        <f aca="false">Hist_Analysis!$G$42</f>
        <v>69.2888969043729</v>
      </c>
      <c r="P86" s="8" t="s">
        <v>146</v>
      </c>
      <c r="Q86" s="8" t="s">
        <v>306</v>
      </c>
    </row>
    <row r="87" customFormat="false" ht="15" hidden="false" customHeight="false" outlineLevel="0" collapsed="false">
      <c r="A87" s="8" t="s">
        <v>408</v>
      </c>
      <c r="F87" s="25" t="n">
        <f aca="false">(Hist_Data!$G$35-Hist_Data!$G$12)/Hist_Data!$G$7</f>
        <v>0.0547834758439244</v>
      </c>
      <c r="P87" s="8" t="s">
        <v>146</v>
      </c>
      <c r="Q87" s="8" t="s">
        <v>306</v>
      </c>
    </row>
    <row r="88" customFormat="false" ht="15" hidden="false" customHeight="false" outlineLevel="0" collapsed="false">
      <c r="A88" s="5" t="s">
        <v>409</v>
      </c>
    </row>
    <row r="89" customFormat="false" ht="15" hidden="false" customHeight="false" outlineLevel="0" collapsed="false">
      <c r="A89" s="8" t="s">
        <v>410</v>
      </c>
      <c r="B89" s="8" t="s">
        <v>318</v>
      </c>
      <c r="F89" s="31" t="n">
        <f aca="false">$F$33*$F$82/365</f>
        <v>164.383561643836</v>
      </c>
      <c r="P89" s="8" t="s">
        <v>146</v>
      </c>
      <c r="Q89" s="8" t="s">
        <v>411</v>
      </c>
    </row>
    <row r="90" customFormat="false" ht="15" hidden="false" customHeight="false" outlineLevel="0" collapsed="false">
      <c r="A90" s="8" t="s">
        <v>412</v>
      </c>
      <c r="B90" s="8" t="s">
        <v>318</v>
      </c>
      <c r="F90" s="31" t="n">
        <f aca="false">$F$68</f>
        <v>34.8265744423818</v>
      </c>
      <c r="P90" s="8" t="s">
        <v>146</v>
      </c>
      <c r="Q90" s="8" t="s">
        <v>413</v>
      </c>
    </row>
    <row r="91" customFormat="false" ht="15" hidden="false" customHeight="false" outlineLevel="0" collapsed="false">
      <c r="A91" s="8" t="s">
        <v>414</v>
      </c>
      <c r="B91" s="8" t="s">
        <v>318</v>
      </c>
      <c r="F91" s="31" t="n">
        <f aca="false">$F$54*$F$83/365</f>
        <v>20.6815225543651</v>
      </c>
      <c r="P91" s="8" t="s">
        <v>146</v>
      </c>
      <c r="Q91" s="8" t="s">
        <v>415</v>
      </c>
    </row>
    <row r="92" customFormat="false" ht="15" hidden="false" customHeight="false" outlineLevel="0" collapsed="false">
      <c r="A92" s="7" t="s">
        <v>416</v>
      </c>
      <c r="B92" s="8" t="s">
        <v>318</v>
      </c>
      <c r="F92" s="43" t="n">
        <f aca="false">F89+F90-F91</f>
        <v>178.528613531852</v>
      </c>
      <c r="P92" s="8" t="s">
        <v>146</v>
      </c>
      <c r="Q92" s="8" t="s">
        <v>417</v>
      </c>
    </row>
    <row r="94" customFormat="false" ht="15" hidden="false" customHeight="false" outlineLevel="0" collapsed="false">
      <c r="A94" s="16" t="s">
        <v>418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</row>
    <row r="95" customFormat="false" ht="15" hidden="false" customHeight="false" outlineLevel="0" collapsed="false">
      <c r="A95" s="8" t="s">
        <v>419</v>
      </c>
      <c r="F95" s="40" t="n">
        <f aca="false">PnL!$O$17</f>
        <v>406.022621531428</v>
      </c>
      <c r="P95" s="8" t="s">
        <v>146</v>
      </c>
    </row>
    <row r="96" customFormat="false" ht="15" hidden="false" customHeight="false" outlineLevel="0" collapsed="false">
      <c r="A96" s="8" t="s">
        <v>420</v>
      </c>
      <c r="F96" s="25" t="n">
        <f aca="false">PnL!$O$18</f>
        <v>0.342679641142675</v>
      </c>
      <c r="P96" s="8" t="s">
        <v>146</v>
      </c>
    </row>
    <row r="97" customFormat="false" ht="15" hidden="false" customHeight="false" outlineLevel="0" collapsed="false">
      <c r="A97" s="8" t="s">
        <v>421</v>
      </c>
      <c r="F97" s="40" t="n">
        <f aca="false">PnL!$O$21</f>
        <v>332.938549655771</v>
      </c>
      <c r="P97" s="8" t="s">
        <v>146</v>
      </c>
    </row>
    <row r="98" customFormat="false" ht="15" hidden="false" customHeight="false" outlineLevel="0" collapsed="false">
      <c r="A98" s="8" t="s">
        <v>422</v>
      </c>
      <c r="F98" s="40" t="n">
        <f aca="false">FCF!$O$25</f>
        <v>325.05529847611</v>
      </c>
      <c r="P98" s="8" t="s">
        <v>146</v>
      </c>
    </row>
    <row r="99" customFormat="false" ht="15" hidden="false" customHeight="false" outlineLevel="0" collapsed="false">
      <c r="A99" s="8" t="s">
        <v>423</v>
      </c>
      <c r="F99" s="25" t="n">
        <f aca="false">FCF!$O$26</f>
        <v>0.274343908753607</v>
      </c>
      <c r="P99" s="8" t="s">
        <v>146</v>
      </c>
    </row>
  </sheetData>
  <dataValidations count="1">
    <dataValidation allowBlank="false" error="Choose Downside, Base or Upside" errorStyle="stop" errorTitle="Scenario" operator="between" showDropDown="false" showErrorMessage="true" showInputMessage="false" sqref="C6" type="list">
      <formula1>"Downside,Base,Upside"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K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7" min="3" style="0" width="11"/>
    <col collapsed="false" customWidth="true" hidden="false" outlineLevel="0" max="8" min="8" style="0" width="20"/>
    <col collapsed="false" customWidth="true" hidden="false" outlineLevel="0" max="9" min="9" style="0" width="58"/>
    <col collapsed="false" customWidth="true" hidden="false" outlineLevel="0" max="10" min="10" style="0" width="60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14" t="s">
        <v>424</v>
      </c>
    </row>
    <row r="2" customFormat="false" ht="15" hidden="false" customHeight="false" outlineLevel="0" collapsed="false">
      <c r="A2" s="4" t="s">
        <v>425</v>
      </c>
    </row>
    <row r="3" customFormat="false" ht="15" hidden="false" customHeight="false" outlineLevel="0" collapsed="false">
      <c r="A3" s="15" t="s">
        <v>426</v>
      </c>
    </row>
    <row r="5" customFormat="false" ht="15" hidden="false" customHeight="false" outlineLevel="0" collapsed="false">
      <c r="A5" s="18" t="s">
        <v>427</v>
      </c>
      <c r="B5" s="19" t="s">
        <v>279</v>
      </c>
      <c r="C5" s="19" t="s">
        <v>428</v>
      </c>
      <c r="D5" s="19" t="s">
        <v>429</v>
      </c>
      <c r="E5" s="19" t="s">
        <v>430</v>
      </c>
      <c r="F5" s="19" t="s">
        <v>431</v>
      </c>
      <c r="G5" s="19" t="s">
        <v>432</v>
      </c>
      <c r="H5" s="19" t="s">
        <v>100</v>
      </c>
      <c r="I5" s="19" t="s">
        <v>433</v>
      </c>
      <c r="J5" s="19" t="s">
        <v>330</v>
      </c>
      <c r="K5" s="19" t="s">
        <v>434</v>
      </c>
    </row>
    <row r="6" customFormat="false" ht="15" hidden="false" customHeight="false" outlineLevel="0" collapsed="false">
      <c r="A6" s="16" t="s">
        <v>435</v>
      </c>
      <c r="B6" s="17"/>
      <c r="C6" s="17"/>
      <c r="D6" s="17"/>
      <c r="E6" s="17"/>
      <c r="F6" s="17"/>
      <c r="G6" s="17"/>
      <c r="H6" s="17"/>
      <c r="I6" s="17"/>
      <c r="J6" s="17"/>
      <c r="K6" s="17"/>
    </row>
    <row r="7" customFormat="false" ht="15" hidden="false" customHeight="false" outlineLevel="0" collapsed="false">
      <c r="A7" s="8" t="s">
        <v>436</v>
      </c>
      <c r="B7" s="8" t="s">
        <v>318</v>
      </c>
      <c r="C7" s="28" t="n">
        <v>6820.9</v>
      </c>
      <c r="D7" s="28" t="n">
        <v>8438.7</v>
      </c>
      <c r="E7" s="28" t="n">
        <v>7634.4</v>
      </c>
      <c r="F7" s="28" t="n">
        <v>4401.6</v>
      </c>
      <c r="G7" s="28" t="n">
        <v>4713.1</v>
      </c>
      <c r="H7" s="8" t="s">
        <v>437</v>
      </c>
      <c r="I7" s="8" t="s">
        <v>438</v>
      </c>
      <c r="J7" s="8"/>
      <c r="K7" s="44" t="s">
        <v>439</v>
      </c>
    </row>
    <row r="8" customFormat="false" ht="15" hidden="false" customHeight="false" outlineLevel="0" collapsed="false">
      <c r="A8" s="8" t="s">
        <v>440</v>
      </c>
      <c r="B8" s="8" t="s">
        <v>318</v>
      </c>
      <c r="C8" s="28" t="n">
        <v>2371.3</v>
      </c>
      <c r="D8" s="28" t="n">
        <v>2740.8</v>
      </c>
      <c r="E8" s="28" t="n">
        <v>2638.7</v>
      </c>
      <c r="F8" s="28" t="n">
        <v>1933.7</v>
      </c>
      <c r="G8" s="28" t="n">
        <v>1992</v>
      </c>
      <c r="H8" s="8" t="s">
        <v>437</v>
      </c>
      <c r="I8" s="8" t="s">
        <v>438</v>
      </c>
      <c r="J8" s="8"/>
      <c r="K8" s="44" t="s">
        <v>441</v>
      </c>
    </row>
    <row r="9" customFormat="false" ht="15" hidden="false" customHeight="false" outlineLevel="0" collapsed="false">
      <c r="A9" s="45" t="s">
        <v>367</v>
      </c>
      <c r="B9" s="46" t="s">
        <v>318</v>
      </c>
      <c r="C9" s="47" t="n">
        <v>4449.6</v>
      </c>
      <c r="D9" s="47" t="n">
        <v>5697.9</v>
      </c>
      <c r="E9" s="47" t="n">
        <v>4995.7</v>
      </c>
      <c r="F9" s="47" t="n">
        <v>2467.9</v>
      </c>
      <c r="G9" s="47" t="n">
        <v>2721.1</v>
      </c>
      <c r="H9" s="8" t="s">
        <v>437</v>
      </c>
      <c r="I9" s="8" t="s">
        <v>438</v>
      </c>
      <c r="J9" s="8"/>
      <c r="K9" s="44" t="s">
        <v>442</v>
      </c>
    </row>
    <row r="10" customFormat="false" ht="15" hidden="false" customHeight="false" outlineLevel="0" collapsed="false">
      <c r="A10" s="8" t="s">
        <v>443</v>
      </c>
      <c r="B10" s="8" t="s">
        <v>318</v>
      </c>
      <c r="C10" s="28" t="n">
        <v>989.1</v>
      </c>
      <c r="D10" s="28" t="n">
        <v>1118.3</v>
      </c>
      <c r="E10" s="28" t="n">
        <v>1097.4</v>
      </c>
      <c r="F10" s="28" t="n">
        <v>983.8</v>
      </c>
      <c r="G10" s="28" t="n">
        <v>1085.9</v>
      </c>
      <c r="H10" s="8" t="s">
        <v>437</v>
      </c>
      <c r="I10" s="8" t="s">
        <v>438</v>
      </c>
      <c r="J10" s="8"/>
      <c r="K10" s="44" t="s">
        <v>444</v>
      </c>
    </row>
    <row r="11" customFormat="false" ht="15" hidden="false" customHeight="false" outlineLevel="0" collapsed="false">
      <c r="A11" s="8" t="s">
        <v>445</v>
      </c>
      <c r="B11" s="8" t="s">
        <v>318</v>
      </c>
      <c r="C11" s="28" t="n">
        <v>718.9</v>
      </c>
      <c r="D11" s="28" t="n">
        <v>797.7</v>
      </c>
      <c r="E11" s="28" t="n">
        <v>734.2</v>
      </c>
      <c r="F11" s="28" t="n">
        <v>617.7</v>
      </c>
      <c r="G11" s="28" t="n">
        <v>674.3</v>
      </c>
      <c r="H11" s="8" t="s">
        <v>437</v>
      </c>
      <c r="I11" s="8" t="s">
        <v>438</v>
      </c>
      <c r="J11" s="8"/>
      <c r="K11" s="44" t="s">
        <v>446</v>
      </c>
    </row>
    <row r="12" customFormat="false" ht="15" hidden="false" customHeight="false" outlineLevel="0" collapsed="false">
      <c r="A12" s="8" t="s">
        <v>447</v>
      </c>
      <c r="B12" s="8" t="s">
        <v>318</v>
      </c>
      <c r="C12" s="28" t="n">
        <v>862.5</v>
      </c>
      <c r="D12" s="28" t="n">
        <v>669.9</v>
      </c>
      <c r="E12" s="28" t="n">
        <v>605.4</v>
      </c>
      <c r="F12" s="28" t="n">
        <v>490.9</v>
      </c>
      <c r="G12" s="28" t="n">
        <v>431.1</v>
      </c>
      <c r="H12" s="8" t="s">
        <v>437</v>
      </c>
      <c r="I12" s="8" t="s">
        <v>438</v>
      </c>
      <c r="J12" s="8"/>
      <c r="K12" s="44" t="s">
        <v>448</v>
      </c>
    </row>
    <row r="13" customFormat="false" ht="15" hidden="false" customHeight="false" outlineLevel="0" collapsed="false">
      <c r="A13" s="8" t="s">
        <v>449</v>
      </c>
      <c r="B13" s="8" t="s">
        <v>318</v>
      </c>
      <c r="C13" s="28" t="n">
        <v>29.5</v>
      </c>
      <c r="D13" s="28" t="n">
        <v>-4</v>
      </c>
      <c r="E13" s="28" t="n">
        <v>-12.3</v>
      </c>
      <c r="F13" s="28" t="n">
        <v>79.2</v>
      </c>
      <c r="G13" s="28" t="n">
        <v>39.7</v>
      </c>
      <c r="H13" s="8" t="s">
        <v>437</v>
      </c>
      <c r="I13" s="8" t="s">
        <v>438</v>
      </c>
      <c r="J13" s="8" t="s">
        <v>450</v>
      </c>
      <c r="K13" s="44" t="s">
        <v>451</v>
      </c>
    </row>
    <row r="14" customFormat="false" ht="15" hidden="false" customHeight="false" outlineLevel="0" collapsed="false">
      <c r="A14" s="8" t="s">
        <v>452</v>
      </c>
      <c r="B14" s="8" t="s">
        <v>318</v>
      </c>
      <c r="C14" s="28" t="n">
        <v>2600</v>
      </c>
      <c r="D14" s="28" t="n">
        <v>2581.9</v>
      </c>
      <c r="E14" s="28" t="n">
        <v>2424.7</v>
      </c>
      <c r="F14" s="28" t="n">
        <v>2171.6</v>
      </c>
      <c r="G14" s="28" t="n">
        <v>2231</v>
      </c>
      <c r="H14" s="8" t="s">
        <v>437</v>
      </c>
      <c r="I14" s="8" t="s">
        <v>438</v>
      </c>
      <c r="J14" s="8"/>
      <c r="K14" s="44" t="s">
        <v>453</v>
      </c>
    </row>
    <row r="15" customFormat="false" ht="15" hidden="false" customHeight="false" outlineLevel="0" collapsed="false">
      <c r="A15" s="45" t="s">
        <v>454</v>
      </c>
      <c r="B15" s="46" t="s">
        <v>318</v>
      </c>
      <c r="C15" s="47" t="n">
        <v>1849.6</v>
      </c>
      <c r="D15" s="47" t="n">
        <v>3116</v>
      </c>
      <c r="E15" s="47" t="n">
        <v>2571</v>
      </c>
      <c r="F15" s="47" t="n">
        <v>296.3</v>
      </c>
      <c r="G15" s="47" t="n">
        <v>490.1</v>
      </c>
      <c r="H15" s="8" t="s">
        <v>437</v>
      </c>
      <c r="I15" s="8" t="s">
        <v>438</v>
      </c>
      <c r="J15" s="8"/>
      <c r="K15" s="44" t="s">
        <v>455</v>
      </c>
    </row>
    <row r="16" customFormat="false" ht="15" hidden="false" customHeight="false" outlineLevel="0" collapsed="false">
      <c r="A16" s="8" t="s">
        <v>456</v>
      </c>
      <c r="B16" s="8" t="s">
        <v>318</v>
      </c>
      <c r="C16" s="28" t="n">
        <v>0.5</v>
      </c>
      <c r="D16" s="28" t="n">
        <v>2.1</v>
      </c>
      <c r="E16" s="28" t="n">
        <v>7.6</v>
      </c>
      <c r="F16" s="28" t="n">
        <v>9.2</v>
      </c>
      <c r="G16" s="28" t="n">
        <v>11.4</v>
      </c>
      <c r="H16" s="8" t="s">
        <v>437</v>
      </c>
      <c r="I16" s="8" t="s">
        <v>438</v>
      </c>
      <c r="J16" s="8"/>
      <c r="K16" s="44" t="s">
        <v>457</v>
      </c>
    </row>
    <row r="17" customFormat="false" ht="15" hidden="false" customHeight="false" outlineLevel="0" collapsed="false">
      <c r="A17" s="8" t="s">
        <v>458</v>
      </c>
      <c r="B17" s="8" t="s">
        <v>318</v>
      </c>
      <c r="C17" s="28" t="n">
        <v>-257</v>
      </c>
      <c r="D17" s="28" t="n">
        <v>-203.9</v>
      </c>
      <c r="E17" s="28" t="n">
        <v>-198.3</v>
      </c>
      <c r="F17" s="28" t="n">
        <v>-259.2</v>
      </c>
      <c r="G17" s="28" t="n">
        <v>-221.3</v>
      </c>
      <c r="H17" s="8" t="s">
        <v>437</v>
      </c>
      <c r="I17" s="8" t="s">
        <v>438</v>
      </c>
      <c r="J17" s="8"/>
      <c r="K17" s="44" t="s">
        <v>459</v>
      </c>
    </row>
    <row r="18" customFormat="false" ht="15" hidden="false" customHeight="false" outlineLevel="0" collapsed="false">
      <c r="A18" s="8" t="s">
        <v>460</v>
      </c>
      <c r="B18" s="8" t="s">
        <v>318</v>
      </c>
      <c r="C18" s="28" t="n">
        <v>-113.4</v>
      </c>
      <c r="D18" s="28" t="n">
        <v>-8.3</v>
      </c>
      <c r="E18" s="28" t="n">
        <v>-12.2</v>
      </c>
      <c r="F18" s="28" t="n">
        <v>-1.7</v>
      </c>
      <c r="G18" s="28" t="n">
        <v>0</v>
      </c>
      <c r="H18" s="8" t="s">
        <v>437</v>
      </c>
      <c r="I18" s="8" t="s">
        <v>438</v>
      </c>
      <c r="J18" s="8"/>
      <c r="K18" s="44" t="s">
        <v>461</v>
      </c>
    </row>
    <row r="19" customFormat="false" ht="15" hidden="false" customHeight="false" outlineLevel="0" collapsed="false">
      <c r="A19" s="8" t="s">
        <v>462</v>
      </c>
      <c r="B19" s="8" t="s">
        <v>318</v>
      </c>
      <c r="C19" s="28" t="n">
        <v>2.8</v>
      </c>
      <c r="D19" s="28" t="n">
        <v>3.8</v>
      </c>
      <c r="E19" s="28" t="n">
        <v>-2.2</v>
      </c>
      <c r="F19" s="28" t="n">
        <v>-5.7</v>
      </c>
      <c r="G19" s="28" t="n">
        <v>-6.7</v>
      </c>
      <c r="H19" s="8" t="s">
        <v>437</v>
      </c>
      <c r="I19" s="8" t="s">
        <v>438</v>
      </c>
      <c r="J19" s="8"/>
      <c r="K19" s="44" t="s">
        <v>463</v>
      </c>
    </row>
    <row r="20" customFormat="false" ht="15" hidden="false" customHeight="false" outlineLevel="0" collapsed="false">
      <c r="A20" s="8" t="s">
        <v>464</v>
      </c>
      <c r="B20" s="8" t="s">
        <v>318</v>
      </c>
      <c r="C20" s="28" t="n">
        <v>1482.5</v>
      </c>
      <c r="D20" s="28" t="n">
        <v>2909.7</v>
      </c>
      <c r="E20" s="28" t="n">
        <v>2365.9</v>
      </c>
      <c r="F20" s="28" t="n">
        <v>38.9</v>
      </c>
      <c r="G20" s="28" t="n">
        <v>273.5</v>
      </c>
      <c r="H20" s="8" t="s">
        <v>437</v>
      </c>
      <c r="I20" s="8" t="s">
        <v>438</v>
      </c>
      <c r="J20" s="8"/>
      <c r="K20" s="44" t="s">
        <v>465</v>
      </c>
    </row>
    <row r="21" customFormat="false" ht="15" hidden="false" customHeight="false" outlineLevel="0" collapsed="false">
      <c r="A21" s="8" t="s">
        <v>466</v>
      </c>
      <c r="B21" s="8" t="s">
        <v>318</v>
      </c>
      <c r="C21" s="28" t="n">
        <v>197</v>
      </c>
      <c r="D21" s="28" t="n">
        <v>672</v>
      </c>
      <c r="E21" s="28" t="n">
        <v>459</v>
      </c>
      <c r="F21" s="28" t="n">
        <v>39.4</v>
      </c>
      <c r="G21" s="28" t="n">
        <v>43.5</v>
      </c>
      <c r="H21" s="8" t="s">
        <v>437</v>
      </c>
      <c r="I21" s="8" t="s">
        <v>438</v>
      </c>
      <c r="J21" s="8"/>
      <c r="K21" s="44" t="s">
        <v>467</v>
      </c>
    </row>
    <row r="22" customFormat="false" ht="15" hidden="false" customHeight="false" outlineLevel="0" collapsed="false">
      <c r="A22" s="45" t="s">
        <v>468</v>
      </c>
      <c r="B22" s="46" t="s">
        <v>318</v>
      </c>
      <c r="C22" s="47" t="n">
        <v>1285.5</v>
      </c>
      <c r="D22" s="47" t="n">
        <v>2237.7</v>
      </c>
      <c r="E22" s="47" t="n">
        <v>1906.9</v>
      </c>
      <c r="F22" s="47" t="n">
        <v>-0.5</v>
      </c>
      <c r="G22" s="47" t="n">
        <v>230</v>
      </c>
      <c r="H22" s="8" t="s">
        <v>437</v>
      </c>
      <c r="I22" s="8" t="s">
        <v>438</v>
      </c>
      <c r="J22" s="8"/>
      <c r="K22" s="44" t="s">
        <v>469</v>
      </c>
    </row>
    <row r="23" customFormat="false" ht="15" hidden="false" customHeight="false" outlineLevel="0" collapsed="false">
      <c r="A23" s="8" t="s">
        <v>470</v>
      </c>
      <c r="B23" s="8" t="s">
        <v>318</v>
      </c>
      <c r="C23" s="48"/>
      <c r="D23" s="48"/>
      <c r="E23" s="28" t="n">
        <v>0</v>
      </c>
      <c r="F23" s="28" t="n">
        <v>-2.2</v>
      </c>
      <c r="G23" s="28" t="n">
        <v>-111.2</v>
      </c>
      <c r="H23" s="8" t="s">
        <v>437</v>
      </c>
      <c r="I23" s="8" t="s">
        <v>471</v>
      </c>
      <c r="J23" s="8"/>
      <c r="K23" s="44" t="s">
        <v>472</v>
      </c>
    </row>
    <row r="24" customFormat="false" ht="15" hidden="false" customHeight="false" outlineLevel="0" collapsed="false">
      <c r="A24" s="8" t="s">
        <v>473</v>
      </c>
      <c r="B24" s="8" t="s">
        <v>318</v>
      </c>
      <c r="C24" s="48"/>
      <c r="D24" s="48"/>
      <c r="E24" s="28" t="n">
        <v>1906.9</v>
      </c>
      <c r="F24" s="28" t="n">
        <v>-2.7</v>
      </c>
      <c r="G24" s="28" t="n">
        <v>118.8</v>
      </c>
      <c r="H24" s="8" t="s">
        <v>437</v>
      </c>
      <c r="I24" s="8" t="s">
        <v>471</v>
      </c>
      <c r="J24" s="8"/>
      <c r="K24" s="44" t="s">
        <v>474</v>
      </c>
    </row>
    <row r="25" customFormat="false" ht="15" hidden="false" customHeight="false" outlineLevel="0" collapsed="false">
      <c r="A25" s="16" t="s">
        <v>475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customFormat="false" ht="15" hidden="false" customHeight="false" outlineLevel="0" collapsed="false">
      <c r="A26" s="8" t="s">
        <v>476</v>
      </c>
      <c r="B26" s="8" t="s">
        <v>318</v>
      </c>
      <c r="C26" s="28" t="n">
        <v>3814.8</v>
      </c>
      <c r="D26" s="28" t="n">
        <v>4755.7</v>
      </c>
      <c r="E26" s="28" t="n">
        <v>4272.4</v>
      </c>
      <c r="F26" s="28" t="n">
        <v>2249.7</v>
      </c>
      <c r="G26" s="28" t="n">
        <v>2355.4</v>
      </c>
      <c r="H26" s="8" t="s">
        <v>437</v>
      </c>
      <c r="I26" s="8" t="s">
        <v>477</v>
      </c>
      <c r="J26" s="8"/>
      <c r="K26" s="44" t="s">
        <v>478</v>
      </c>
    </row>
    <row r="27" customFormat="false" ht="15" hidden="false" customHeight="false" outlineLevel="0" collapsed="false">
      <c r="A27" s="8" t="s">
        <v>479</v>
      </c>
      <c r="B27" s="8" t="s">
        <v>318</v>
      </c>
      <c r="C27" s="28" t="n">
        <v>1939.1</v>
      </c>
      <c r="D27" s="28" t="n">
        <v>2376.9</v>
      </c>
      <c r="E27" s="28" t="n">
        <v>2016.4</v>
      </c>
      <c r="F27" s="28" t="n">
        <v>1157</v>
      </c>
      <c r="G27" s="28" t="n">
        <v>1329</v>
      </c>
      <c r="H27" s="8" t="s">
        <v>437</v>
      </c>
      <c r="I27" s="8" t="s">
        <v>477</v>
      </c>
      <c r="J27" s="8"/>
      <c r="K27" s="44" t="s">
        <v>480</v>
      </c>
    </row>
    <row r="28" customFormat="false" ht="15" hidden="false" customHeight="false" outlineLevel="0" collapsed="false">
      <c r="A28" s="8" t="s">
        <v>481</v>
      </c>
      <c r="B28" s="8" t="s">
        <v>318</v>
      </c>
      <c r="C28" s="28" t="n">
        <v>1067</v>
      </c>
      <c r="D28" s="28" t="n">
        <v>1306.1</v>
      </c>
      <c r="E28" s="28" t="n">
        <v>1345.6</v>
      </c>
      <c r="F28" s="28" t="n">
        <v>994.9</v>
      </c>
      <c r="G28" s="28" t="n">
        <v>1028.7</v>
      </c>
      <c r="H28" s="8" t="s">
        <v>437</v>
      </c>
      <c r="I28" s="8" t="s">
        <v>477</v>
      </c>
      <c r="J28" s="8" t="s">
        <v>482</v>
      </c>
      <c r="K28" s="44" t="s">
        <v>483</v>
      </c>
    </row>
    <row r="29" customFormat="false" ht="15" hidden="false" customHeight="false" outlineLevel="0" collapsed="false">
      <c r="A29" s="16" t="s">
        <v>484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customFormat="false" ht="15" hidden="false" customHeight="false" outlineLevel="0" collapsed="false">
      <c r="A30" s="8" t="s">
        <v>485</v>
      </c>
      <c r="B30" s="8" t="s">
        <v>318</v>
      </c>
      <c r="C30" s="48"/>
      <c r="D30" s="48"/>
      <c r="E30" s="28" t="n">
        <v>7531.1</v>
      </c>
      <c r="F30" s="28" t="n">
        <v>4270.5</v>
      </c>
      <c r="G30" s="28" t="n">
        <v>4549.3</v>
      </c>
      <c r="H30" s="8" t="s">
        <v>437</v>
      </c>
      <c r="I30" s="8" t="s">
        <v>486</v>
      </c>
      <c r="J30" s="8" t="s">
        <v>487</v>
      </c>
      <c r="K30" s="44" t="s">
        <v>488</v>
      </c>
    </row>
    <row r="31" customFormat="false" ht="15" hidden="false" customHeight="false" outlineLevel="0" collapsed="false">
      <c r="A31" s="8" t="s">
        <v>489</v>
      </c>
      <c r="B31" s="8" t="s">
        <v>318</v>
      </c>
      <c r="C31" s="48"/>
      <c r="D31" s="48"/>
      <c r="E31" s="28" t="n">
        <v>4892.4</v>
      </c>
      <c r="F31" s="28" t="n">
        <v>2336.8</v>
      </c>
      <c r="G31" s="28" t="n">
        <v>2557.3</v>
      </c>
      <c r="H31" s="8" t="s">
        <v>437</v>
      </c>
      <c r="I31" s="8" t="s">
        <v>486</v>
      </c>
      <c r="J31" s="8"/>
      <c r="K31" s="44" t="s">
        <v>490</v>
      </c>
    </row>
    <row r="32" customFormat="false" ht="15" hidden="false" customHeight="false" outlineLevel="0" collapsed="false">
      <c r="A32" s="8" t="s">
        <v>491</v>
      </c>
      <c r="B32" s="8" t="s">
        <v>318</v>
      </c>
      <c r="C32" s="48"/>
      <c r="D32" s="48"/>
      <c r="E32" s="28" t="n">
        <v>103.3</v>
      </c>
      <c r="F32" s="28" t="n">
        <v>131.1</v>
      </c>
      <c r="G32" s="28" t="n">
        <v>163.8</v>
      </c>
      <c r="H32" s="8" t="s">
        <v>437</v>
      </c>
      <c r="I32" s="8" t="s">
        <v>486</v>
      </c>
      <c r="J32" s="8" t="s">
        <v>492</v>
      </c>
      <c r="K32" s="44" t="s">
        <v>493</v>
      </c>
    </row>
    <row r="33" customFormat="false" ht="15" hidden="false" customHeight="false" outlineLevel="0" collapsed="false">
      <c r="A33" s="16" t="s">
        <v>494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customFormat="false" ht="15" hidden="false" customHeight="false" outlineLevel="0" collapsed="false">
      <c r="A34" s="8" t="s">
        <v>468</v>
      </c>
      <c r="B34" s="8" t="s">
        <v>318</v>
      </c>
      <c r="C34" s="28" t="n">
        <v>1285.5</v>
      </c>
      <c r="D34" s="28" t="n">
        <v>2237.7</v>
      </c>
      <c r="E34" s="28" t="n">
        <v>1906.9</v>
      </c>
      <c r="F34" s="28" t="n">
        <v>-0.5</v>
      </c>
      <c r="G34" s="28" t="n">
        <v>230</v>
      </c>
      <c r="H34" s="8" t="s">
        <v>437</v>
      </c>
      <c r="I34" s="8" t="s">
        <v>495</v>
      </c>
      <c r="J34" s="8"/>
      <c r="K34" s="44" t="s">
        <v>496</v>
      </c>
    </row>
    <row r="35" customFormat="false" ht="15" hidden="false" customHeight="false" outlineLevel="0" collapsed="false">
      <c r="A35" s="8" t="s">
        <v>497</v>
      </c>
      <c r="B35" s="8" t="s">
        <v>318</v>
      </c>
      <c r="C35" s="28" t="n">
        <v>1143.5</v>
      </c>
      <c r="D35" s="28" t="n">
        <v>998.4</v>
      </c>
      <c r="E35" s="28" t="n">
        <v>879.5</v>
      </c>
      <c r="F35" s="28" t="n">
        <v>750.1</v>
      </c>
      <c r="G35" s="28" t="n">
        <v>689.3</v>
      </c>
      <c r="H35" s="8" t="s">
        <v>437</v>
      </c>
      <c r="I35" s="8" t="s">
        <v>495</v>
      </c>
      <c r="J35" s="8"/>
      <c r="K35" s="44" t="s">
        <v>498</v>
      </c>
    </row>
    <row r="36" customFormat="false" ht="15" hidden="false" customHeight="false" outlineLevel="0" collapsed="false">
      <c r="A36" s="8" t="s">
        <v>499</v>
      </c>
      <c r="B36" s="8" t="s">
        <v>318</v>
      </c>
      <c r="C36" s="28" t="n">
        <v>210.2</v>
      </c>
      <c r="D36" s="28" t="n">
        <v>170.4</v>
      </c>
      <c r="E36" s="28" t="n">
        <v>177.5</v>
      </c>
      <c r="F36" s="28" t="n">
        <v>180.4</v>
      </c>
      <c r="G36" s="28" t="n">
        <v>255.4</v>
      </c>
      <c r="H36" s="8" t="s">
        <v>437</v>
      </c>
      <c r="I36" s="8" t="s">
        <v>495</v>
      </c>
      <c r="J36" s="8"/>
      <c r="K36" s="44" t="s">
        <v>500</v>
      </c>
    </row>
    <row r="37" customFormat="false" ht="15" hidden="false" customHeight="false" outlineLevel="0" collapsed="false">
      <c r="A37" s="8" t="s">
        <v>501</v>
      </c>
      <c r="B37" s="8" t="s">
        <v>318</v>
      </c>
      <c r="C37" s="28" t="n">
        <v>-74.9</v>
      </c>
      <c r="D37" s="28" t="n">
        <v>-232.7</v>
      </c>
      <c r="E37" s="28" t="n">
        <v>161.6</v>
      </c>
      <c r="F37" s="28" t="n">
        <v>454</v>
      </c>
      <c r="G37" s="28" t="n">
        <v>-204.5</v>
      </c>
      <c r="H37" s="8" t="s">
        <v>437</v>
      </c>
      <c r="I37" s="8" t="s">
        <v>495</v>
      </c>
      <c r="J37" s="8"/>
      <c r="K37" s="44" t="s">
        <v>502</v>
      </c>
    </row>
    <row r="38" customFormat="false" ht="15" hidden="false" customHeight="false" outlineLevel="0" collapsed="false">
      <c r="A38" s="8" t="s">
        <v>503</v>
      </c>
      <c r="B38" s="8" t="s">
        <v>318</v>
      </c>
      <c r="C38" s="28" t="n">
        <v>-177.8</v>
      </c>
      <c r="D38" s="28" t="n">
        <v>-483.2</v>
      </c>
      <c r="E38" s="28" t="n">
        <v>12.8</v>
      </c>
      <c r="F38" s="28" t="n">
        <v>31.6</v>
      </c>
      <c r="G38" s="28" t="n">
        <v>264.3</v>
      </c>
      <c r="H38" s="8" t="s">
        <v>437</v>
      </c>
      <c r="I38" s="8" t="s">
        <v>495</v>
      </c>
      <c r="J38" s="8"/>
      <c r="K38" s="44" t="s">
        <v>504</v>
      </c>
    </row>
    <row r="39" customFormat="false" ht="15" hidden="false" customHeight="false" outlineLevel="0" collapsed="false">
      <c r="A39" s="8" t="s">
        <v>505</v>
      </c>
      <c r="B39" s="8" t="s">
        <v>318</v>
      </c>
      <c r="C39" s="28" t="n">
        <v>192.7</v>
      </c>
      <c r="D39" s="28" t="n">
        <v>323.4</v>
      </c>
      <c r="E39" s="28" t="n">
        <v>-148.4</v>
      </c>
      <c r="F39" s="28" t="n">
        <v>-345.6</v>
      </c>
      <c r="G39" s="28" t="n">
        <v>26</v>
      </c>
      <c r="H39" s="8" t="s">
        <v>437</v>
      </c>
      <c r="I39" s="8" t="s">
        <v>495</v>
      </c>
      <c r="J39" s="8"/>
      <c r="K39" s="44" t="s">
        <v>506</v>
      </c>
    </row>
    <row r="40" customFormat="false" ht="15" hidden="false" customHeight="false" outlineLevel="0" collapsed="false">
      <c r="A40" s="8" t="s">
        <v>507</v>
      </c>
      <c r="B40" s="8" t="s">
        <v>318</v>
      </c>
      <c r="C40" s="28" t="n">
        <v>79.4</v>
      </c>
      <c r="D40" s="28" t="n">
        <v>404.5</v>
      </c>
      <c r="E40" s="28" t="n">
        <v>-64.2</v>
      </c>
      <c r="F40" s="28" t="n">
        <v>-38.1</v>
      </c>
      <c r="G40" s="28" t="n">
        <v>-105.8</v>
      </c>
      <c r="H40" s="8" t="s">
        <v>437</v>
      </c>
      <c r="I40" s="8" t="s">
        <v>495</v>
      </c>
      <c r="J40" s="8"/>
      <c r="K40" s="44" t="s">
        <v>508</v>
      </c>
    </row>
    <row r="41" customFormat="false" ht="15" hidden="false" customHeight="false" outlineLevel="0" collapsed="false">
      <c r="A41" s="8" t="s">
        <v>509</v>
      </c>
      <c r="B41" s="8" t="s">
        <v>318</v>
      </c>
      <c r="C41" s="28" t="n">
        <v>14.8</v>
      </c>
      <c r="D41" s="28" t="n">
        <v>-28</v>
      </c>
      <c r="E41" s="28" t="n">
        <v>-38.5</v>
      </c>
      <c r="F41" s="28" t="n">
        <v>-1.8</v>
      </c>
      <c r="G41" s="28" t="n">
        <v>-147.7</v>
      </c>
      <c r="H41" s="8" t="s">
        <v>437</v>
      </c>
      <c r="I41" s="8" t="s">
        <v>495</v>
      </c>
      <c r="J41" s="8"/>
      <c r="K41" s="44" t="s">
        <v>510</v>
      </c>
    </row>
    <row r="42" customFormat="false" ht="15" hidden="false" customHeight="false" outlineLevel="0" collapsed="false">
      <c r="A42" s="45" t="s">
        <v>511</v>
      </c>
      <c r="B42" s="46" t="s">
        <v>318</v>
      </c>
      <c r="C42" s="47" t="n">
        <v>2842.7</v>
      </c>
      <c r="D42" s="47" t="n">
        <v>3621</v>
      </c>
      <c r="E42" s="47" t="n">
        <v>2892.7</v>
      </c>
      <c r="F42" s="47" t="n">
        <v>898.1</v>
      </c>
      <c r="G42" s="47" t="n">
        <v>962.1</v>
      </c>
      <c r="H42" s="8" t="s">
        <v>437</v>
      </c>
      <c r="I42" s="8" t="s">
        <v>495</v>
      </c>
      <c r="J42" s="8"/>
      <c r="K42" s="44" t="s">
        <v>512</v>
      </c>
    </row>
    <row r="43" customFormat="false" ht="15" hidden="false" customHeight="false" outlineLevel="0" collapsed="false">
      <c r="A43" s="8" t="s">
        <v>513</v>
      </c>
      <c r="B43" s="8" t="s">
        <v>318</v>
      </c>
      <c r="C43" s="28" t="n">
        <v>-370.1</v>
      </c>
      <c r="D43" s="28" t="n">
        <v>-486.2</v>
      </c>
      <c r="E43" s="28" t="n">
        <v>-285.1</v>
      </c>
      <c r="F43" s="28" t="n">
        <v>-126</v>
      </c>
      <c r="G43" s="28" t="n">
        <v>-91.1</v>
      </c>
      <c r="H43" s="8" t="s">
        <v>437</v>
      </c>
      <c r="I43" s="8" t="s">
        <v>495</v>
      </c>
      <c r="J43" s="8" t="s">
        <v>514</v>
      </c>
      <c r="K43" s="44" t="s">
        <v>515</v>
      </c>
    </row>
    <row r="44" customFormat="false" ht="15" hidden="false" customHeight="false" outlineLevel="0" collapsed="false">
      <c r="A44" s="8" t="s">
        <v>516</v>
      </c>
      <c r="B44" s="8" t="s">
        <v>318</v>
      </c>
      <c r="C44" s="28" t="n">
        <v>-477.7</v>
      </c>
      <c r="D44" s="28" t="n">
        <v>-599.5</v>
      </c>
      <c r="E44" s="28" t="n">
        <v>-392.1</v>
      </c>
      <c r="F44" s="28" t="n">
        <v>-287.8</v>
      </c>
      <c r="G44" s="28" t="n">
        <v>-195.5</v>
      </c>
      <c r="H44" s="8" t="s">
        <v>437</v>
      </c>
      <c r="I44" s="8" t="s">
        <v>495</v>
      </c>
      <c r="J44" s="8"/>
      <c r="K44" s="44" t="s">
        <v>517</v>
      </c>
    </row>
    <row r="45" customFormat="false" ht="15" hidden="false" customHeight="false" outlineLevel="0" collapsed="false">
      <c r="A45" s="8" t="s">
        <v>518</v>
      </c>
      <c r="B45" s="8" t="s">
        <v>318</v>
      </c>
      <c r="C45" s="28" t="n">
        <v>-2327.6</v>
      </c>
      <c r="D45" s="28" t="n">
        <v>-3104.9</v>
      </c>
      <c r="E45" s="28" t="n">
        <v>-2414.9</v>
      </c>
      <c r="F45" s="28" t="n">
        <v>-158.3</v>
      </c>
      <c r="G45" s="28" t="n">
        <v>-1298</v>
      </c>
      <c r="H45" s="8" t="s">
        <v>437</v>
      </c>
      <c r="I45" s="8" t="s">
        <v>495</v>
      </c>
      <c r="J45" s="8"/>
      <c r="K45" s="44" t="s">
        <v>519</v>
      </c>
    </row>
    <row r="46" customFormat="false" ht="15" hidden="false" customHeight="false" outlineLevel="0" collapsed="false">
      <c r="A46" s="8" t="s">
        <v>520</v>
      </c>
      <c r="B46" s="8" t="s">
        <v>318</v>
      </c>
      <c r="C46" s="28" t="n">
        <v>-503.8</v>
      </c>
      <c r="D46" s="28" t="n">
        <v>-695.3</v>
      </c>
      <c r="E46" s="28" t="n">
        <v>-911.5</v>
      </c>
      <c r="F46" s="28" t="n">
        <v>-975.7</v>
      </c>
      <c r="G46" s="28" t="n">
        <v>-984</v>
      </c>
      <c r="H46" s="8" t="s">
        <v>437</v>
      </c>
      <c r="I46" s="8" t="s">
        <v>495</v>
      </c>
      <c r="J46" s="8" t="s">
        <v>521</v>
      </c>
      <c r="K46" s="44" t="s">
        <v>522</v>
      </c>
    </row>
    <row r="47" customFormat="false" ht="15" hidden="false" customHeight="false" outlineLevel="0" collapsed="false">
      <c r="A47" s="8" t="s">
        <v>523</v>
      </c>
      <c r="B47" s="8" t="s">
        <v>318</v>
      </c>
      <c r="C47" s="28" t="n">
        <v>317.4</v>
      </c>
      <c r="D47" s="28" t="n">
        <v>234</v>
      </c>
      <c r="E47" s="28" t="n">
        <v>319.7</v>
      </c>
      <c r="F47" s="28" t="n">
        <v>771.7</v>
      </c>
      <c r="G47" s="28" t="n">
        <v>240.3</v>
      </c>
      <c r="H47" s="8" t="s">
        <v>437</v>
      </c>
      <c r="I47" s="8" t="s">
        <v>495</v>
      </c>
      <c r="J47" s="8"/>
      <c r="K47" s="44" t="s">
        <v>524</v>
      </c>
    </row>
    <row r="48" customFormat="false" ht="15" hidden="false" customHeight="false" outlineLevel="0" collapsed="false">
      <c r="A48" s="16" t="s">
        <v>525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customFormat="false" ht="15" hidden="false" customHeight="false" outlineLevel="0" collapsed="false">
      <c r="A49" s="8" t="s">
        <v>526</v>
      </c>
      <c r="B49" s="8" t="s">
        <v>318</v>
      </c>
      <c r="C49" s="28" t="n">
        <v>317.4</v>
      </c>
      <c r="D49" s="28" t="n">
        <v>234</v>
      </c>
      <c r="E49" s="28" t="n">
        <v>319.7</v>
      </c>
      <c r="F49" s="28" t="n">
        <v>771.7</v>
      </c>
      <c r="G49" s="28" t="n">
        <v>240.3</v>
      </c>
      <c r="H49" s="8" t="s">
        <v>437</v>
      </c>
      <c r="I49" s="8" t="s">
        <v>527</v>
      </c>
      <c r="J49" s="8"/>
      <c r="K49" s="44" t="s">
        <v>528</v>
      </c>
    </row>
    <row r="50" customFormat="false" ht="15" hidden="false" customHeight="false" outlineLevel="0" collapsed="false">
      <c r="A50" s="8" t="s">
        <v>529</v>
      </c>
      <c r="B50" s="8" t="s">
        <v>318</v>
      </c>
      <c r="C50" s="28" t="n">
        <v>1072.6</v>
      </c>
      <c r="D50" s="28" t="n">
        <v>1305.3</v>
      </c>
      <c r="E50" s="28" t="n">
        <v>1143.7</v>
      </c>
      <c r="F50" s="28" t="n">
        <v>689.7</v>
      </c>
      <c r="G50" s="28" t="n">
        <v>894.7</v>
      </c>
      <c r="H50" s="8" t="s">
        <v>437</v>
      </c>
      <c r="I50" s="8" t="s">
        <v>527</v>
      </c>
      <c r="J50" s="8"/>
      <c r="K50" s="44" t="s">
        <v>530</v>
      </c>
    </row>
    <row r="51" customFormat="false" ht="15" hidden="false" customHeight="false" outlineLevel="0" collapsed="false">
      <c r="A51" s="8" t="s">
        <v>531</v>
      </c>
      <c r="B51" s="8" t="s">
        <v>318</v>
      </c>
      <c r="C51" s="28" t="n">
        <v>854.4</v>
      </c>
      <c r="D51" s="28" t="n">
        <v>1324.9</v>
      </c>
      <c r="E51" s="28" t="n">
        <v>1316</v>
      </c>
      <c r="F51" s="28" t="n">
        <v>1293.5</v>
      </c>
      <c r="G51" s="28" t="n">
        <v>1035.4</v>
      </c>
      <c r="H51" s="8" t="s">
        <v>437</v>
      </c>
      <c r="I51" s="8" t="s">
        <v>527</v>
      </c>
      <c r="J51" s="8" t="s">
        <v>532</v>
      </c>
      <c r="K51" s="44" t="s">
        <v>533</v>
      </c>
    </row>
    <row r="52" customFormat="false" ht="15" hidden="false" customHeight="false" outlineLevel="0" collapsed="false">
      <c r="A52" s="8" t="s">
        <v>534</v>
      </c>
      <c r="B52" s="8" t="s">
        <v>318</v>
      </c>
      <c r="C52" s="28" t="n">
        <v>206.2</v>
      </c>
      <c r="D52" s="28" t="n">
        <v>205.1</v>
      </c>
      <c r="E52" s="28" t="n">
        <v>233.6</v>
      </c>
      <c r="F52" s="28" t="n">
        <v>236.4</v>
      </c>
      <c r="G52" s="28" t="n">
        <v>207.2</v>
      </c>
      <c r="H52" s="8" t="s">
        <v>437</v>
      </c>
      <c r="I52" s="8" t="s">
        <v>527</v>
      </c>
      <c r="J52" s="8"/>
      <c r="K52" s="44" t="s">
        <v>535</v>
      </c>
    </row>
    <row r="53" customFormat="false" ht="15" hidden="false" customHeight="false" outlineLevel="0" collapsed="false">
      <c r="A53" s="45" t="s">
        <v>536</v>
      </c>
      <c r="B53" s="46" t="s">
        <v>318</v>
      </c>
      <c r="C53" s="47" t="n">
        <v>2452.6</v>
      </c>
      <c r="D53" s="47" t="n">
        <v>3069.3</v>
      </c>
      <c r="E53" s="47" t="n">
        <v>3013</v>
      </c>
      <c r="F53" s="47" t="n">
        <v>2991.3</v>
      </c>
      <c r="G53" s="47" t="n">
        <v>2377.6</v>
      </c>
      <c r="H53" s="8" t="s">
        <v>437</v>
      </c>
      <c r="I53" s="8" t="s">
        <v>527</v>
      </c>
      <c r="J53" s="8"/>
      <c r="K53" s="44" t="s">
        <v>537</v>
      </c>
    </row>
    <row r="54" customFormat="false" ht="15" hidden="false" customHeight="false" outlineLevel="0" collapsed="false">
      <c r="A54" s="8" t="s">
        <v>538</v>
      </c>
      <c r="B54" s="8" t="s">
        <v>318</v>
      </c>
      <c r="C54" s="28" t="n">
        <v>967.9</v>
      </c>
      <c r="D54" s="28" t="n">
        <v>1177.9</v>
      </c>
      <c r="E54" s="28" t="n">
        <v>1194.6</v>
      </c>
      <c r="F54" s="28" t="n">
        <v>1183.7</v>
      </c>
      <c r="G54" s="28" t="n">
        <v>1106.7</v>
      </c>
      <c r="H54" s="8" t="s">
        <v>437</v>
      </c>
      <c r="I54" s="8" t="s">
        <v>527</v>
      </c>
      <c r="J54" s="8"/>
      <c r="K54" s="44" t="s">
        <v>539</v>
      </c>
    </row>
    <row r="55" customFormat="false" ht="15" hidden="false" customHeight="false" outlineLevel="0" collapsed="false">
      <c r="A55" s="45" t="s">
        <v>540</v>
      </c>
      <c r="B55" s="46" t="s">
        <v>318</v>
      </c>
      <c r="C55" s="47" t="n">
        <v>16199.5</v>
      </c>
      <c r="D55" s="47" t="n">
        <v>16370.3</v>
      </c>
      <c r="E55" s="47" t="n">
        <v>15873.2</v>
      </c>
      <c r="F55" s="47" t="n">
        <v>15374.6</v>
      </c>
      <c r="G55" s="47" t="n">
        <v>14370.1</v>
      </c>
      <c r="H55" s="8" t="s">
        <v>437</v>
      </c>
      <c r="I55" s="8" t="s">
        <v>527</v>
      </c>
      <c r="J55" s="8"/>
      <c r="K55" s="44" t="s">
        <v>541</v>
      </c>
    </row>
    <row r="56" customFormat="false" ht="15" hidden="false" customHeight="false" outlineLevel="0" collapsed="false">
      <c r="A56" s="8" t="s">
        <v>542</v>
      </c>
      <c r="B56" s="8" t="s">
        <v>318</v>
      </c>
      <c r="C56" s="28" t="n">
        <v>344.7</v>
      </c>
      <c r="D56" s="28" t="n">
        <v>396.9</v>
      </c>
      <c r="E56" s="28" t="n">
        <v>213</v>
      </c>
      <c r="F56" s="28" t="n">
        <v>160.6</v>
      </c>
      <c r="G56" s="28" t="n">
        <v>205.6</v>
      </c>
      <c r="H56" s="8" t="s">
        <v>437</v>
      </c>
      <c r="I56" s="8" t="s">
        <v>527</v>
      </c>
      <c r="J56" s="8"/>
      <c r="K56" s="44" t="s">
        <v>543</v>
      </c>
    </row>
    <row r="57" customFormat="false" ht="15" hidden="false" customHeight="false" outlineLevel="0" collapsed="false">
      <c r="A57" s="8" t="s">
        <v>544</v>
      </c>
      <c r="B57" s="8" t="s">
        <v>318</v>
      </c>
      <c r="C57" s="28" t="n">
        <v>1054.3</v>
      </c>
      <c r="D57" s="28" t="n">
        <v>1323.5</v>
      </c>
      <c r="E57" s="28" t="n">
        <v>1307</v>
      </c>
      <c r="F57" s="28" t="n">
        <v>994.5</v>
      </c>
      <c r="G57" s="28" t="n">
        <v>930.7</v>
      </c>
      <c r="H57" s="8" t="s">
        <v>437</v>
      </c>
      <c r="I57" s="8" t="s">
        <v>527</v>
      </c>
      <c r="J57" s="8"/>
      <c r="K57" s="44" t="s">
        <v>545</v>
      </c>
    </row>
    <row r="58" customFormat="false" ht="15" hidden="false" customHeight="false" outlineLevel="0" collapsed="false">
      <c r="A58" s="8" t="s">
        <v>546</v>
      </c>
      <c r="B58" s="8" t="s">
        <v>318</v>
      </c>
      <c r="C58" s="28" t="n">
        <v>0</v>
      </c>
      <c r="D58" s="28" t="n">
        <v>1398.2</v>
      </c>
      <c r="E58" s="28" t="n">
        <v>999.4</v>
      </c>
      <c r="F58" s="48"/>
      <c r="G58" s="48"/>
      <c r="H58" s="8" t="s">
        <v>437</v>
      </c>
      <c r="I58" s="8" t="s">
        <v>547</v>
      </c>
      <c r="J58" s="8" t="s">
        <v>548</v>
      </c>
      <c r="K58" s="44" t="s">
        <v>549</v>
      </c>
    </row>
    <row r="59" customFormat="false" ht="15" hidden="false" customHeight="false" outlineLevel="0" collapsed="false">
      <c r="A59" s="45" t="s">
        <v>550</v>
      </c>
      <c r="B59" s="46" t="s">
        <v>318</v>
      </c>
      <c r="C59" s="47" t="n">
        <v>1399</v>
      </c>
      <c r="D59" s="47" t="n">
        <v>3118.6</v>
      </c>
      <c r="E59" s="47" t="n">
        <v>2519.4</v>
      </c>
      <c r="F59" s="47" t="n">
        <v>1155.1</v>
      </c>
      <c r="G59" s="47" t="n">
        <v>1136.3</v>
      </c>
      <c r="H59" s="8" t="s">
        <v>437</v>
      </c>
      <c r="I59" s="8" t="s">
        <v>527</v>
      </c>
      <c r="J59" s="8"/>
      <c r="K59" s="44" t="s">
        <v>551</v>
      </c>
    </row>
    <row r="60" customFormat="false" ht="15" hidden="false" customHeight="false" outlineLevel="0" collapsed="false">
      <c r="A60" s="8" t="s">
        <v>552</v>
      </c>
      <c r="B60" s="8" t="s">
        <v>318</v>
      </c>
      <c r="C60" s="28" t="n">
        <v>7687.4</v>
      </c>
      <c r="D60" s="28" t="n">
        <v>5041.7</v>
      </c>
      <c r="E60" s="28" t="n">
        <v>5000.4</v>
      </c>
      <c r="F60" s="28" t="n">
        <v>5630.4</v>
      </c>
      <c r="G60" s="28" t="n">
        <v>5496.4</v>
      </c>
      <c r="H60" s="8" t="s">
        <v>437</v>
      </c>
      <c r="I60" s="8" t="s">
        <v>527</v>
      </c>
      <c r="J60" s="8"/>
      <c r="K60" s="44" t="s">
        <v>553</v>
      </c>
    </row>
    <row r="61" customFormat="false" ht="15" hidden="false" customHeight="false" outlineLevel="0" collapsed="false">
      <c r="A61" s="8" t="s">
        <v>554</v>
      </c>
      <c r="B61" s="8" t="s">
        <v>318</v>
      </c>
      <c r="C61" s="28" t="n">
        <v>5894.8</v>
      </c>
      <c r="D61" s="28" t="n">
        <v>6513.6</v>
      </c>
      <c r="E61" s="28" t="n">
        <v>6657.8</v>
      </c>
      <c r="F61" s="28" t="n">
        <v>7078.3</v>
      </c>
      <c r="G61" s="28" t="n">
        <v>6432.4</v>
      </c>
      <c r="H61" s="8" t="s">
        <v>437</v>
      </c>
      <c r="I61" s="8" t="s">
        <v>527</v>
      </c>
      <c r="J61" s="8"/>
      <c r="K61" s="44" t="s">
        <v>555</v>
      </c>
    </row>
    <row r="62" customFormat="false" ht="15" hidden="false" customHeight="false" outlineLevel="0" collapsed="false">
      <c r="A62" s="8" t="s">
        <v>556</v>
      </c>
      <c r="B62" s="8" t="s">
        <v>318</v>
      </c>
      <c r="C62" s="28" t="n">
        <v>2</v>
      </c>
      <c r="D62" s="28" t="n">
        <v>0</v>
      </c>
      <c r="E62" s="48"/>
      <c r="F62" s="48"/>
      <c r="G62" s="48"/>
      <c r="H62" s="8" t="s">
        <v>437</v>
      </c>
      <c r="I62" s="8" t="s">
        <v>557</v>
      </c>
      <c r="J62" s="8" t="s">
        <v>558</v>
      </c>
      <c r="K62" s="44" t="s">
        <v>559</v>
      </c>
    </row>
    <row r="63" customFormat="false" ht="15" hidden="false" customHeight="false" outlineLevel="0" collapsed="false">
      <c r="A63" s="16" t="s">
        <v>560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customFormat="false" ht="15" hidden="false" customHeight="false" outlineLevel="0" collapsed="false">
      <c r="A64" s="8" t="s">
        <v>561</v>
      </c>
      <c r="B64" s="8" t="s">
        <v>318</v>
      </c>
      <c r="C64" s="48"/>
      <c r="D64" s="48"/>
      <c r="E64" s="48"/>
      <c r="F64" s="28" t="n">
        <v>174.8</v>
      </c>
      <c r="G64" s="28" t="n">
        <v>135.1</v>
      </c>
      <c r="H64" s="8" t="s">
        <v>437</v>
      </c>
      <c r="I64" s="8" t="s">
        <v>562</v>
      </c>
      <c r="J64" s="8"/>
      <c r="K64" s="44" t="s">
        <v>563</v>
      </c>
    </row>
    <row r="65" customFormat="false" ht="15" hidden="false" customHeight="false" outlineLevel="0" collapsed="false">
      <c r="A65" s="8" t="s">
        <v>564</v>
      </c>
      <c r="B65" s="8" t="s">
        <v>318</v>
      </c>
      <c r="C65" s="48"/>
      <c r="D65" s="48"/>
      <c r="E65" s="48"/>
      <c r="F65" s="28" t="n">
        <v>857.6</v>
      </c>
      <c r="G65" s="28" t="n">
        <v>731.4</v>
      </c>
      <c r="H65" s="8" t="s">
        <v>437</v>
      </c>
      <c r="I65" s="8" t="s">
        <v>562</v>
      </c>
      <c r="J65" s="8"/>
      <c r="K65" s="44" t="s">
        <v>565</v>
      </c>
    </row>
    <row r="66" customFormat="false" ht="15" hidden="false" customHeight="false" outlineLevel="0" collapsed="false">
      <c r="A66" s="8" t="s">
        <v>566</v>
      </c>
      <c r="B66" s="8" t="s">
        <v>318</v>
      </c>
      <c r="C66" s="48"/>
      <c r="D66" s="48"/>
      <c r="E66" s="48"/>
      <c r="F66" s="28" t="n">
        <v>261.1</v>
      </c>
      <c r="G66" s="28" t="n">
        <v>168.9</v>
      </c>
      <c r="H66" s="8" t="s">
        <v>437</v>
      </c>
      <c r="I66" s="8" t="s">
        <v>562</v>
      </c>
      <c r="J66" s="8"/>
      <c r="K66" s="44" t="s">
        <v>567</v>
      </c>
    </row>
    <row r="68" customFormat="false" ht="15" hidden="false" customHeight="false" outlineLevel="0" collapsed="false">
      <c r="A68" s="16" t="s">
        <v>568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customFormat="false" ht="15" hidden="false" customHeight="false" outlineLevel="0" collapsed="false">
      <c r="A69" s="18" t="s">
        <v>427</v>
      </c>
      <c r="B69" s="19" t="s">
        <v>279</v>
      </c>
      <c r="C69" s="19" t="s">
        <v>569</v>
      </c>
      <c r="D69" s="19" t="s">
        <v>570</v>
      </c>
      <c r="E69" s="19"/>
      <c r="F69" s="19"/>
      <c r="G69" s="19"/>
      <c r="H69" s="19" t="s">
        <v>100</v>
      </c>
      <c r="I69" s="19" t="s">
        <v>571</v>
      </c>
      <c r="J69" s="19" t="s">
        <v>330</v>
      </c>
      <c r="K69" s="19" t="s">
        <v>434</v>
      </c>
    </row>
    <row r="70" customFormat="false" ht="15" hidden="false" customHeight="false" outlineLevel="0" collapsed="false">
      <c r="A70" s="8" t="s">
        <v>436</v>
      </c>
      <c r="B70" s="8" t="s">
        <v>318</v>
      </c>
      <c r="C70" s="28" t="n">
        <v>1075.5</v>
      </c>
      <c r="D70" s="28" t="n">
        <v>1484.7</v>
      </c>
      <c r="H70" s="8" t="s">
        <v>437</v>
      </c>
      <c r="I70" s="8" t="s">
        <v>572</v>
      </c>
      <c r="J70" s="8" t="s">
        <v>573</v>
      </c>
      <c r="K70" s="44" t="s">
        <v>439</v>
      </c>
    </row>
    <row r="71" customFormat="false" ht="15" hidden="false" customHeight="false" outlineLevel="0" collapsed="false">
      <c r="A71" s="8" t="s">
        <v>476</v>
      </c>
      <c r="B71" s="8" t="s">
        <v>318</v>
      </c>
      <c r="C71" s="28" t="n">
        <v>532.6</v>
      </c>
      <c r="D71" s="28" t="n">
        <v>739.1</v>
      </c>
      <c r="H71" s="8" t="s">
        <v>437</v>
      </c>
      <c r="I71" s="8" t="s">
        <v>572</v>
      </c>
      <c r="J71" s="8"/>
      <c r="K71" s="44" t="s">
        <v>478</v>
      </c>
    </row>
    <row r="72" customFormat="false" ht="15" hidden="false" customHeight="false" outlineLevel="0" collapsed="false">
      <c r="A72" s="8" t="s">
        <v>479</v>
      </c>
      <c r="B72" s="8" t="s">
        <v>318</v>
      </c>
      <c r="C72" s="28" t="n">
        <v>316.2</v>
      </c>
      <c r="D72" s="28" t="n">
        <v>410.9</v>
      </c>
      <c r="H72" s="8" t="s">
        <v>437</v>
      </c>
      <c r="I72" s="8" t="s">
        <v>572</v>
      </c>
      <c r="J72" s="8"/>
      <c r="K72" s="44" t="s">
        <v>480</v>
      </c>
    </row>
    <row r="73" customFormat="false" ht="15" hidden="false" customHeight="false" outlineLevel="0" collapsed="false">
      <c r="A73" s="8" t="s">
        <v>481</v>
      </c>
      <c r="B73" s="8" t="s">
        <v>318</v>
      </c>
      <c r="C73" s="28" t="n">
        <v>226.7</v>
      </c>
      <c r="D73" s="28" t="n">
        <v>334.7</v>
      </c>
      <c r="H73" s="8" t="s">
        <v>437</v>
      </c>
      <c r="I73" s="8" t="s">
        <v>572</v>
      </c>
      <c r="J73" s="8"/>
      <c r="K73" s="44" t="s">
        <v>483</v>
      </c>
    </row>
    <row r="75" customFormat="false" ht="15" hidden="false" customHeight="false" outlineLevel="0" collapsed="false">
      <c r="A75" s="16" t="s">
        <v>574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customFormat="false" ht="15" hidden="false" customHeight="false" outlineLevel="0" collapsed="false">
      <c r="A76" s="8" t="s">
        <v>575</v>
      </c>
      <c r="B76" s="8" t="s">
        <v>285</v>
      </c>
      <c r="G76" s="49" t="n">
        <v>0.35</v>
      </c>
      <c r="H76" s="8" t="s">
        <v>437</v>
      </c>
      <c r="I76" s="8" t="s">
        <v>576</v>
      </c>
      <c r="J76" s="8" t="s">
        <v>577</v>
      </c>
      <c r="K76" s="44" t="s">
        <v>578</v>
      </c>
    </row>
    <row r="77" customFormat="false" ht="15" hidden="false" customHeight="false" outlineLevel="0" collapsed="false">
      <c r="A77" s="8" t="s">
        <v>579</v>
      </c>
      <c r="B77" s="8" t="s">
        <v>285</v>
      </c>
      <c r="G77" s="49" t="n">
        <v>0.65</v>
      </c>
      <c r="H77" s="8" t="s">
        <v>437</v>
      </c>
      <c r="I77" s="8" t="s">
        <v>576</v>
      </c>
      <c r="J77" s="8" t="s">
        <v>577</v>
      </c>
      <c r="K77" s="44" t="s">
        <v>580</v>
      </c>
    </row>
    <row r="78" customFormat="false" ht="15" hidden="false" customHeight="false" outlineLevel="0" collapsed="false">
      <c r="A78" s="8" t="s">
        <v>581</v>
      </c>
      <c r="B78" s="8" t="s">
        <v>285</v>
      </c>
      <c r="G78" s="49" t="n">
        <v>0.67</v>
      </c>
      <c r="H78" s="8" t="s">
        <v>437</v>
      </c>
      <c r="I78" s="8" t="s">
        <v>576</v>
      </c>
      <c r="J78" s="8" t="s">
        <v>577</v>
      </c>
      <c r="K78" s="44" t="s">
        <v>582</v>
      </c>
    </row>
    <row r="79" customFormat="false" ht="15" hidden="false" customHeight="false" outlineLevel="0" collapsed="false">
      <c r="A79" s="8" t="s">
        <v>583</v>
      </c>
      <c r="B79" s="8" t="s">
        <v>285</v>
      </c>
      <c r="G79" s="49" t="n">
        <v>0.69</v>
      </c>
      <c r="H79" s="8" t="s">
        <v>437</v>
      </c>
      <c r="I79" s="8" t="s">
        <v>576</v>
      </c>
      <c r="J79" s="8" t="s">
        <v>577</v>
      </c>
      <c r="K79" s="44" t="s">
        <v>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9"/>
    <col collapsed="false" customWidth="true" hidden="false" outlineLevel="0" max="7" min="3" style="0" width="11"/>
    <col collapsed="false" customWidth="true" hidden="false" outlineLevel="0" max="8" min="8" style="0" width="18"/>
    <col collapsed="false" customWidth="true" hidden="false" outlineLevel="0" max="9" min="9" style="0" width="70"/>
  </cols>
  <sheetData>
    <row r="1" customFormat="false" ht="19.7" hidden="false" customHeight="false" outlineLevel="0" collapsed="false">
      <c r="A1" s="14" t="s">
        <v>585</v>
      </c>
    </row>
    <row r="2" customFormat="false" ht="15" hidden="false" customHeight="false" outlineLevel="0" collapsed="false">
      <c r="A2" s="4" t="s">
        <v>586</v>
      </c>
    </row>
    <row r="3" customFormat="false" ht="15" hidden="false" customHeight="false" outlineLevel="0" collapsed="false">
      <c r="A3" s="15" t="s">
        <v>426</v>
      </c>
    </row>
    <row r="5" customFormat="false" ht="15" hidden="false" customHeight="false" outlineLevel="0" collapsed="false">
      <c r="A5" s="18" t="s">
        <v>587</v>
      </c>
      <c r="B5" s="19" t="s">
        <v>279</v>
      </c>
      <c r="C5" s="19" t="s">
        <v>428</v>
      </c>
      <c r="D5" s="19" t="s">
        <v>429</v>
      </c>
      <c r="E5" s="19" t="s">
        <v>430</v>
      </c>
      <c r="F5" s="19" t="s">
        <v>431</v>
      </c>
      <c r="G5" s="19" t="s">
        <v>432</v>
      </c>
      <c r="H5" s="19" t="s">
        <v>100</v>
      </c>
      <c r="I5" s="19" t="s">
        <v>588</v>
      </c>
    </row>
    <row r="6" customFormat="false" ht="15" hidden="false" customHeight="false" outlineLevel="0" collapsed="false">
      <c r="A6" s="16" t="s">
        <v>589</v>
      </c>
      <c r="B6" s="17"/>
      <c r="C6" s="17"/>
      <c r="D6" s="17"/>
      <c r="E6" s="17"/>
      <c r="F6" s="17"/>
      <c r="G6" s="17"/>
      <c r="H6" s="17"/>
      <c r="I6" s="17"/>
    </row>
    <row r="7" customFormat="false" ht="15" hidden="false" customHeight="false" outlineLevel="0" collapsed="false">
      <c r="A7" s="8" t="s">
        <v>436</v>
      </c>
      <c r="B7" s="8" t="s">
        <v>318</v>
      </c>
      <c r="C7" s="40" t="n">
        <f aca="false">Hist_Data!$C$7</f>
        <v>6820.9</v>
      </c>
      <c r="D7" s="40" t="n">
        <f aca="false">Hist_Data!$D$7</f>
        <v>8438.7</v>
      </c>
      <c r="E7" s="40" t="n">
        <f aca="false">Hist_Data!$E$7</f>
        <v>7634.4</v>
      </c>
      <c r="F7" s="40" t="n">
        <f aca="false">Hist_Data!$F$7</f>
        <v>4401.6</v>
      </c>
      <c r="G7" s="40" t="n">
        <f aca="false">Hist_Data!$G$7</f>
        <v>4713.1</v>
      </c>
      <c r="H7" s="8" t="s">
        <v>146</v>
      </c>
      <c r="I7" s="8" t="s">
        <v>590</v>
      </c>
    </row>
    <row r="8" customFormat="false" ht="15" hidden="false" customHeight="false" outlineLevel="0" collapsed="false">
      <c r="A8" s="8" t="s">
        <v>591</v>
      </c>
      <c r="B8" s="8" t="s">
        <v>285</v>
      </c>
      <c r="C8" s="50" t="s">
        <v>592</v>
      </c>
      <c r="D8" s="36" t="n">
        <f aca="false">IFERROR(Hist_Data!$D$7/Hist_Data!$C$7-1,"")</f>
        <v>0.237182776466449</v>
      </c>
      <c r="E8" s="36" t="n">
        <f aca="false">IFERROR(Hist_Data!$E$7/Hist_Data!$D$7-1,"")</f>
        <v>-0.0953108891179922</v>
      </c>
      <c r="F8" s="36" t="n">
        <f aca="false">IFERROR(Hist_Data!$F$7/Hist_Data!$E$7-1,"")</f>
        <v>-0.42345174473436</v>
      </c>
      <c r="G8" s="36" t="n">
        <f aca="false">IFERROR(Hist_Data!$G$7/Hist_Data!$F$7-1,"")</f>
        <v>0.0707697201017812</v>
      </c>
      <c r="H8" s="8" t="s">
        <v>146</v>
      </c>
      <c r="I8" s="8" t="s">
        <v>593</v>
      </c>
    </row>
    <row r="9" customFormat="false" ht="15" hidden="false" customHeight="false" outlineLevel="0" collapsed="false">
      <c r="A9" s="8" t="s">
        <v>369</v>
      </c>
      <c r="B9" s="8" t="s">
        <v>285</v>
      </c>
      <c r="C9" s="36" t="n">
        <f aca="false">IFERROR(Hist_Data!$C$9/Hist_Data!$C$7,"")</f>
        <v>0.652347930624991</v>
      </c>
      <c r="D9" s="36" t="n">
        <f aca="false">IFERROR(Hist_Data!$D$9/Hist_Data!$D$7,"")</f>
        <v>0.675210636709446</v>
      </c>
      <c r="E9" s="36" t="n">
        <f aca="false">IFERROR(Hist_Data!$E$9/Hist_Data!$E$7,"")</f>
        <v>0.654367075343184</v>
      </c>
      <c r="F9" s="36" t="n">
        <f aca="false">IFERROR(Hist_Data!$F$9/Hist_Data!$F$7,"")</f>
        <v>0.56068247909851</v>
      </c>
      <c r="G9" s="36" t="n">
        <f aca="false">IFERROR(Hist_Data!$G$9/Hist_Data!$G$7,"")</f>
        <v>0.577348242133628</v>
      </c>
      <c r="H9" s="8" t="s">
        <v>146</v>
      </c>
      <c r="I9" s="8" t="s">
        <v>594</v>
      </c>
    </row>
    <row r="10" customFormat="false" ht="15" hidden="false" customHeight="false" outlineLevel="0" collapsed="false">
      <c r="A10" s="8" t="s">
        <v>595</v>
      </c>
      <c r="B10" s="8" t="s">
        <v>285</v>
      </c>
      <c r="C10" s="36" t="n">
        <f aca="false">IFERROR(Hist_Data!$C$10/Hist_Data!$C$7,"")</f>
        <v>0.145010189271211</v>
      </c>
      <c r="D10" s="36" t="n">
        <f aca="false">IFERROR(Hist_Data!$D$10/Hist_Data!$D$7,"")</f>
        <v>0.132520411911787</v>
      </c>
      <c r="E10" s="36" t="n">
        <f aca="false">IFERROR(Hist_Data!$E$10/Hist_Data!$E$7,"")</f>
        <v>0.143744105627161</v>
      </c>
      <c r="F10" s="36" t="n">
        <f aca="false">IFERROR(Hist_Data!$F$10/Hist_Data!$F$7,"")</f>
        <v>0.223509632860778</v>
      </c>
      <c r="G10" s="36" t="n">
        <f aca="false">IFERROR(Hist_Data!$G$10/Hist_Data!$G$7,"")</f>
        <v>0.230400373427256</v>
      </c>
      <c r="H10" s="8" t="s">
        <v>146</v>
      </c>
      <c r="I10" s="8" t="s">
        <v>596</v>
      </c>
    </row>
    <row r="11" customFormat="false" ht="15" hidden="false" customHeight="false" outlineLevel="0" collapsed="false">
      <c r="A11" s="8" t="s">
        <v>597</v>
      </c>
      <c r="B11" s="8" t="s">
        <v>285</v>
      </c>
      <c r="C11" s="36" t="n">
        <f aca="false">IFERROR(Hist_Data!$C$11/Hist_Data!$C$7,"")</f>
        <v>0.105396648536117</v>
      </c>
      <c r="D11" s="36" t="n">
        <f aca="false">IFERROR(Hist_Data!$D$11/Hist_Data!$D$7,"")</f>
        <v>0.0945287781293327</v>
      </c>
      <c r="E11" s="36" t="n">
        <f aca="false">IFERROR(Hist_Data!$E$11/Hist_Data!$E$7,"")</f>
        <v>0.0961699675154564</v>
      </c>
      <c r="F11" s="36" t="n">
        <f aca="false">IFERROR(Hist_Data!$F$11/Hist_Data!$F$7,"")</f>
        <v>0.140335332606325</v>
      </c>
      <c r="G11" s="36" t="n">
        <f aca="false">IFERROR(Hist_Data!$G$11/Hist_Data!$G$7,"")</f>
        <v>0.143069317434385</v>
      </c>
      <c r="H11" s="8" t="s">
        <v>146</v>
      </c>
      <c r="I11" s="8" t="s">
        <v>598</v>
      </c>
    </row>
    <row r="12" customFormat="false" ht="15" hidden="false" customHeight="false" outlineLevel="0" collapsed="false">
      <c r="A12" s="8" t="s">
        <v>599</v>
      </c>
      <c r="B12" s="8" t="s">
        <v>285</v>
      </c>
      <c r="C12" s="36" t="n">
        <f aca="false">IFERROR(Hist_Data!$C$15/Hist_Data!$C$7,"")</f>
        <v>0.271166561597443</v>
      </c>
      <c r="D12" s="36" t="n">
        <f aca="false">IFERROR(Hist_Data!$D$15/Hist_Data!$D$7,"")</f>
        <v>0.369251187979191</v>
      </c>
      <c r="E12" s="36" t="n">
        <f aca="false">IFERROR(Hist_Data!$E$15/Hist_Data!$E$7,"")</f>
        <v>0.336765168186105</v>
      </c>
      <c r="F12" s="36" t="n">
        <f aca="false">IFERROR(Hist_Data!$F$15/Hist_Data!$F$7,"")</f>
        <v>0.0673164303889495</v>
      </c>
      <c r="G12" s="36" t="n">
        <f aca="false">IFERROR(Hist_Data!$G$15/Hist_Data!$G$7,"")</f>
        <v>0.10398676030638</v>
      </c>
      <c r="H12" s="8" t="s">
        <v>146</v>
      </c>
      <c r="I12" s="8" t="s">
        <v>600</v>
      </c>
    </row>
    <row r="13" customFormat="false" ht="15" hidden="false" customHeight="false" outlineLevel="0" collapsed="false">
      <c r="A13" s="8" t="s">
        <v>601</v>
      </c>
      <c r="B13" s="8" t="s">
        <v>318</v>
      </c>
      <c r="C13" s="31" t="n">
        <f aca="false">(N(Hist_Data!$C$12)+N(Hist_Data!$C$13))</f>
        <v>892</v>
      </c>
      <c r="D13" s="31" t="n">
        <f aca="false">(N(Hist_Data!$D$12)+N(Hist_Data!$D$13))</f>
        <v>665.9</v>
      </c>
      <c r="E13" s="31" t="n">
        <f aca="false">(N(Hist_Data!$E$12)+N(Hist_Data!$E$13))</f>
        <v>593.1</v>
      </c>
      <c r="F13" s="31" t="n">
        <f aca="false">(N(Hist_Data!$F$12)+N(Hist_Data!$F$13))</f>
        <v>570.1</v>
      </c>
      <c r="G13" s="31" t="n">
        <f aca="false">(N(Hist_Data!$G$12)+N(Hist_Data!$G$13))</f>
        <v>470.8</v>
      </c>
      <c r="H13" s="8" t="s">
        <v>146</v>
      </c>
      <c r="I13" s="8" t="s">
        <v>602</v>
      </c>
    </row>
    <row r="14" customFormat="false" ht="15" hidden="false" customHeight="false" outlineLevel="0" collapsed="false">
      <c r="A14" s="8" t="s">
        <v>603</v>
      </c>
      <c r="B14" s="8" t="s">
        <v>318</v>
      </c>
      <c r="C14" s="31" t="n">
        <f aca="false">Hist_Data!$C$15+$C$13</f>
        <v>2741.6</v>
      </c>
      <c r="D14" s="31" t="n">
        <f aca="false">Hist_Data!$D$15+$D$13</f>
        <v>3781.9</v>
      </c>
      <c r="E14" s="31" t="n">
        <f aca="false">Hist_Data!$E$15+$E$13</f>
        <v>3164.1</v>
      </c>
      <c r="F14" s="31" t="n">
        <f aca="false">Hist_Data!$F$15+$F$13</f>
        <v>866.4</v>
      </c>
      <c r="G14" s="31" t="n">
        <f aca="false">Hist_Data!$G$15+$G$13</f>
        <v>960.9</v>
      </c>
      <c r="H14" s="8" t="s">
        <v>146</v>
      </c>
      <c r="I14" s="8" t="s">
        <v>604</v>
      </c>
    </row>
    <row r="15" customFormat="false" ht="15" hidden="false" customHeight="false" outlineLevel="0" collapsed="false">
      <c r="A15" s="8" t="s">
        <v>605</v>
      </c>
      <c r="B15" s="8" t="s">
        <v>285</v>
      </c>
      <c r="C15" s="36" t="n">
        <f aca="false">IFERROR($C$14/Hist_Data!$C$7,"")</f>
        <v>0.401941092817663</v>
      </c>
      <c r="D15" s="36" t="n">
        <f aca="false">IFERROR($D$14/Hist_Data!$D$7,"")</f>
        <v>0.448161446668326</v>
      </c>
      <c r="E15" s="36" t="n">
        <f aca="false">IFERROR($E$14/Hist_Data!$E$7,"")</f>
        <v>0.414453002200566</v>
      </c>
      <c r="F15" s="36" t="n">
        <f aca="false">IFERROR($F$14/Hist_Data!$F$7,"")</f>
        <v>0.196837513631407</v>
      </c>
      <c r="G15" s="36" t="n">
        <f aca="false">IFERROR($G$14/Hist_Data!$G$7,"")</f>
        <v>0.203878551271987</v>
      </c>
      <c r="H15" s="8" t="s">
        <v>146</v>
      </c>
      <c r="I15" s="8" t="s">
        <v>606</v>
      </c>
    </row>
    <row r="16" customFormat="false" ht="15" hidden="false" customHeight="false" outlineLevel="0" collapsed="false">
      <c r="A16" s="8" t="s">
        <v>607</v>
      </c>
      <c r="B16" s="8" t="s">
        <v>285</v>
      </c>
      <c r="C16" s="36" t="n">
        <f aca="false">IFERROR(Hist_Data!$C$22/Hist_Data!$C$7,"")</f>
        <v>0.188464865340351</v>
      </c>
      <c r="D16" s="36" t="n">
        <f aca="false">IFERROR(Hist_Data!$D$22/Hist_Data!$D$7,"")</f>
        <v>0.265171175655018</v>
      </c>
      <c r="E16" s="36" t="n">
        <f aca="false">IFERROR(Hist_Data!$E$22/Hist_Data!$E$7,"")</f>
        <v>0.249777323692759</v>
      </c>
      <c r="F16" s="36" t="n">
        <f aca="false">IFERROR(Hist_Data!$F$22/Hist_Data!$F$7,"")</f>
        <v>-0.000113595056343148</v>
      </c>
      <c r="G16" s="36" t="n">
        <f aca="false">IFERROR(Hist_Data!$G$22/Hist_Data!$G$7,"")</f>
        <v>0.0488001527656956</v>
      </c>
      <c r="H16" s="8" t="s">
        <v>146</v>
      </c>
      <c r="I16" s="8" t="s">
        <v>608</v>
      </c>
    </row>
    <row r="17" customFormat="false" ht="15" hidden="false" customHeight="false" outlineLevel="0" collapsed="false">
      <c r="A17" s="8" t="s">
        <v>609</v>
      </c>
      <c r="B17" s="8" t="s">
        <v>285</v>
      </c>
      <c r="C17" s="36" t="n">
        <f aca="false">IF(ABS(Hist_Data!$C$20)&lt;0.02*Hist_Data!$C$7,"n.m.",IFERROR(Hist_Data!$C$21/Hist_Data!$C$20,""))</f>
        <v>0.132883642495784</v>
      </c>
      <c r="D17" s="36" t="n">
        <f aca="false">IF(ABS(Hist_Data!$D$20)&lt;0.02*Hist_Data!$D$7,"n.m.",IFERROR(Hist_Data!$D$21/Hist_Data!$D$20,""))</f>
        <v>0.230951644499433</v>
      </c>
      <c r="E17" s="36" t="n">
        <f aca="false">IF(ABS(Hist_Data!$E$20)&lt;0.02*Hist_Data!$E$7,"n.m.",IFERROR(Hist_Data!$E$21/Hist_Data!$E$20,""))</f>
        <v>0.194006509150852</v>
      </c>
      <c r="F17" s="36" t="str">
        <f aca="false">IF(ABS(Hist_Data!$F$20)&lt;0.02*Hist_Data!$F$7,"n.m.",IFERROR(Hist_Data!$F$21/Hist_Data!$F$20,""))</f>
        <v>n.m.</v>
      </c>
      <c r="G17" s="36" t="n">
        <f aca="false">IF(ABS(Hist_Data!$G$20)&lt;0.02*Hist_Data!$G$7,"n.m.",IFERROR(Hist_Data!$G$21/Hist_Data!$G$20,""))</f>
        <v>0.159049360146252</v>
      </c>
      <c r="H17" s="8" t="s">
        <v>146</v>
      </c>
      <c r="I17" s="8" t="s">
        <v>610</v>
      </c>
    </row>
    <row r="18" customFormat="false" ht="15" hidden="false" customHeight="false" outlineLevel="0" collapsed="false">
      <c r="A18" s="8" t="s">
        <v>611</v>
      </c>
      <c r="B18" s="8" t="s">
        <v>285</v>
      </c>
      <c r="C18" s="50" t="s">
        <v>592</v>
      </c>
      <c r="D18" s="36" t="n">
        <f aca="false">IFERROR((Hist_Data!$D$9-Hist_Data!$C$9)/(Hist_Data!$D$7-Hist_Data!$C$7),"")</f>
        <v>0.771603412041042</v>
      </c>
      <c r="E18" s="36" t="n">
        <f aca="false">IFERROR((Hist_Data!$E$9-Hist_Data!$D$9)/(Hist_Data!$E$7-Hist_Data!$D$7),"")</f>
        <v>0.873057316921545</v>
      </c>
      <c r="F18" s="36" t="n">
        <f aca="false">IFERROR((Hist_Data!$F$9-Hist_Data!$E$9)/(Hist_Data!$F$7-Hist_Data!$E$7),"")</f>
        <v>0.78192279138827</v>
      </c>
      <c r="G18" s="36" t="n">
        <f aca="false">IFERROR((Hist_Data!$G$9-Hist_Data!$F$9)/(Hist_Data!$G$7-Hist_Data!$F$7),"")</f>
        <v>0.812841091492776</v>
      </c>
      <c r="H18" s="8" t="s">
        <v>146</v>
      </c>
      <c r="I18" s="8" t="s">
        <v>612</v>
      </c>
    </row>
    <row r="19" customFormat="false" ht="15" hidden="false" customHeight="false" outlineLevel="0" collapsed="false">
      <c r="A19" s="16" t="s">
        <v>613</v>
      </c>
      <c r="B19" s="17"/>
      <c r="C19" s="17"/>
      <c r="D19" s="17"/>
      <c r="E19" s="17"/>
      <c r="F19" s="17"/>
      <c r="G19" s="17"/>
      <c r="H19" s="17"/>
      <c r="I19" s="17"/>
    </row>
    <row r="20" customFormat="false" ht="15" hidden="false" customHeight="false" outlineLevel="0" collapsed="false">
      <c r="A20" s="8" t="s">
        <v>614</v>
      </c>
      <c r="B20" s="8" t="s">
        <v>285</v>
      </c>
      <c r="C20" s="36" t="n">
        <f aca="false">IFERROR(Hist_Data!$C$26/Hist_Data!$C$7,"")</f>
        <v>0.559281033294727</v>
      </c>
      <c r="D20" s="36" t="n">
        <f aca="false">IFERROR(Hist_Data!$D$26/Hist_Data!$D$7,"")</f>
        <v>0.56355836799507</v>
      </c>
      <c r="E20" s="36" t="n">
        <f aca="false">IFERROR(Hist_Data!$E$26/Hist_Data!$E$7,"")</f>
        <v>0.559624855915331</v>
      </c>
      <c r="F20" s="36" t="n">
        <f aca="false">IFERROR(Hist_Data!$F$26/Hist_Data!$F$7,"")</f>
        <v>0.51110959651036</v>
      </c>
      <c r="G20" s="36" t="n">
        <f aca="false">IFERROR(Hist_Data!$G$26/Hist_Data!$G$7,"")</f>
        <v>0.499755999236172</v>
      </c>
      <c r="H20" s="8" t="s">
        <v>146</v>
      </c>
      <c r="I20" s="8" t="s">
        <v>615</v>
      </c>
    </row>
    <row r="21" customFormat="false" ht="15" hidden="false" customHeight="false" outlineLevel="0" collapsed="false">
      <c r="A21" s="8" t="s">
        <v>616</v>
      </c>
      <c r="B21" s="8" t="s">
        <v>285</v>
      </c>
      <c r="C21" s="36" t="n">
        <f aca="false">IFERROR(Hist_Data!$C$27/Hist_Data!$C$7,"")</f>
        <v>0.284287997185122</v>
      </c>
      <c r="D21" s="36" t="n">
        <f aca="false">IFERROR(Hist_Data!$D$27/Hist_Data!$D$7,"")</f>
        <v>0.281666607415834</v>
      </c>
      <c r="E21" s="36" t="n">
        <f aca="false">IFERROR(Hist_Data!$E$27/Hist_Data!$E$7,"")</f>
        <v>0.264120297600335</v>
      </c>
      <c r="F21" s="36" t="n">
        <f aca="false">IFERROR(Hist_Data!$F$27/Hist_Data!$F$7,"")</f>
        <v>0.262858960378044</v>
      </c>
      <c r="G21" s="36" t="n">
        <f aca="false">IFERROR(Hist_Data!$G$27/Hist_Data!$G$7,"")</f>
        <v>0.281980013154824</v>
      </c>
      <c r="H21" s="8" t="s">
        <v>146</v>
      </c>
      <c r="I21" s="8" t="s">
        <v>617</v>
      </c>
    </row>
    <row r="22" customFormat="false" ht="15" hidden="false" customHeight="false" outlineLevel="0" collapsed="false">
      <c r="A22" s="8" t="s">
        <v>618</v>
      </c>
      <c r="B22" s="8" t="s">
        <v>285</v>
      </c>
      <c r="C22" s="36" t="n">
        <f aca="false">IFERROR(Hist_Data!$C$28/Hist_Data!$C$7,"")</f>
        <v>0.156430969520151</v>
      </c>
      <c r="D22" s="36" t="n">
        <f aca="false">IFERROR(Hist_Data!$D$28/Hist_Data!$D$7,"")</f>
        <v>0.154775024589095</v>
      </c>
      <c r="E22" s="36" t="n">
        <f aca="false">IFERROR(Hist_Data!$E$28/Hist_Data!$E$7,"")</f>
        <v>0.176254846484334</v>
      </c>
      <c r="F22" s="36" t="n">
        <f aca="false">IFERROR(Hist_Data!$F$28/Hist_Data!$F$7,"")</f>
        <v>0.226031443111596</v>
      </c>
      <c r="G22" s="36" t="n">
        <f aca="false">IFERROR(Hist_Data!$G$28/Hist_Data!$G$7,"")</f>
        <v>0.218263987609005</v>
      </c>
      <c r="H22" s="8" t="s">
        <v>146</v>
      </c>
      <c r="I22" s="8" t="s">
        <v>619</v>
      </c>
    </row>
    <row r="23" customFormat="false" ht="15" hidden="false" customHeight="false" outlineLevel="0" collapsed="false">
      <c r="A23" s="7" t="s">
        <v>620</v>
      </c>
      <c r="B23" s="8" t="s">
        <v>285</v>
      </c>
      <c r="C23" s="36" t="n">
        <f aca="false">$C$20+$C$21+$C$22</f>
        <v>1</v>
      </c>
      <c r="D23" s="36" t="n">
        <f aca="false">$D$20+$D$21+$D$22</f>
        <v>1</v>
      </c>
      <c r="E23" s="36" t="n">
        <f aca="false">$E$20+$E$21+$E$22</f>
        <v>1</v>
      </c>
      <c r="F23" s="36" t="n">
        <f aca="false">$F$20+$F$21+$F$22</f>
        <v>1</v>
      </c>
      <c r="G23" s="36" t="n">
        <f aca="false">$G$20+$G$21+$G$22</f>
        <v>1</v>
      </c>
      <c r="H23" s="8" t="s">
        <v>146</v>
      </c>
      <c r="I23" s="8" t="s">
        <v>621</v>
      </c>
    </row>
    <row r="24" customFormat="false" ht="15" hidden="false" customHeight="false" outlineLevel="0" collapsed="false">
      <c r="A24" s="8" t="s">
        <v>622</v>
      </c>
      <c r="B24" s="8" t="s">
        <v>285</v>
      </c>
      <c r="C24" s="50" t="s">
        <v>592</v>
      </c>
      <c r="D24" s="36" t="n">
        <f aca="false">IFERROR(Hist_Data!$D$26/Hist_Data!$C$26-1,"")</f>
        <v>0.246644647163678</v>
      </c>
      <c r="E24" s="36" t="n">
        <f aca="false">IFERROR(Hist_Data!$E$26/Hist_Data!$D$26-1,"")</f>
        <v>-0.101625417919549</v>
      </c>
      <c r="F24" s="36" t="n">
        <f aca="false">IFERROR(Hist_Data!$F$26/Hist_Data!$E$26-1,"")</f>
        <v>-0.473434135380582</v>
      </c>
      <c r="G24" s="36" t="n">
        <f aca="false">IFERROR(Hist_Data!$G$26/Hist_Data!$F$26-1,"")</f>
        <v>0.0469840423167536</v>
      </c>
      <c r="H24" s="8" t="s">
        <v>146</v>
      </c>
      <c r="I24" s="8" t="s">
        <v>623</v>
      </c>
    </row>
    <row r="25" customFormat="false" ht="15" hidden="false" customHeight="false" outlineLevel="0" collapsed="false">
      <c r="A25" s="8" t="s">
        <v>624</v>
      </c>
      <c r="B25" s="8" t="s">
        <v>285</v>
      </c>
      <c r="C25" s="50" t="s">
        <v>592</v>
      </c>
      <c r="D25" s="36" t="n">
        <f aca="false">IFERROR(Hist_Data!$D$27/Hist_Data!$C$27-1,"")</f>
        <v>0.225774843999794</v>
      </c>
      <c r="E25" s="36" t="n">
        <f aca="false">IFERROR(Hist_Data!$E$27/Hist_Data!$D$27-1,"")</f>
        <v>-0.151668139172872</v>
      </c>
      <c r="F25" s="36" t="n">
        <f aca="false">IFERROR(Hist_Data!$F$27/Hist_Data!$E$27-1,"")</f>
        <v>-0.426205118032136</v>
      </c>
      <c r="G25" s="36" t="n">
        <f aca="false">IFERROR(Hist_Data!$G$27/Hist_Data!$F$27-1,"")</f>
        <v>0.148660328435609</v>
      </c>
      <c r="H25" s="8" t="s">
        <v>146</v>
      </c>
      <c r="I25" s="8" t="s">
        <v>625</v>
      </c>
    </row>
    <row r="26" customFormat="false" ht="15" hidden="false" customHeight="false" outlineLevel="0" collapsed="false">
      <c r="A26" s="8" t="s">
        <v>626</v>
      </c>
      <c r="B26" s="8" t="s">
        <v>285</v>
      </c>
      <c r="C26" s="50" t="s">
        <v>592</v>
      </c>
      <c r="D26" s="36" t="n">
        <f aca="false">IFERROR(Hist_Data!$D$28/Hist_Data!$C$28-1,"")</f>
        <v>0.224086223055295</v>
      </c>
      <c r="E26" s="36" t="n">
        <f aca="false">IFERROR(Hist_Data!$E$28/Hist_Data!$D$28-1,"")</f>
        <v>0.0302427072965317</v>
      </c>
      <c r="F26" s="36" t="n">
        <f aca="false">IFERROR(Hist_Data!$F$28/Hist_Data!$E$28-1,"")</f>
        <v>-0.260627229488704</v>
      </c>
      <c r="G26" s="36" t="n">
        <f aca="false">IFERROR(Hist_Data!$G$28/Hist_Data!$F$28-1,"")</f>
        <v>0.0339732636445875</v>
      </c>
      <c r="H26" s="8" t="s">
        <v>146</v>
      </c>
      <c r="I26" s="8" t="s">
        <v>627</v>
      </c>
    </row>
    <row r="27" customFormat="false" ht="15" hidden="false" customHeight="false" outlineLevel="0" collapsed="false">
      <c r="A27" s="16" t="s">
        <v>628</v>
      </c>
      <c r="B27" s="17"/>
      <c r="C27" s="17"/>
      <c r="D27" s="17"/>
      <c r="E27" s="17"/>
      <c r="F27" s="17"/>
      <c r="G27" s="17"/>
      <c r="H27" s="17"/>
      <c r="I27" s="17"/>
    </row>
    <row r="28" customFormat="false" ht="15" hidden="false" customHeight="false" outlineLevel="0" collapsed="false">
      <c r="A28" s="8" t="s">
        <v>421</v>
      </c>
      <c r="B28" s="8" t="s">
        <v>318</v>
      </c>
      <c r="C28" s="40" t="n">
        <f aca="false">Hist_Data!$C$22</f>
        <v>1285.5</v>
      </c>
      <c r="D28" s="40" t="n">
        <f aca="false">Hist_Data!$D$22</f>
        <v>2237.7</v>
      </c>
      <c r="E28" s="40" t="n">
        <f aca="false">Hist_Data!$E$22</f>
        <v>1906.9</v>
      </c>
      <c r="F28" s="40" t="n">
        <f aca="false">Hist_Data!$F$22</f>
        <v>-0.5</v>
      </c>
      <c r="G28" s="40" t="n">
        <f aca="false">Hist_Data!$G$22</f>
        <v>230</v>
      </c>
      <c r="H28" s="8" t="s">
        <v>146</v>
      </c>
      <c r="I28" s="8" t="s">
        <v>629</v>
      </c>
    </row>
    <row r="29" customFormat="false" ht="15" hidden="false" customHeight="false" outlineLevel="0" collapsed="false">
      <c r="A29" s="8" t="s">
        <v>497</v>
      </c>
      <c r="B29" s="8" t="s">
        <v>318</v>
      </c>
      <c r="C29" s="40" t="n">
        <f aca="false">Hist_Data!$C$35</f>
        <v>1143.5</v>
      </c>
      <c r="D29" s="40" t="n">
        <f aca="false">Hist_Data!$D$35</f>
        <v>998.4</v>
      </c>
      <c r="E29" s="40" t="n">
        <f aca="false">Hist_Data!$E$35</f>
        <v>879.5</v>
      </c>
      <c r="F29" s="40" t="n">
        <f aca="false">Hist_Data!$F$35</f>
        <v>750.1</v>
      </c>
      <c r="G29" s="40" t="n">
        <f aca="false">Hist_Data!$G$35</f>
        <v>689.3</v>
      </c>
      <c r="H29" s="8" t="s">
        <v>146</v>
      </c>
      <c r="I29" s="8" t="s">
        <v>630</v>
      </c>
    </row>
    <row r="30" customFormat="false" ht="15" hidden="false" customHeight="false" outlineLevel="0" collapsed="false">
      <c r="A30" s="8" t="s">
        <v>631</v>
      </c>
      <c r="B30" s="8" t="s">
        <v>318</v>
      </c>
      <c r="C30" s="31" t="n">
        <f aca="false">-Hist_Data!$C$43</f>
        <v>370.1</v>
      </c>
      <c r="D30" s="31" t="n">
        <f aca="false">-Hist_Data!$D$43</f>
        <v>486.2</v>
      </c>
      <c r="E30" s="31" t="n">
        <f aca="false">-Hist_Data!$E$43</f>
        <v>285.1</v>
      </c>
      <c r="F30" s="31" t="n">
        <f aca="false">-Hist_Data!$F$43</f>
        <v>126</v>
      </c>
      <c r="G30" s="31" t="n">
        <f aca="false">-Hist_Data!$G$43</f>
        <v>91.1</v>
      </c>
      <c r="H30" s="8" t="s">
        <v>146</v>
      </c>
      <c r="I30" s="8" t="s">
        <v>632</v>
      </c>
    </row>
    <row r="31" customFormat="false" ht="15" hidden="false" customHeight="false" outlineLevel="0" collapsed="false">
      <c r="A31" s="8" t="s">
        <v>633</v>
      </c>
      <c r="B31" s="8" t="s">
        <v>318</v>
      </c>
      <c r="C31" s="31" t="n">
        <f aca="false">-(N(Hist_Data!$C$37)+N(Hist_Data!$C$38)+N(Hist_Data!$C$39)+N(Hist_Data!$C$40)+N(Hist_Data!$C$41))</f>
        <v>-34.2</v>
      </c>
      <c r="D31" s="31" t="n">
        <f aca="false">-(N(Hist_Data!$D$37)+N(Hist_Data!$D$38)+N(Hist_Data!$D$39)+N(Hist_Data!$D$40)+N(Hist_Data!$D$41))</f>
        <v>16</v>
      </c>
      <c r="E31" s="31" t="n">
        <f aca="false">-(N(Hist_Data!$E$37)+N(Hist_Data!$E$38)+N(Hist_Data!$E$39)+N(Hist_Data!$E$40)+N(Hist_Data!$E$41))</f>
        <v>76.7</v>
      </c>
      <c r="F31" s="31" t="n">
        <f aca="false">-(N(Hist_Data!$F$37)+N(Hist_Data!$F$38)+N(Hist_Data!$F$39)+N(Hist_Data!$F$40)+N(Hist_Data!$F$41))</f>
        <v>-100.1</v>
      </c>
      <c r="G31" s="31" t="n">
        <f aca="false">-(N(Hist_Data!$G$37)+N(Hist_Data!$G$38)+N(Hist_Data!$G$39)+N(Hist_Data!$G$40)+N(Hist_Data!$G$41))</f>
        <v>167.7</v>
      </c>
      <c r="H31" s="8" t="s">
        <v>146</v>
      </c>
      <c r="I31" s="8" t="s">
        <v>634</v>
      </c>
    </row>
    <row r="32" customFormat="false" ht="15" hidden="false" customHeight="false" outlineLevel="0" collapsed="false">
      <c r="A32" s="7" t="s">
        <v>635</v>
      </c>
      <c r="B32" s="8" t="s">
        <v>318</v>
      </c>
      <c r="C32" s="31" t="n">
        <f aca="false">$C$28+$C$29-$C$30-$C$31</f>
        <v>2093.1</v>
      </c>
      <c r="D32" s="31" t="n">
        <f aca="false">$D$28+$D$29-$D$30-$D$31</f>
        <v>2733.9</v>
      </c>
      <c r="E32" s="31" t="n">
        <f aca="false">$E$28+$E$29-$E$30-$E$31</f>
        <v>2424.6</v>
      </c>
      <c r="F32" s="31" t="n">
        <f aca="false">$F$28+$F$29-$F$30-$F$31</f>
        <v>723.7</v>
      </c>
      <c r="G32" s="31" t="n">
        <f aca="false">$G$28+$G$29-$G$30-$G$31</f>
        <v>660.5</v>
      </c>
      <c r="H32" s="8" t="s">
        <v>146</v>
      </c>
      <c r="I32" s="8" t="s">
        <v>636</v>
      </c>
    </row>
    <row r="33" customFormat="false" ht="15" hidden="false" customHeight="false" outlineLevel="0" collapsed="false">
      <c r="A33" s="8" t="s">
        <v>637</v>
      </c>
      <c r="B33" s="8" t="s">
        <v>318</v>
      </c>
      <c r="C33" s="31" t="n">
        <f aca="false">Hist_Data!$C$42-$C$28-$C$29+$C$31</f>
        <v>379.5</v>
      </c>
      <c r="D33" s="31" t="n">
        <f aca="false">Hist_Data!$D$42-$D$28-$D$29+$D$31</f>
        <v>400.9</v>
      </c>
      <c r="E33" s="31" t="n">
        <f aca="false">Hist_Data!$E$42-$E$28-$E$29+$E$31</f>
        <v>183</v>
      </c>
      <c r="F33" s="31" t="n">
        <f aca="false">Hist_Data!$F$42-$F$28-$F$29+$F$31</f>
        <v>48.4</v>
      </c>
      <c r="G33" s="31" t="n">
        <f aca="false">Hist_Data!$G$42-$G$28-$G$29+$G$31</f>
        <v>210.5</v>
      </c>
      <c r="H33" s="8" t="s">
        <v>146</v>
      </c>
      <c r="I33" s="8" t="s">
        <v>638</v>
      </c>
    </row>
    <row r="34" customFormat="false" ht="15" hidden="false" customHeight="false" outlineLevel="0" collapsed="false">
      <c r="A34" s="8" t="s">
        <v>639</v>
      </c>
      <c r="B34" s="8" t="s">
        <v>318</v>
      </c>
      <c r="C34" s="31" t="n">
        <f aca="false">Hist_Data!$C$42-$C$30</f>
        <v>2472.6</v>
      </c>
      <c r="D34" s="31" t="n">
        <f aca="false">Hist_Data!$D$42-$D$30</f>
        <v>3134.8</v>
      </c>
      <c r="E34" s="31" t="n">
        <f aca="false">Hist_Data!$E$42-$E$30</f>
        <v>2607.6</v>
      </c>
      <c r="F34" s="31" t="n">
        <f aca="false">Hist_Data!$F$42-$F$30</f>
        <v>772.1</v>
      </c>
      <c r="G34" s="31" t="n">
        <f aca="false">Hist_Data!$G$42-$G$30</f>
        <v>871</v>
      </c>
      <c r="H34" s="8" t="s">
        <v>146</v>
      </c>
      <c r="I34" s="8" t="s">
        <v>640</v>
      </c>
    </row>
    <row r="35" customFormat="false" ht="15" hidden="false" customHeight="false" outlineLevel="0" collapsed="false">
      <c r="A35" s="8" t="s">
        <v>641</v>
      </c>
      <c r="B35" s="8" t="s">
        <v>285</v>
      </c>
      <c r="C35" s="36" t="n">
        <f aca="false">IFERROR($C$32/Hist_Data!$C$7,"")</f>
        <v>0.306865662889062</v>
      </c>
      <c r="D35" s="36" t="n">
        <f aca="false">IFERROR($D$32/Hist_Data!$D$7,"")</f>
        <v>0.32397170180241</v>
      </c>
      <c r="E35" s="36" t="n">
        <f aca="false">IFERROR($E$32/Hist_Data!$E$7,"")</f>
        <v>0.31758880855077</v>
      </c>
      <c r="F35" s="36" t="n">
        <f aca="false">IFERROR($F$32/Hist_Data!$F$7,"")</f>
        <v>0.164417484551072</v>
      </c>
      <c r="G35" s="36" t="n">
        <f aca="false">IFERROR($G$32/Hist_Data!$G$7,"")</f>
        <v>0.140141308268443</v>
      </c>
      <c r="H35" s="8" t="s">
        <v>146</v>
      </c>
      <c r="I35" s="8" t="s">
        <v>642</v>
      </c>
    </row>
    <row r="36" customFormat="false" ht="15" hidden="false" customHeight="false" outlineLevel="0" collapsed="false">
      <c r="A36" s="8" t="s">
        <v>643</v>
      </c>
      <c r="B36" s="8" t="s">
        <v>644</v>
      </c>
      <c r="C36" s="51" t="n">
        <f aca="false">IF(ABS($C$28)&lt;0.02*Hist_Data!$C$7,"n.m.",IFERROR($C$32/$C$28,""))</f>
        <v>1.62823803967328</v>
      </c>
      <c r="D36" s="51" t="n">
        <f aca="false">IF(ABS($D$28)&lt;0.02*Hist_Data!$D$7,"n.m.",IFERROR($D$32/$D$28,""))</f>
        <v>1.2217455422979</v>
      </c>
      <c r="E36" s="51" t="n">
        <f aca="false">IF(ABS($E$28)&lt;0.02*Hist_Data!$E$7,"n.m.",IFERROR($E$32/$E$28,""))</f>
        <v>1.27148775499502</v>
      </c>
      <c r="F36" s="51" t="str">
        <f aca="false">IF(ABS($F$28)&lt;0.02*Hist_Data!$F$7,"n.m.",IFERROR($F$32/$F$28,""))</f>
        <v>n.m.</v>
      </c>
      <c r="G36" s="51" t="n">
        <f aca="false">IF(ABS($G$28)&lt;0.02*Hist_Data!$G$7,"n.m.",IFERROR($G$32/$G$28,""))</f>
        <v>2.87173913043478</v>
      </c>
      <c r="H36" s="8" t="s">
        <v>146</v>
      </c>
      <c r="I36" s="8" t="s">
        <v>645</v>
      </c>
    </row>
    <row r="37" customFormat="false" ht="15" hidden="false" customHeight="false" outlineLevel="0" collapsed="false">
      <c r="A37" s="8" t="s">
        <v>646</v>
      </c>
      <c r="B37" s="8" t="s">
        <v>285</v>
      </c>
      <c r="C37" s="36" t="n">
        <f aca="false">IFERROR($C$30/Hist_Data!$C$7,"")</f>
        <v>0.0542597017988829</v>
      </c>
      <c r="D37" s="36" t="n">
        <f aca="false">IFERROR($D$30/Hist_Data!$D$7,"")</f>
        <v>0.0576155094979084</v>
      </c>
      <c r="E37" s="36" t="n">
        <f aca="false">IFERROR($E$30/Hist_Data!$E$7,"")</f>
        <v>0.0373441265849314</v>
      </c>
      <c r="F37" s="36" t="n">
        <f aca="false">IFERROR($F$30/Hist_Data!$F$7,"")</f>
        <v>0.0286259541984733</v>
      </c>
      <c r="G37" s="36" t="n">
        <f aca="false">IFERROR($G$30/Hist_Data!$G$7,"")</f>
        <v>0.0193291039867603</v>
      </c>
      <c r="H37" s="8" t="s">
        <v>146</v>
      </c>
      <c r="I37" s="8" t="s">
        <v>647</v>
      </c>
    </row>
    <row r="38" customFormat="false" ht="15" hidden="false" customHeight="false" outlineLevel="0" collapsed="false">
      <c r="A38" s="8" t="s">
        <v>648</v>
      </c>
      <c r="B38" s="8" t="s">
        <v>285</v>
      </c>
      <c r="C38" s="36" t="n">
        <f aca="false">IFERROR(Hist_Data!$C$35/Hist_Data!$C$7,"")</f>
        <v>0.167646498262693</v>
      </c>
      <c r="D38" s="36" t="n">
        <f aca="false">IFERROR(Hist_Data!$D$35/Hist_Data!$D$7,"")</f>
        <v>0.118312062284475</v>
      </c>
      <c r="E38" s="36" t="n">
        <f aca="false">IFERROR(Hist_Data!$E$35/Hist_Data!$E$7,"")</f>
        <v>0.1152022424814</v>
      </c>
      <c r="F38" s="36" t="n">
        <f aca="false">IFERROR(Hist_Data!$F$35/Hist_Data!$F$7,"")</f>
        <v>0.170415303525991</v>
      </c>
      <c r="G38" s="36" t="n">
        <f aca="false">IFERROR(Hist_Data!$G$35/Hist_Data!$G$7,"")</f>
        <v>0.146251936093017</v>
      </c>
      <c r="H38" s="8" t="s">
        <v>146</v>
      </c>
      <c r="I38" s="8" t="s">
        <v>649</v>
      </c>
    </row>
    <row r="39" customFormat="false" ht="15" hidden="false" customHeight="false" outlineLevel="0" collapsed="false">
      <c r="A39" s="8" t="s">
        <v>650</v>
      </c>
      <c r="B39" s="8" t="s">
        <v>285</v>
      </c>
      <c r="C39" s="36" t="n">
        <f aca="false">IFERROR(Hist_Data!$C$36/Hist_Data!$C$7,"")</f>
        <v>0.0308170476036887</v>
      </c>
      <c r="D39" s="36" t="n">
        <f aca="false">IFERROR(Hist_Data!$D$36/Hist_Data!$D$7,"")</f>
        <v>0.0201926837072061</v>
      </c>
      <c r="E39" s="36" t="n">
        <f aca="false">IFERROR(Hist_Data!$E$36/Hist_Data!$E$7,"")</f>
        <v>0.0232500261972126</v>
      </c>
      <c r="F39" s="36" t="n">
        <f aca="false">IFERROR(Hist_Data!$F$36/Hist_Data!$F$7,"")</f>
        <v>0.0409850963286078</v>
      </c>
      <c r="G39" s="36" t="n">
        <f aca="false">IFERROR(Hist_Data!$G$36/Hist_Data!$G$7,"")</f>
        <v>0.0541893870276463</v>
      </c>
      <c r="H39" s="8" t="s">
        <v>146</v>
      </c>
      <c r="I39" s="8" t="s">
        <v>651</v>
      </c>
    </row>
    <row r="40" customFormat="false" ht="15" hidden="false" customHeight="false" outlineLevel="0" collapsed="false">
      <c r="A40" s="8" t="s">
        <v>652</v>
      </c>
      <c r="B40" s="8" t="s">
        <v>644</v>
      </c>
      <c r="C40" s="51" t="n">
        <f aca="false">IFERROR($C$30/Hist_Data!$C$35,"")</f>
        <v>0.323655443812855</v>
      </c>
      <c r="D40" s="51" t="n">
        <f aca="false">IFERROR($D$30/Hist_Data!$D$35,"")</f>
        <v>0.486979166666667</v>
      </c>
      <c r="E40" s="51" t="n">
        <f aca="false">IFERROR($E$30/Hist_Data!$E$35,"")</f>
        <v>0.324161455372371</v>
      </c>
      <c r="F40" s="51" t="n">
        <f aca="false">IFERROR($F$30/Hist_Data!$F$35,"")</f>
        <v>0.167977602986269</v>
      </c>
      <c r="G40" s="51" t="n">
        <f aca="false">IFERROR($G$30/Hist_Data!$G$35,"")</f>
        <v>0.132163063977949</v>
      </c>
      <c r="H40" s="8" t="s">
        <v>146</v>
      </c>
      <c r="I40" s="8" t="s">
        <v>653</v>
      </c>
    </row>
    <row r="41" customFormat="false" ht="15" hidden="false" customHeight="false" outlineLevel="0" collapsed="false">
      <c r="A41" s="16" t="s">
        <v>654</v>
      </c>
      <c r="B41" s="17"/>
      <c r="C41" s="17"/>
      <c r="D41" s="17"/>
      <c r="E41" s="17"/>
      <c r="F41" s="17"/>
      <c r="G41" s="17"/>
      <c r="H41" s="17"/>
      <c r="I41" s="17"/>
    </row>
    <row r="42" customFormat="false" ht="15" hidden="false" customHeight="false" outlineLevel="0" collapsed="false">
      <c r="A42" s="8" t="s">
        <v>398</v>
      </c>
      <c r="B42" s="8" t="s">
        <v>399</v>
      </c>
      <c r="C42" s="52" t="n">
        <f aca="false">IFERROR(Hist_Data!$C$50/Hist_Data!$C$7*365,"")</f>
        <v>57.3969710741984</v>
      </c>
      <c r="D42" s="52" t="n">
        <f aca="false">IFERROR(Hist_Data!$D$50/Hist_Data!$D$7*365,"")</f>
        <v>56.4582814888549</v>
      </c>
      <c r="E42" s="52" t="n">
        <f aca="false">IFERROR(Hist_Data!$E$50/Hist_Data!$E$7*365,"")</f>
        <v>54.6801975269831</v>
      </c>
      <c r="F42" s="52" t="n">
        <f aca="false">IFERROR(Hist_Data!$F$50/Hist_Data!$F$7*365,"")</f>
        <v>57.1929525627045</v>
      </c>
      <c r="G42" s="52" t="n">
        <f aca="false">IFERROR(Hist_Data!$G$50/Hist_Data!$G$7*365,"")</f>
        <v>69.2888969043729</v>
      </c>
      <c r="H42" s="8" t="s">
        <v>146</v>
      </c>
      <c r="I42" s="8" t="s">
        <v>655</v>
      </c>
    </row>
    <row r="43" customFormat="false" ht="15" hidden="false" customHeight="false" outlineLevel="0" collapsed="false">
      <c r="A43" s="8" t="s">
        <v>656</v>
      </c>
      <c r="B43" s="8" t="s">
        <v>399</v>
      </c>
      <c r="C43" s="52" t="n">
        <f aca="false">IFERROR(Hist_Data!$C$51/Hist_Data!$C$8*365,"")</f>
        <v>131.512672373803</v>
      </c>
      <c r="D43" s="52" t="n">
        <f aca="false">IFERROR(Hist_Data!$D$51/Hist_Data!$D$8*365,"")</f>
        <v>176.440637769994</v>
      </c>
      <c r="E43" s="52" t="n">
        <f aca="false">IFERROR(Hist_Data!$E$51/Hist_Data!$E$8*365,"")</f>
        <v>182.036608936219</v>
      </c>
      <c r="F43" s="52" t="n">
        <f aca="false">IFERROR(Hist_Data!$F$51/Hist_Data!$F$8*365,"")</f>
        <v>244.157573563635</v>
      </c>
      <c r="G43" s="52" t="n">
        <f aca="false">IFERROR(Hist_Data!$G$51/Hist_Data!$G$8*365,"")</f>
        <v>189.71937751004</v>
      </c>
      <c r="H43" s="8" t="s">
        <v>146</v>
      </c>
      <c r="I43" s="8" t="s">
        <v>657</v>
      </c>
    </row>
    <row r="44" customFormat="false" ht="15" hidden="false" customHeight="false" outlineLevel="0" collapsed="false">
      <c r="A44" s="8" t="s">
        <v>658</v>
      </c>
      <c r="B44" s="8" t="s">
        <v>399</v>
      </c>
      <c r="C44" s="52" t="n">
        <f aca="false">IFERROR(Hist_Data!$C$56/Hist_Data!$C$8*365,"")</f>
        <v>53.0576055328301</v>
      </c>
      <c r="D44" s="52" t="n">
        <f aca="false">IFERROR(Hist_Data!$D$56/Hist_Data!$D$8*365,"")</f>
        <v>52.8562828371278</v>
      </c>
      <c r="E44" s="52" t="n">
        <f aca="false">IFERROR(Hist_Data!$E$56/Hist_Data!$E$8*365,"")</f>
        <v>29.4633721150567</v>
      </c>
      <c r="F44" s="52" t="n">
        <f aca="false">IFERROR(Hist_Data!$F$56/Hist_Data!$F$8*365,"")</f>
        <v>30.3144231266484</v>
      </c>
      <c r="G44" s="52" t="n">
        <f aca="false">IFERROR(Hist_Data!$G$56/Hist_Data!$G$8*365,"")</f>
        <v>37.6726907630522</v>
      </c>
      <c r="H44" s="8" t="s">
        <v>146</v>
      </c>
      <c r="I44" s="8" t="s">
        <v>659</v>
      </c>
    </row>
    <row r="45" customFormat="false" ht="15" hidden="false" customHeight="false" outlineLevel="0" collapsed="false">
      <c r="A45" s="7" t="s">
        <v>660</v>
      </c>
      <c r="B45" s="8" t="s">
        <v>399</v>
      </c>
      <c r="C45" s="52" t="n">
        <f aca="false">$C$42+$C$43-$C$44</f>
        <v>135.852037915172</v>
      </c>
      <c r="D45" s="52" t="n">
        <f aca="false">$D$42+$D$43-$D$44</f>
        <v>180.042636421721</v>
      </c>
      <c r="E45" s="52" t="n">
        <f aca="false">$E$42+$E$43-$E$44</f>
        <v>207.253434348145</v>
      </c>
      <c r="F45" s="52" t="n">
        <f aca="false">$F$42+$F$43-$F$44</f>
        <v>271.036102999691</v>
      </c>
      <c r="G45" s="52" t="n">
        <f aca="false">$G$42+$G$43-$G$44</f>
        <v>221.335583651361</v>
      </c>
      <c r="H45" s="8" t="s">
        <v>146</v>
      </c>
      <c r="I45" s="8" t="s">
        <v>661</v>
      </c>
    </row>
    <row r="46" customFormat="false" ht="15" hidden="false" customHeight="false" outlineLevel="0" collapsed="false">
      <c r="A46" s="8" t="s">
        <v>662</v>
      </c>
      <c r="B46" s="8" t="s">
        <v>318</v>
      </c>
      <c r="C46" s="31" t="n">
        <f aca="false">Hist_Data!$C$50+Hist_Data!$C$51+N(Hist_Data!$C$52)-Hist_Data!$C$56-N(Hist_Data!$C$57)</f>
        <v>734.2</v>
      </c>
      <c r="D46" s="31" t="n">
        <f aca="false">Hist_Data!$D$50+Hist_Data!$D$51+N(Hist_Data!$D$52)-Hist_Data!$D$56-N(Hist_Data!$D$57)</f>
        <v>1114.9</v>
      </c>
      <c r="E46" s="31" t="n">
        <f aca="false">Hist_Data!$E$50+Hist_Data!$E$51+N(Hist_Data!$E$52)-Hist_Data!$E$56-N(Hist_Data!$E$57)</f>
        <v>1173.3</v>
      </c>
      <c r="F46" s="31" t="n">
        <f aca="false">Hist_Data!$F$50+Hist_Data!$F$51+N(Hist_Data!$F$52)-Hist_Data!$F$56-N(Hist_Data!$F$57)</f>
        <v>1064.5</v>
      </c>
      <c r="G46" s="31" t="n">
        <f aca="false">Hist_Data!$G$50+Hist_Data!$G$51+N(Hist_Data!$G$52)-Hist_Data!$G$56-N(Hist_Data!$G$57)</f>
        <v>1001</v>
      </c>
      <c r="H46" s="8" t="s">
        <v>146</v>
      </c>
      <c r="I46" s="8" t="s">
        <v>663</v>
      </c>
    </row>
    <row r="47" customFormat="false" ht="15" hidden="false" customHeight="false" outlineLevel="0" collapsed="false">
      <c r="A47" s="8" t="s">
        <v>664</v>
      </c>
      <c r="B47" s="8" t="s">
        <v>285</v>
      </c>
      <c r="C47" s="36" t="n">
        <f aca="false">IFERROR($C$46/Hist_Data!$C$7,"")</f>
        <v>0.107639754284625</v>
      </c>
      <c r="D47" s="36" t="n">
        <f aca="false">IFERROR($D$46/Hist_Data!$D$7,"")</f>
        <v>0.132117506250963</v>
      </c>
      <c r="E47" s="36" t="n">
        <f aca="false">IFERROR($E$46/Hist_Data!$E$7,"")</f>
        <v>0.153685947815152</v>
      </c>
      <c r="F47" s="36" t="n">
        <f aca="false">IFERROR($F$46/Hist_Data!$F$7,"")</f>
        <v>0.241843874954562</v>
      </c>
      <c r="G47" s="36" t="n">
        <f aca="false">IFERROR($G$46/Hist_Data!$G$7,"")</f>
        <v>0.212386751819397</v>
      </c>
      <c r="H47" s="8" t="s">
        <v>146</v>
      </c>
      <c r="I47" s="8" t="s">
        <v>665</v>
      </c>
    </row>
    <row r="48" customFormat="false" ht="15" hidden="false" customHeight="false" outlineLevel="0" collapsed="false">
      <c r="A48" s="8" t="s">
        <v>666</v>
      </c>
      <c r="B48" s="8" t="s">
        <v>644</v>
      </c>
      <c r="C48" s="51" t="n">
        <f aca="false">IFERROR(Hist_Data!$C$7/Hist_Data!$C$54,"")</f>
        <v>7.04711230499018</v>
      </c>
      <c r="D48" s="51" t="n">
        <f aca="false">IFERROR(Hist_Data!$D$7/Hist_Data!$D$54,"")</f>
        <v>7.16419050853213</v>
      </c>
      <c r="E48" s="51" t="n">
        <f aca="false">IFERROR(Hist_Data!$E$7/Hist_Data!$E$54,"")</f>
        <v>6.39075841285786</v>
      </c>
      <c r="F48" s="51" t="n">
        <f aca="false">IFERROR(Hist_Data!$F$7/Hist_Data!$F$54,"")</f>
        <v>3.71850975753992</v>
      </c>
      <c r="G48" s="51" t="n">
        <f aca="false">IFERROR(Hist_Data!$G$7/Hist_Data!$G$54,"")</f>
        <v>4.25869702719798</v>
      </c>
      <c r="H48" s="8" t="s">
        <v>146</v>
      </c>
      <c r="I48" s="8" t="s">
        <v>667</v>
      </c>
    </row>
    <row r="49" customFormat="false" ht="15" hidden="false" customHeight="false" outlineLevel="0" collapsed="false">
      <c r="A49" s="16" t="s">
        <v>668</v>
      </c>
      <c r="B49" s="17"/>
      <c r="C49" s="17"/>
      <c r="D49" s="17"/>
      <c r="E49" s="17"/>
      <c r="F49" s="17"/>
      <c r="G49" s="17"/>
      <c r="H49" s="17"/>
      <c r="I49" s="17"/>
    </row>
    <row r="50" customFormat="false" ht="15" hidden="false" customHeight="false" outlineLevel="0" collapsed="false">
      <c r="C50" s="53" t="s">
        <v>569</v>
      </c>
      <c r="D50" s="53" t="s">
        <v>570</v>
      </c>
      <c r="E50" s="53" t="s">
        <v>669</v>
      </c>
    </row>
    <row r="51" customFormat="false" ht="15" hidden="false" customHeight="false" outlineLevel="0" collapsed="false">
      <c r="A51" s="8" t="s">
        <v>436</v>
      </c>
      <c r="B51" s="8" t="s">
        <v>318</v>
      </c>
      <c r="C51" s="40" t="n">
        <f aca="false">Hist_Data!$C$70</f>
        <v>1075.5</v>
      </c>
      <c r="D51" s="40" t="n">
        <f aca="false">Hist_Data!$D$70</f>
        <v>1484.7</v>
      </c>
      <c r="E51" s="36" t="n">
        <f aca="false">IFERROR(D51/C51-1,"")</f>
        <v>0.38047419804742</v>
      </c>
      <c r="H51" s="8" t="s">
        <v>146</v>
      </c>
      <c r="I51" s="8" t="s">
        <v>670</v>
      </c>
    </row>
    <row r="52" customFormat="false" ht="15" hidden="false" customHeight="false" outlineLevel="0" collapsed="false">
      <c r="A52" s="8" t="s">
        <v>476</v>
      </c>
      <c r="B52" s="8" t="s">
        <v>318</v>
      </c>
      <c r="C52" s="40" t="n">
        <f aca="false">Hist_Data!$C$71</f>
        <v>532.6</v>
      </c>
      <c r="D52" s="40" t="n">
        <f aca="false">Hist_Data!$D$71</f>
        <v>739.1</v>
      </c>
      <c r="E52" s="36" t="n">
        <f aca="false">IFERROR(D52/C52-1,"")</f>
        <v>0.387720615846789</v>
      </c>
      <c r="H52" s="8" t="s">
        <v>146</v>
      </c>
      <c r="I52" s="8" t="s">
        <v>670</v>
      </c>
    </row>
    <row r="53" customFormat="false" ht="15" hidden="false" customHeight="false" outlineLevel="0" collapsed="false">
      <c r="A53" s="8" t="s">
        <v>479</v>
      </c>
      <c r="B53" s="8" t="s">
        <v>318</v>
      </c>
      <c r="C53" s="40" t="n">
        <f aca="false">Hist_Data!$C$72</f>
        <v>316.2</v>
      </c>
      <c r="D53" s="40" t="n">
        <f aca="false">Hist_Data!$D$72</f>
        <v>410.9</v>
      </c>
      <c r="E53" s="36" t="n">
        <f aca="false">IFERROR(D53/C53-1,"")</f>
        <v>0.299493991144845</v>
      </c>
      <c r="H53" s="8" t="s">
        <v>146</v>
      </c>
      <c r="I53" s="8" t="s">
        <v>670</v>
      </c>
    </row>
    <row r="54" customFormat="false" ht="15" hidden="false" customHeight="false" outlineLevel="0" collapsed="false">
      <c r="A54" s="8" t="s">
        <v>481</v>
      </c>
      <c r="B54" s="8" t="s">
        <v>318</v>
      </c>
      <c r="C54" s="40" t="n">
        <f aca="false">Hist_Data!$C$73</f>
        <v>226.7</v>
      </c>
      <c r="D54" s="40" t="n">
        <f aca="false">Hist_Data!$D$73</f>
        <v>334.7</v>
      </c>
      <c r="E54" s="36" t="n">
        <f aca="false">IFERROR(D54/C54-1,"")</f>
        <v>0.476400529333922</v>
      </c>
      <c r="H54" s="8" t="s">
        <v>146</v>
      </c>
      <c r="I54" s="8" t="s">
        <v>670</v>
      </c>
    </row>
    <row r="56" customFormat="false" ht="15" hidden="false" customHeight="false" outlineLevel="0" collapsed="false">
      <c r="A56" s="16" t="s">
        <v>671</v>
      </c>
      <c r="B56" s="17"/>
      <c r="C56" s="17"/>
      <c r="D56" s="17"/>
      <c r="E56" s="17"/>
      <c r="F56" s="17"/>
      <c r="G56" s="17"/>
      <c r="H56" s="17"/>
      <c r="I56" s="17"/>
    </row>
    <row r="57" customFormat="false" ht="15" hidden="false" customHeight="false" outlineLevel="0" collapsed="false">
      <c r="A57" s="7" t="s">
        <v>672</v>
      </c>
      <c r="C57" s="11" t="str">
        <f aca="false">"Net sales peaked in FY2023 at $"&amp;TEXT(Hist_Data!$D$7,"#,##0")&amp;"m and fell "&amp;TEXT(-(Hist_Data!$F$7/Hist_Data!$D$7-1),"0%")&amp;" by FY2025"&amp;", then grew "&amp;TEXT($G$8,"0.0%")&amp;" in FY2026."</f>
        <v>Net sales peaked in FY2023 at $8,439m and fell 48% by FY2025, then grew 7.1% in FY2026.</v>
      </c>
    </row>
    <row r="58" customFormat="false" ht="15" hidden="false" customHeight="false" outlineLevel="0" collapsed="false">
      <c r="A58" s="7" t="s">
        <v>673</v>
      </c>
      <c r="C58" s="11" t="str">
        <f aca="false">"Gross margin moved from "&amp;TEXT($D$9,"0.0%")&amp;" (FY2023) to "&amp;TEXT($F$9,"0.0%")&amp;" (FY2025): consistent with fixed factory cost spread over fewer units. The operating model simulates this effect."</f>
        <v>Gross margin moved from 67.5% (FY2023) to 56.1% (FY2025): consistent with fixed factory cost spread over fewer units. The operating model simulates this effect.</v>
      </c>
    </row>
    <row r="59" customFormat="false" ht="15" hidden="false" customHeight="false" outlineLevel="0" collapsed="false">
      <c r="A59" s="7" t="s">
        <v>674</v>
      </c>
      <c r="C59" s="11" t="str">
        <f aca="false">"Days of inventory were "&amp;TEXT($C$43,"0")&amp;" in FY2022 and "&amp;TEXT($G$43,"0")&amp;" in FY2026."</f>
        <v>Days of inventory were 132 in FY2022 and 190 in FY2026.</v>
      </c>
    </row>
    <row r="60" customFormat="false" ht="15" hidden="false" customHeight="false" outlineLevel="0" collapsed="false">
      <c r="A60" s="7" t="s">
        <v>34</v>
      </c>
      <c r="C60" s="11" t="str">
        <f aca="false">"Capex was "&amp;TEXT($C$37,"0.0%")&amp;" of sales in FY2022 and "&amp;TEXT($G$37,"0.0%")&amp;" in FY2026; capex / D&amp;A was "&amp;TEXT($G$40,"0.00x")&amp;" in FY2026."</f>
        <v>Capex was 5.4% of sales in FY2022 and 1.9% in FY2026; capex / D&amp;A was 0.13x in FY2026.</v>
      </c>
    </row>
    <row r="61" customFormat="false" ht="15" hidden="false" customHeight="false" outlineLevel="0" collapsed="false">
      <c r="A61" s="7" t="s">
        <v>675</v>
      </c>
      <c r="C61" s="11" t="str">
        <f aca="false">"Q1 FY2027 net sales changed "&amp;TEXT(E51,"+0%;-0%")&amp;" year over year."</f>
        <v>Q1 FY2027 net sales changed +38% year over year.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Q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14" min="3" style="0" width="10"/>
    <col collapsed="false" customWidth="true" hidden="false" outlineLevel="0" max="15" min="15" style="0" width="12"/>
    <col collapsed="false" customWidth="true" hidden="false" outlineLevel="0" max="16" min="16" style="0" width="24"/>
    <col collapsed="false" customWidth="true" hidden="false" outlineLevel="0" max="17" min="17" style="0" width="66"/>
  </cols>
  <sheetData>
    <row r="1" customFormat="false" ht="19.7" hidden="false" customHeight="false" outlineLevel="0" collapsed="false">
      <c r="A1" s="14" t="s">
        <v>676</v>
      </c>
    </row>
    <row r="2" customFormat="false" ht="15" hidden="false" customHeight="false" outlineLevel="0" collapsed="false">
      <c r="A2" s="4" t="s">
        <v>677</v>
      </c>
    </row>
    <row r="3" customFormat="false" ht="15" hidden="false" customHeight="false" outlineLevel="0" collapsed="false">
      <c r="A3" s="15" t="s">
        <v>2</v>
      </c>
    </row>
    <row r="4" customFormat="false" ht="15" hidden="false" customHeight="false" outlineLevel="0" collapsed="false">
      <c r="A4" s="7" t="s">
        <v>678</v>
      </c>
      <c r="B4" s="54" t="str">
        <f aca="false">Assumptions!$C$6</f>
        <v>Base</v>
      </c>
    </row>
    <row r="6" customFormat="false" ht="15" hidden="false" customHeight="false" outlineLevel="0" collapsed="false">
      <c r="A6" s="18" t="s">
        <v>427</v>
      </c>
      <c r="B6" s="19" t="s">
        <v>279</v>
      </c>
      <c r="C6" s="55" t="n">
        <f aca="false">Assumptions!C$71</f>
        <v>46113</v>
      </c>
      <c r="D6" s="55" t="n">
        <f aca="false">Assumptions!D$71</f>
        <v>46143</v>
      </c>
      <c r="E6" s="55" t="n">
        <f aca="false">Assumptions!E$71</f>
        <v>46174</v>
      </c>
      <c r="F6" s="55" t="n">
        <f aca="false">Assumptions!F$71</f>
        <v>46204</v>
      </c>
      <c r="G6" s="55" t="n">
        <f aca="false">Assumptions!G$71</f>
        <v>46235</v>
      </c>
      <c r="H6" s="55" t="n">
        <f aca="false">Assumptions!H$71</f>
        <v>46266</v>
      </c>
      <c r="I6" s="55" t="n">
        <f aca="false">Assumptions!I$71</f>
        <v>46296</v>
      </c>
      <c r="J6" s="55" t="n">
        <f aca="false">Assumptions!J$71</f>
        <v>46327</v>
      </c>
      <c r="K6" s="55" t="n">
        <f aca="false">Assumptions!K$71</f>
        <v>46357</v>
      </c>
      <c r="L6" s="55" t="n">
        <f aca="false">Assumptions!L$71</f>
        <v>46388</v>
      </c>
      <c r="M6" s="55" t="n">
        <f aca="false">Assumptions!M$71</f>
        <v>46419</v>
      </c>
      <c r="N6" s="55" t="n">
        <f aca="false">Assumptions!N$71</f>
        <v>46447</v>
      </c>
      <c r="O6" s="19" t="s">
        <v>679</v>
      </c>
      <c r="P6" s="19" t="s">
        <v>100</v>
      </c>
      <c r="Q6" s="19" t="s">
        <v>680</v>
      </c>
    </row>
    <row r="7" customFormat="false" ht="15" hidden="false" customHeight="false" outlineLevel="0" collapsed="false">
      <c r="A7" s="16" t="s">
        <v>681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customFormat="false" ht="15" hidden="false" customHeight="false" outlineLevel="0" collapsed="false">
      <c r="A8" s="8" t="s">
        <v>682</v>
      </c>
      <c r="B8" s="8" t="s">
        <v>644</v>
      </c>
      <c r="C8" s="56" t="n">
        <f aca="false">Assumptions!C$72</f>
        <v>0.96</v>
      </c>
      <c r="D8" s="56" t="n">
        <f aca="false">Assumptions!D$72</f>
        <v>0.98</v>
      </c>
      <c r="E8" s="56" t="n">
        <f aca="false">Assumptions!E$72</f>
        <v>1.02</v>
      </c>
      <c r="F8" s="56" t="n">
        <f aca="false">Assumptions!F$72</f>
        <v>0.97</v>
      </c>
      <c r="G8" s="56" t="n">
        <f aca="false">Assumptions!G$72</f>
        <v>0.99</v>
      </c>
      <c r="H8" s="56" t="n">
        <f aca="false">Assumptions!H$72</f>
        <v>1.04</v>
      </c>
      <c r="I8" s="56" t="n">
        <f aca="false">Assumptions!I$72</f>
        <v>1.03</v>
      </c>
      <c r="J8" s="56" t="n">
        <f aca="false">Assumptions!J$72</f>
        <v>1.01</v>
      </c>
      <c r="K8" s="56" t="n">
        <f aca="false">Assumptions!K$72</f>
        <v>0.95</v>
      </c>
      <c r="L8" s="56" t="n">
        <f aca="false">Assumptions!L$72</f>
        <v>0.97</v>
      </c>
      <c r="M8" s="56" t="n">
        <f aca="false">Assumptions!M$72</f>
        <v>1</v>
      </c>
      <c r="N8" s="56" t="n">
        <f aca="false">Assumptions!N$72</f>
        <v>1.08</v>
      </c>
      <c r="O8" s="57" t="n">
        <f aca="false">SUM(C8:N8)</f>
        <v>12</v>
      </c>
      <c r="P8" s="8" t="s">
        <v>683</v>
      </c>
      <c r="Q8" s="8" t="s">
        <v>684</v>
      </c>
    </row>
    <row r="9" customFormat="false" ht="15" hidden="false" customHeight="false" outlineLevel="0" collapsed="false">
      <c r="A9" s="8" t="s">
        <v>685</v>
      </c>
      <c r="B9" s="8" t="s">
        <v>355</v>
      </c>
      <c r="C9" s="35" t="n">
        <f aca="false">Assumptions!$C$62*C8/12</f>
        <v>23.9882879633362</v>
      </c>
      <c r="D9" s="35" t="n">
        <f aca="false">Assumptions!$C$62*D8/12</f>
        <v>24.4880439625724</v>
      </c>
      <c r="E9" s="35" t="n">
        <f aca="false">Assumptions!$C$62*E8/12</f>
        <v>25.4875559610447</v>
      </c>
      <c r="F9" s="35" t="n">
        <f aca="false">Assumptions!$C$62*F8/12</f>
        <v>24.2381659629543</v>
      </c>
      <c r="G9" s="35" t="n">
        <f aca="false">Assumptions!$C$62*G8/12</f>
        <v>24.7379219621905</v>
      </c>
      <c r="H9" s="35" t="n">
        <f aca="false">Assumptions!$C$62*H8/12</f>
        <v>25.9873119602809</v>
      </c>
      <c r="I9" s="35" t="n">
        <f aca="false">Assumptions!$C$62*I8/12</f>
        <v>25.7374339606628</v>
      </c>
      <c r="J9" s="35" t="n">
        <f aca="false">Assumptions!$C$62*J8/12</f>
        <v>25.2376779614267</v>
      </c>
      <c r="K9" s="35" t="n">
        <f aca="false">Assumptions!$C$62*K8/12</f>
        <v>23.7384099637181</v>
      </c>
      <c r="L9" s="35" t="n">
        <f aca="false">Assumptions!$C$62*L8/12</f>
        <v>24.2381659629543</v>
      </c>
      <c r="M9" s="35" t="n">
        <f aca="false">Assumptions!$C$62*M8/12</f>
        <v>24.9877999618086</v>
      </c>
      <c r="N9" s="35" t="n">
        <f aca="false">Assumptions!$C$62*N8/12</f>
        <v>26.9868239587533</v>
      </c>
      <c r="O9" s="58" t="n">
        <f aca="false">SUM(C9:N9)</f>
        <v>299.853599541703</v>
      </c>
      <c r="P9" s="8" t="s">
        <v>683</v>
      </c>
      <c r="Q9" s="8" t="s">
        <v>686</v>
      </c>
    </row>
    <row r="10" customFormat="false" ht="15" hidden="false" customHeight="false" outlineLevel="0" collapsed="false">
      <c r="A10" s="8" t="s">
        <v>345</v>
      </c>
      <c r="B10" s="8" t="s">
        <v>355</v>
      </c>
      <c r="C10" s="35" t="n">
        <f aca="false">Assumptions!$C$46</f>
        <v>35</v>
      </c>
      <c r="D10" s="35" t="n">
        <f aca="false">Assumptions!$C$46</f>
        <v>35</v>
      </c>
      <c r="E10" s="35" t="n">
        <f aca="false">Assumptions!$C$46</f>
        <v>35</v>
      </c>
      <c r="F10" s="35" t="n">
        <f aca="false">Assumptions!$C$46</f>
        <v>35</v>
      </c>
      <c r="G10" s="35" t="n">
        <f aca="false">Assumptions!$C$46</f>
        <v>35</v>
      </c>
      <c r="H10" s="35" t="n">
        <f aca="false">Assumptions!$C$46</f>
        <v>35</v>
      </c>
      <c r="I10" s="35" t="n">
        <f aca="false">Assumptions!$C$46</f>
        <v>35</v>
      </c>
      <c r="J10" s="35" t="n">
        <f aca="false">Assumptions!$C$46</f>
        <v>35</v>
      </c>
      <c r="K10" s="35" t="n">
        <f aca="false">Assumptions!$C$46</f>
        <v>35</v>
      </c>
      <c r="L10" s="35" t="n">
        <f aca="false">Assumptions!$C$46</f>
        <v>35</v>
      </c>
      <c r="M10" s="35" t="n">
        <f aca="false">Assumptions!$C$46</f>
        <v>35</v>
      </c>
      <c r="N10" s="35" t="n">
        <f aca="false">Assumptions!$C$46</f>
        <v>35</v>
      </c>
      <c r="O10" s="58" t="n">
        <f aca="false">SUM(C10:N10)</f>
        <v>420</v>
      </c>
      <c r="P10" s="8" t="s">
        <v>683</v>
      </c>
      <c r="Q10" s="8" t="s">
        <v>687</v>
      </c>
    </row>
    <row r="11" customFormat="false" ht="15" hidden="false" customHeight="false" outlineLevel="0" collapsed="false">
      <c r="A11" s="8" t="s">
        <v>688</v>
      </c>
      <c r="B11" s="8" t="s">
        <v>285</v>
      </c>
      <c r="C11" s="36" t="n">
        <f aca="false">Assumptions!$C$65</f>
        <v>0.8</v>
      </c>
      <c r="D11" s="36" t="n">
        <f aca="false">Assumptions!$C$65</f>
        <v>0.8</v>
      </c>
      <c r="E11" s="36" t="n">
        <f aca="false">Assumptions!$C$65</f>
        <v>0.8</v>
      </c>
      <c r="F11" s="36" t="n">
        <f aca="false">Assumptions!$C$65</f>
        <v>0.8</v>
      </c>
      <c r="G11" s="36" t="n">
        <f aca="false">Assumptions!$C$65</f>
        <v>0.8</v>
      </c>
      <c r="H11" s="36" t="n">
        <f aca="false">Assumptions!$C$65</f>
        <v>0.8</v>
      </c>
      <c r="I11" s="36" t="n">
        <f aca="false">Assumptions!$C$65</f>
        <v>0.8</v>
      </c>
      <c r="J11" s="36" t="n">
        <f aca="false">Assumptions!$C$65</f>
        <v>0.8</v>
      </c>
      <c r="K11" s="36" t="n">
        <f aca="false">Assumptions!$C$65</f>
        <v>0.8</v>
      </c>
      <c r="L11" s="36" t="n">
        <f aca="false">Assumptions!$C$65</f>
        <v>0.8</v>
      </c>
      <c r="M11" s="36" t="n">
        <f aca="false">Assumptions!$C$65</f>
        <v>0.8</v>
      </c>
      <c r="N11" s="36" t="n">
        <f aca="false">Assumptions!$C$65</f>
        <v>0.8</v>
      </c>
      <c r="O11" s="59" t="n">
        <f aca="false">IFERROR(O12/O10,0)</f>
        <v>0.8</v>
      </c>
      <c r="P11" s="8" t="s">
        <v>683</v>
      </c>
      <c r="Q11" s="8" t="s">
        <v>689</v>
      </c>
    </row>
    <row r="12" customFormat="false" ht="15" hidden="false" customHeight="false" outlineLevel="0" collapsed="false">
      <c r="A12" s="8" t="s">
        <v>357</v>
      </c>
      <c r="B12" s="8" t="s">
        <v>355</v>
      </c>
      <c r="C12" s="35" t="n">
        <f aca="false">C10*C11</f>
        <v>28</v>
      </c>
      <c r="D12" s="35" t="n">
        <f aca="false">D10*D11</f>
        <v>28</v>
      </c>
      <c r="E12" s="35" t="n">
        <f aca="false">E10*E11</f>
        <v>28</v>
      </c>
      <c r="F12" s="35" t="n">
        <f aca="false">F10*F11</f>
        <v>28</v>
      </c>
      <c r="G12" s="35" t="n">
        <f aca="false">G10*G11</f>
        <v>28</v>
      </c>
      <c r="H12" s="35" t="n">
        <f aca="false">H10*H11</f>
        <v>28</v>
      </c>
      <c r="I12" s="35" t="n">
        <f aca="false">I10*I11</f>
        <v>28</v>
      </c>
      <c r="J12" s="35" t="n">
        <f aca="false">J10*J11</f>
        <v>28</v>
      </c>
      <c r="K12" s="35" t="n">
        <f aca="false">K10*K11</f>
        <v>28</v>
      </c>
      <c r="L12" s="35" t="n">
        <f aca="false">L10*L11</f>
        <v>28</v>
      </c>
      <c r="M12" s="35" t="n">
        <f aca="false">M10*M11</f>
        <v>28</v>
      </c>
      <c r="N12" s="35" t="n">
        <f aca="false">N10*N11</f>
        <v>28</v>
      </c>
      <c r="O12" s="58" t="n">
        <f aca="false">SUM(C12:N12)</f>
        <v>336</v>
      </c>
      <c r="P12" s="8" t="s">
        <v>683</v>
      </c>
      <c r="Q12" s="8" t="s">
        <v>690</v>
      </c>
    </row>
    <row r="13" customFormat="false" ht="15" hidden="false" customHeight="false" outlineLevel="0" collapsed="false">
      <c r="A13" s="8" t="s">
        <v>691</v>
      </c>
      <c r="B13" s="8" t="s">
        <v>285</v>
      </c>
      <c r="C13" s="36" t="n">
        <f aca="false">Assumptions!$C$64</f>
        <v>0.92</v>
      </c>
      <c r="D13" s="36" t="n">
        <f aca="false">Assumptions!$C$64</f>
        <v>0.92</v>
      </c>
      <c r="E13" s="36" t="n">
        <f aca="false">Assumptions!$C$64</f>
        <v>0.92</v>
      </c>
      <c r="F13" s="36" t="n">
        <f aca="false">Assumptions!$C$64</f>
        <v>0.92</v>
      </c>
      <c r="G13" s="36" t="n">
        <f aca="false">Assumptions!$C$64</f>
        <v>0.92</v>
      </c>
      <c r="H13" s="36" t="n">
        <f aca="false">Assumptions!$C$64</f>
        <v>0.92</v>
      </c>
      <c r="I13" s="36" t="n">
        <f aca="false">Assumptions!$C$64</f>
        <v>0.92</v>
      </c>
      <c r="J13" s="36" t="n">
        <f aca="false">Assumptions!$C$64</f>
        <v>0.92</v>
      </c>
      <c r="K13" s="36" t="n">
        <f aca="false">Assumptions!$C$64</f>
        <v>0.92</v>
      </c>
      <c r="L13" s="36" t="n">
        <f aca="false">Assumptions!$C$64</f>
        <v>0.92</v>
      </c>
      <c r="M13" s="36" t="n">
        <f aca="false">Assumptions!$C$64</f>
        <v>0.92</v>
      </c>
      <c r="N13" s="36" t="n">
        <f aca="false">Assumptions!$C$64</f>
        <v>0.92</v>
      </c>
      <c r="O13" s="59" t="n">
        <f aca="false">IFERROR(O14/O12,0)</f>
        <v>0.92</v>
      </c>
      <c r="P13" s="8" t="s">
        <v>683</v>
      </c>
      <c r="Q13" s="8" t="s">
        <v>692</v>
      </c>
    </row>
    <row r="14" customFormat="false" ht="15" hidden="false" customHeight="false" outlineLevel="0" collapsed="false">
      <c r="A14" s="8" t="s">
        <v>693</v>
      </c>
      <c r="B14" s="8" t="s">
        <v>355</v>
      </c>
      <c r="C14" s="35" t="n">
        <f aca="false">C12*C13</f>
        <v>25.76</v>
      </c>
      <c r="D14" s="35" t="n">
        <f aca="false">D12*D13</f>
        <v>25.76</v>
      </c>
      <c r="E14" s="35" t="n">
        <f aca="false">E12*E13</f>
        <v>25.76</v>
      </c>
      <c r="F14" s="35" t="n">
        <f aca="false">F12*F13</f>
        <v>25.76</v>
      </c>
      <c r="G14" s="35" t="n">
        <f aca="false">G12*G13</f>
        <v>25.76</v>
      </c>
      <c r="H14" s="35" t="n">
        <f aca="false">H12*H13</f>
        <v>25.76</v>
      </c>
      <c r="I14" s="35" t="n">
        <f aca="false">I12*I13</f>
        <v>25.76</v>
      </c>
      <c r="J14" s="35" t="n">
        <f aca="false">J12*J13</f>
        <v>25.76</v>
      </c>
      <c r="K14" s="35" t="n">
        <f aca="false">K12*K13</f>
        <v>25.76</v>
      </c>
      <c r="L14" s="35" t="n">
        <f aca="false">L12*L13</f>
        <v>25.76</v>
      </c>
      <c r="M14" s="35" t="n">
        <f aca="false">M12*M13</f>
        <v>25.76</v>
      </c>
      <c r="N14" s="35" t="n">
        <f aca="false">N12*N13</f>
        <v>25.76</v>
      </c>
      <c r="O14" s="58" t="n">
        <f aca="false">SUM(C14:N14)</f>
        <v>309.12</v>
      </c>
      <c r="P14" s="8" t="s">
        <v>683</v>
      </c>
      <c r="Q14" s="8" t="s">
        <v>694</v>
      </c>
    </row>
    <row r="15" customFormat="false" ht="15" hidden="false" customHeight="false" outlineLevel="0" collapsed="false">
      <c r="A15" s="8" t="s">
        <v>412</v>
      </c>
      <c r="B15" s="8" t="s">
        <v>355</v>
      </c>
      <c r="C15" s="35" t="n">
        <f aca="false">Assumptions!$C$67</f>
        <v>20.8231666348405</v>
      </c>
      <c r="D15" s="35" t="n">
        <f aca="false">C18</f>
        <v>22.5948786715043</v>
      </c>
      <c r="E15" s="35" t="n">
        <f aca="false">D18</f>
        <v>23.8668347089319</v>
      </c>
      <c r="F15" s="35" t="n">
        <f aca="false">E18</f>
        <v>24.1392787478871</v>
      </c>
      <c r="G15" s="35" t="n">
        <f aca="false">F18</f>
        <v>25.6611127849328</v>
      </c>
      <c r="H15" s="35" t="n">
        <f aca="false">G18</f>
        <v>26.6831908227423</v>
      </c>
      <c r="I15" s="35" t="n">
        <f aca="false">H18</f>
        <v>26.4558788624614</v>
      </c>
      <c r="J15" s="35" t="n">
        <f aca="false">I18</f>
        <v>26.4784449017986</v>
      </c>
      <c r="K15" s="35" t="n">
        <f aca="false">J18</f>
        <v>27.0007669403719</v>
      </c>
      <c r="L15" s="35" t="n">
        <f aca="false">K18</f>
        <v>29.0223569766538</v>
      </c>
      <c r="M15" s="35" t="n">
        <f aca="false">L18</f>
        <v>30.5441910136995</v>
      </c>
      <c r="N15" s="35" t="n">
        <f aca="false">M18</f>
        <v>31.3163910518909</v>
      </c>
      <c r="O15" s="58" t="n">
        <f aca="false">C15</f>
        <v>20.8231666348405</v>
      </c>
      <c r="P15" s="8" t="s">
        <v>683</v>
      </c>
      <c r="Q15" s="8" t="s">
        <v>695</v>
      </c>
    </row>
    <row r="16" customFormat="false" ht="15" hidden="false" customHeight="false" outlineLevel="0" collapsed="false">
      <c r="A16" s="8" t="s">
        <v>696</v>
      </c>
      <c r="B16" s="8" t="s">
        <v>355</v>
      </c>
      <c r="C16" s="35" t="n">
        <f aca="false">C15+C14</f>
        <v>46.5831666348405</v>
      </c>
      <c r="D16" s="35" t="n">
        <f aca="false">D15+D14</f>
        <v>48.3548786715043</v>
      </c>
      <c r="E16" s="35" t="n">
        <f aca="false">E15+E14</f>
        <v>49.6268347089319</v>
      </c>
      <c r="F16" s="35" t="n">
        <f aca="false">F15+F14</f>
        <v>49.8992787478871</v>
      </c>
      <c r="G16" s="35" t="n">
        <f aca="false">G15+G14</f>
        <v>51.4211127849328</v>
      </c>
      <c r="H16" s="35" t="n">
        <f aca="false">H15+H14</f>
        <v>52.4431908227423</v>
      </c>
      <c r="I16" s="35" t="n">
        <f aca="false">I15+I14</f>
        <v>52.2158788624614</v>
      </c>
      <c r="J16" s="35" t="n">
        <f aca="false">J15+J14</f>
        <v>52.2384449017986</v>
      </c>
      <c r="K16" s="35" t="n">
        <f aca="false">K15+K14</f>
        <v>52.7607669403719</v>
      </c>
      <c r="L16" s="35" t="n">
        <f aca="false">L15+L14</f>
        <v>54.7823569766538</v>
      </c>
      <c r="M16" s="35" t="n">
        <f aca="false">M15+M14</f>
        <v>56.3041910136995</v>
      </c>
      <c r="N16" s="35" t="n">
        <f aca="false">N15+N14</f>
        <v>57.0763910518909</v>
      </c>
      <c r="P16" s="8" t="s">
        <v>683</v>
      </c>
      <c r="Q16" s="8" t="s">
        <v>697</v>
      </c>
    </row>
    <row r="17" customFormat="false" ht="15" hidden="false" customHeight="false" outlineLevel="0" collapsed="false">
      <c r="A17" s="45" t="s">
        <v>354</v>
      </c>
      <c r="B17" s="46" t="s">
        <v>355</v>
      </c>
      <c r="C17" s="60" t="n">
        <f aca="false">MIN(C9,C16)</f>
        <v>23.9882879633362</v>
      </c>
      <c r="D17" s="60" t="n">
        <f aca="false">MIN(D9,D16)</f>
        <v>24.4880439625724</v>
      </c>
      <c r="E17" s="60" t="n">
        <f aca="false">MIN(E9,E16)</f>
        <v>25.4875559610447</v>
      </c>
      <c r="F17" s="60" t="n">
        <f aca="false">MIN(F9,F16)</f>
        <v>24.2381659629543</v>
      </c>
      <c r="G17" s="60" t="n">
        <f aca="false">MIN(G9,G16)</f>
        <v>24.7379219621905</v>
      </c>
      <c r="H17" s="60" t="n">
        <f aca="false">MIN(H9,H16)</f>
        <v>25.9873119602809</v>
      </c>
      <c r="I17" s="60" t="n">
        <f aca="false">MIN(I9,I16)</f>
        <v>25.7374339606628</v>
      </c>
      <c r="J17" s="60" t="n">
        <f aca="false">MIN(J9,J16)</f>
        <v>25.2376779614267</v>
      </c>
      <c r="K17" s="60" t="n">
        <f aca="false">MIN(K9,K16)</f>
        <v>23.7384099637181</v>
      </c>
      <c r="L17" s="60" t="n">
        <f aca="false">MIN(L9,L16)</f>
        <v>24.2381659629543</v>
      </c>
      <c r="M17" s="60" t="n">
        <f aca="false">MIN(M9,M16)</f>
        <v>24.9877999618086</v>
      </c>
      <c r="N17" s="60" t="n">
        <f aca="false">MIN(N9,N16)</f>
        <v>26.9868239587533</v>
      </c>
      <c r="O17" s="61" t="n">
        <f aca="false">SUM(C17:N17)</f>
        <v>299.853599541703</v>
      </c>
      <c r="P17" s="8" t="s">
        <v>683</v>
      </c>
      <c r="Q17" s="8" t="s">
        <v>698</v>
      </c>
    </row>
    <row r="18" customFormat="false" ht="15" hidden="false" customHeight="false" outlineLevel="0" collapsed="false">
      <c r="A18" s="8" t="s">
        <v>699</v>
      </c>
      <c r="B18" s="8" t="s">
        <v>355</v>
      </c>
      <c r="C18" s="35" t="n">
        <f aca="false">C16-C17</f>
        <v>22.5948786715043</v>
      </c>
      <c r="D18" s="35" t="n">
        <f aca="false">D16-D17</f>
        <v>23.8668347089319</v>
      </c>
      <c r="E18" s="35" t="n">
        <f aca="false">E16-E17</f>
        <v>24.1392787478871</v>
      </c>
      <c r="F18" s="35" t="n">
        <f aca="false">F16-F17</f>
        <v>25.6611127849328</v>
      </c>
      <c r="G18" s="35" t="n">
        <f aca="false">G16-G17</f>
        <v>26.6831908227423</v>
      </c>
      <c r="H18" s="35" t="n">
        <f aca="false">H16-H17</f>
        <v>26.4558788624614</v>
      </c>
      <c r="I18" s="35" t="n">
        <f aca="false">I16-I17</f>
        <v>26.4784449017986</v>
      </c>
      <c r="J18" s="35" t="n">
        <f aca="false">J16-J17</f>
        <v>27.0007669403719</v>
      </c>
      <c r="K18" s="35" t="n">
        <f aca="false">K16-K17</f>
        <v>29.0223569766538</v>
      </c>
      <c r="L18" s="35" t="n">
        <f aca="false">L16-L17</f>
        <v>30.5441910136995</v>
      </c>
      <c r="M18" s="35" t="n">
        <f aca="false">M16-M17</f>
        <v>31.3163910518909</v>
      </c>
      <c r="N18" s="35" t="n">
        <f aca="false">N16-N17</f>
        <v>30.0895670931377</v>
      </c>
      <c r="O18" s="58" t="n">
        <f aca="false">N18</f>
        <v>30.0895670931377</v>
      </c>
      <c r="P18" s="8" t="s">
        <v>683</v>
      </c>
      <c r="Q18" s="8" t="s">
        <v>700</v>
      </c>
    </row>
    <row r="19" customFormat="false" ht="15" hidden="false" customHeight="false" outlineLevel="0" collapsed="false">
      <c r="A19" s="8" t="s">
        <v>701</v>
      </c>
      <c r="B19" s="8" t="s">
        <v>355</v>
      </c>
      <c r="C19" s="35" t="n">
        <f aca="false">C9-C17</f>
        <v>0</v>
      </c>
      <c r="D19" s="35" t="n">
        <f aca="false">D9-D17</f>
        <v>0</v>
      </c>
      <c r="E19" s="35" t="n">
        <f aca="false">E9-E17</f>
        <v>0</v>
      </c>
      <c r="F19" s="35" t="n">
        <f aca="false">F9-F17</f>
        <v>0</v>
      </c>
      <c r="G19" s="35" t="n">
        <f aca="false">G9-G17</f>
        <v>0</v>
      </c>
      <c r="H19" s="35" t="n">
        <f aca="false">H9-H17</f>
        <v>0</v>
      </c>
      <c r="I19" s="35" t="n">
        <f aca="false">I9-I17</f>
        <v>0</v>
      </c>
      <c r="J19" s="35" t="n">
        <f aca="false">J9-J17</f>
        <v>0</v>
      </c>
      <c r="K19" s="35" t="n">
        <f aca="false">K9-K17</f>
        <v>0</v>
      </c>
      <c r="L19" s="35" t="n">
        <f aca="false">L9-L17</f>
        <v>0</v>
      </c>
      <c r="M19" s="35" t="n">
        <f aca="false">M9-M17</f>
        <v>0</v>
      </c>
      <c r="N19" s="35" t="n">
        <f aca="false">N9-N17</f>
        <v>0</v>
      </c>
      <c r="O19" s="58" t="n">
        <f aca="false">SUM(C19:N19)</f>
        <v>0</v>
      </c>
      <c r="P19" s="8" t="s">
        <v>683</v>
      </c>
      <c r="Q19" s="8" t="s">
        <v>702</v>
      </c>
    </row>
    <row r="20" customFormat="false" ht="15" hidden="false" customHeight="false" outlineLevel="0" collapsed="false">
      <c r="A20" s="8" t="s">
        <v>703</v>
      </c>
      <c r="B20" s="8" t="s">
        <v>644</v>
      </c>
      <c r="C20" s="56" t="n">
        <f aca="false">IFERROR(C9/(C10*C13),0)</f>
        <v>0.744977887060131</v>
      </c>
      <c r="D20" s="56" t="n">
        <f aca="false">IFERROR(D9/(D10*D13),0)</f>
        <v>0.760498259707217</v>
      </c>
      <c r="E20" s="56" t="n">
        <f aca="false">IFERROR(E9/(E10*E13),0)</f>
        <v>0.79153900500139</v>
      </c>
      <c r="F20" s="56" t="n">
        <f aca="false">IFERROR(F9/(F10*F13),0)</f>
        <v>0.752738073383674</v>
      </c>
      <c r="G20" s="56" t="n">
        <f aca="false">IFERROR(G9/(G10*G13),0)</f>
        <v>0.76825844603076</v>
      </c>
      <c r="H20" s="56" t="n">
        <f aca="false">IFERROR(H9/(H10*H13),0)</f>
        <v>0.807059377648476</v>
      </c>
      <c r="I20" s="56" t="n">
        <f aca="false">IFERROR(I9/(I10*I13),0)</f>
        <v>0.799299191324933</v>
      </c>
      <c r="J20" s="56" t="n">
        <f aca="false">IFERROR(J9/(J10*J13),0)</f>
        <v>0.783778818677847</v>
      </c>
      <c r="K20" s="56" t="n">
        <f aca="false">IFERROR(K9/(K10*K13),0)</f>
        <v>0.737217700736588</v>
      </c>
      <c r="L20" s="56" t="n">
        <f aca="false">IFERROR(L9/(L10*L13),0)</f>
        <v>0.752738073383674</v>
      </c>
      <c r="M20" s="56" t="n">
        <f aca="false">IFERROR(M9/(M10*M13),0)</f>
        <v>0.776018632354304</v>
      </c>
      <c r="N20" s="56" t="n">
        <f aca="false">IFERROR(N9/(N10*N13),0)</f>
        <v>0.838100122942648</v>
      </c>
      <c r="O20" s="57" t="n">
        <f aca="false">IFERROR(O9/(O10*O13),0)</f>
        <v>0.776018632354304</v>
      </c>
      <c r="P20" s="8" t="s">
        <v>683</v>
      </c>
      <c r="Q20" s="8" t="s">
        <v>704</v>
      </c>
    </row>
    <row r="21" customFormat="false" ht="15" hidden="false" customHeight="false" outlineLevel="0" collapsed="false">
      <c r="A21" s="8" t="s">
        <v>705</v>
      </c>
      <c r="B21" s="8" t="s">
        <v>336</v>
      </c>
      <c r="C21" s="37" t="n">
        <f aca="false">Assumptions!$C$63</f>
        <v>1.98</v>
      </c>
      <c r="D21" s="37" t="n">
        <f aca="false">Assumptions!$C$63</f>
        <v>1.98</v>
      </c>
      <c r="E21" s="37" t="n">
        <f aca="false">Assumptions!$C$63</f>
        <v>1.98</v>
      </c>
      <c r="F21" s="37" t="n">
        <f aca="false">Assumptions!$C$63</f>
        <v>1.98</v>
      </c>
      <c r="G21" s="37" t="n">
        <f aca="false">Assumptions!$C$63</f>
        <v>1.98</v>
      </c>
      <c r="H21" s="37" t="n">
        <f aca="false">Assumptions!$C$63</f>
        <v>1.98</v>
      </c>
      <c r="I21" s="37" t="n">
        <f aca="false">Assumptions!$C$63</f>
        <v>1.98</v>
      </c>
      <c r="J21" s="37" t="n">
        <f aca="false">Assumptions!$C$63</f>
        <v>1.98</v>
      </c>
      <c r="K21" s="37" t="n">
        <f aca="false">Assumptions!$C$63</f>
        <v>1.98</v>
      </c>
      <c r="L21" s="37" t="n">
        <f aca="false">Assumptions!$C$63</f>
        <v>1.98</v>
      </c>
      <c r="M21" s="37" t="n">
        <f aca="false">Assumptions!$C$63</f>
        <v>1.98</v>
      </c>
      <c r="N21" s="37" t="n">
        <f aca="false">Assumptions!$C$63</f>
        <v>1.98</v>
      </c>
      <c r="O21" s="62" t="n">
        <f aca="false">IFERROR(O22/O17,0)</f>
        <v>1.98</v>
      </c>
      <c r="P21" s="8" t="s">
        <v>683</v>
      </c>
      <c r="Q21" s="8" t="s">
        <v>706</v>
      </c>
    </row>
    <row r="22" customFormat="false" ht="15" hidden="false" customHeight="false" outlineLevel="0" collapsed="false">
      <c r="A22" s="45" t="s">
        <v>22</v>
      </c>
      <c r="B22" s="46" t="s">
        <v>318</v>
      </c>
      <c r="C22" s="63" t="n">
        <f aca="false">C17*C21</f>
        <v>47.4968101674057</v>
      </c>
      <c r="D22" s="63" t="n">
        <f aca="false">D17*D21</f>
        <v>48.4863270458934</v>
      </c>
      <c r="E22" s="63" t="n">
        <f aca="false">E17*E21</f>
        <v>50.4653608028686</v>
      </c>
      <c r="F22" s="63" t="n">
        <f aca="false">F17*F21</f>
        <v>47.9915686066495</v>
      </c>
      <c r="G22" s="63" t="n">
        <f aca="false">G17*G21</f>
        <v>48.9810854851372</v>
      </c>
      <c r="H22" s="63" t="n">
        <f aca="false">H17*H21</f>
        <v>51.4548776813562</v>
      </c>
      <c r="I22" s="63" t="n">
        <f aca="false">I17*I21</f>
        <v>50.9601192421124</v>
      </c>
      <c r="J22" s="63" t="n">
        <f aca="false">J17*J21</f>
        <v>49.9706023636248</v>
      </c>
      <c r="K22" s="63" t="n">
        <f aca="false">K17*K21</f>
        <v>47.0020517281619</v>
      </c>
      <c r="L22" s="63" t="n">
        <f aca="false">L17*L21</f>
        <v>47.9915686066495</v>
      </c>
      <c r="M22" s="63" t="n">
        <f aca="false">M17*M21</f>
        <v>49.475843924381</v>
      </c>
      <c r="N22" s="63" t="n">
        <f aca="false">N17*N21</f>
        <v>53.4339114383315</v>
      </c>
      <c r="O22" s="64" t="n">
        <f aca="false">SUM(C22:N22)</f>
        <v>593.710127092572</v>
      </c>
      <c r="P22" s="8" t="s">
        <v>683</v>
      </c>
      <c r="Q22" s="8" t="s">
        <v>707</v>
      </c>
    </row>
    <row r="23" customFormat="false" ht="15" hidden="false" customHeight="false" outlineLevel="0" collapsed="false">
      <c r="A23" s="8" t="s">
        <v>708</v>
      </c>
      <c r="B23" s="8" t="s">
        <v>336</v>
      </c>
      <c r="C23" s="37" t="n">
        <f aca="false">Assumptions!$C$66</f>
        <v>0.3193</v>
      </c>
      <c r="D23" s="37" t="n">
        <f aca="false">Assumptions!$C$66</f>
        <v>0.3193</v>
      </c>
      <c r="E23" s="37" t="n">
        <f aca="false">Assumptions!$C$66</f>
        <v>0.3193</v>
      </c>
      <c r="F23" s="37" t="n">
        <f aca="false">Assumptions!$C$66</f>
        <v>0.3193</v>
      </c>
      <c r="G23" s="37" t="n">
        <f aca="false">Assumptions!$C$66</f>
        <v>0.3193</v>
      </c>
      <c r="H23" s="37" t="n">
        <f aca="false">Assumptions!$C$66</f>
        <v>0.3193</v>
      </c>
      <c r="I23" s="37" t="n">
        <f aca="false">Assumptions!$C$66</f>
        <v>0.3193</v>
      </c>
      <c r="J23" s="37" t="n">
        <f aca="false">Assumptions!$C$66</f>
        <v>0.3193</v>
      </c>
      <c r="K23" s="37" t="n">
        <f aca="false">Assumptions!$C$66</f>
        <v>0.3193</v>
      </c>
      <c r="L23" s="37" t="n">
        <f aca="false">Assumptions!$C$66</f>
        <v>0.3193</v>
      </c>
      <c r="M23" s="37" t="n">
        <f aca="false">Assumptions!$C$66</f>
        <v>0.3193</v>
      </c>
      <c r="N23" s="37" t="n">
        <f aca="false">Assumptions!$C$66</f>
        <v>0.3193</v>
      </c>
      <c r="O23" s="62" t="n">
        <f aca="false">IFERROR(O24/O12,0)</f>
        <v>0.3193</v>
      </c>
      <c r="P23" s="8" t="s">
        <v>683</v>
      </c>
      <c r="Q23" s="8" t="s">
        <v>709</v>
      </c>
    </row>
    <row r="24" customFormat="false" ht="15" hidden="false" customHeight="false" outlineLevel="0" collapsed="false">
      <c r="A24" s="8" t="s">
        <v>361</v>
      </c>
      <c r="B24" s="8" t="s">
        <v>318</v>
      </c>
      <c r="C24" s="31" t="n">
        <f aca="false">C12*C23</f>
        <v>8.9404</v>
      </c>
      <c r="D24" s="31" t="n">
        <f aca="false">D12*D23</f>
        <v>8.9404</v>
      </c>
      <c r="E24" s="31" t="n">
        <f aca="false">E12*E23</f>
        <v>8.9404</v>
      </c>
      <c r="F24" s="31" t="n">
        <f aca="false">F12*F23</f>
        <v>8.9404</v>
      </c>
      <c r="G24" s="31" t="n">
        <f aca="false">G12*G23</f>
        <v>8.9404</v>
      </c>
      <c r="H24" s="31" t="n">
        <f aca="false">H12*H23</f>
        <v>8.9404</v>
      </c>
      <c r="I24" s="31" t="n">
        <f aca="false">I12*I23</f>
        <v>8.9404</v>
      </c>
      <c r="J24" s="31" t="n">
        <f aca="false">J12*J23</f>
        <v>8.9404</v>
      </c>
      <c r="K24" s="31" t="n">
        <f aca="false">K12*K23</f>
        <v>8.9404</v>
      </c>
      <c r="L24" s="31" t="n">
        <f aca="false">L12*L23</f>
        <v>8.9404</v>
      </c>
      <c r="M24" s="31" t="n">
        <f aca="false">M12*M23</f>
        <v>8.9404</v>
      </c>
      <c r="N24" s="31" t="n">
        <f aca="false">N12*N23</f>
        <v>8.9404</v>
      </c>
      <c r="O24" s="43" t="n">
        <f aca="false">SUM(C24:N24)</f>
        <v>107.2848</v>
      </c>
      <c r="P24" s="8" t="s">
        <v>683</v>
      </c>
      <c r="Q24" s="8" t="s">
        <v>362</v>
      </c>
    </row>
    <row r="25" customFormat="false" ht="15" hidden="false" customHeight="false" outlineLevel="0" collapsed="false">
      <c r="A25" s="8" t="s">
        <v>363</v>
      </c>
      <c r="B25" s="8" t="s">
        <v>318</v>
      </c>
      <c r="C25" s="31" t="n">
        <f aca="false">Assumptions!$C$45</f>
        <v>9.5</v>
      </c>
      <c r="D25" s="31" t="n">
        <f aca="false">Assumptions!$C$45</f>
        <v>9.5</v>
      </c>
      <c r="E25" s="31" t="n">
        <f aca="false">Assumptions!$C$45</f>
        <v>9.5</v>
      </c>
      <c r="F25" s="31" t="n">
        <f aca="false">Assumptions!$C$45</f>
        <v>9.5</v>
      </c>
      <c r="G25" s="31" t="n">
        <f aca="false">Assumptions!$C$45</f>
        <v>9.5</v>
      </c>
      <c r="H25" s="31" t="n">
        <f aca="false">Assumptions!$C$45</f>
        <v>9.5</v>
      </c>
      <c r="I25" s="31" t="n">
        <f aca="false">Assumptions!$C$45</f>
        <v>9.5</v>
      </c>
      <c r="J25" s="31" t="n">
        <f aca="false">Assumptions!$C$45</f>
        <v>9.5</v>
      </c>
      <c r="K25" s="31" t="n">
        <f aca="false">Assumptions!$C$45</f>
        <v>9.5</v>
      </c>
      <c r="L25" s="31" t="n">
        <f aca="false">Assumptions!$C$45</f>
        <v>9.5</v>
      </c>
      <c r="M25" s="31" t="n">
        <f aca="false">Assumptions!$C$45</f>
        <v>9.5</v>
      </c>
      <c r="N25" s="31" t="n">
        <f aca="false">Assumptions!$C$45</f>
        <v>9.5</v>
      </c>
      <c r="O25" s="43" t="n">
        <f aca="false">SUM(C25:N25)</f>
        <v>114</v>
      </c>
      <c r="P25" s="8" t="s">
        <v>683</v>
      </c>
      <c r="Q25" s="8" t="s">
        <v>710</v>
      </c>
    </row>
    <row r="26" customFormat="false" ht="15" hidden="false" customHeight="false" outlineLevel="0" collapsed="false">
      <c r="A26" s="8" t="s">
        <v>711</v>
      </c>
      <c r="B26" s="8" t="s">
        <v>318</v>
      </c>
      <c r="C26" s="31" t="n">
        <f aca="false">C24+C25</f>
        <v>18.4404</v>
      </c>
      <c r="D26" s="31" t="n">
        <f aca="false">D24+D25</f>
        <v>18.4404</v>
      </c>
      <c r="E26" s="31" t="n">
        <f aca="false">E24+E25</f>
        <v>18.4404</v>
      </c>
      <c r="F26" s="31" t="n">
        <f aca="false">F24+F25</f>
        <v>18.4404</v>
      </c>
      <c r="G26" s="31" t="n">
        <f aca="false">G24+G25</f>
        <v>18.4404</v>
      </c>
      <c r="H26" s="31" t="n">
        <f aca="false">H24+H25</f>
        <v>18.4404</v>
      </c>
      <c r="I26" s="31" t="n">
        <f aca="false">I24+I25</f>
        <v>18.4404</v>
      </c>
      <c r="J26" s="31" t="n">
        <f aca="false">J24+J25</f>
        <v>18.4404</v>
      </c>
      <c r="K26" s="31" t="n">
        <f aca="false">K24+K25</f>
        <v>18.4404</v>
      </c>
      <c r="L26" s="31" t="n">
        <f aca="false">L24+L25</f>
        <v>18.4404</v>
      </c>
      <c r="M26" s="31" t="n">
        <f aca="false">M24+M25</f>
        <v>18.4404</v>
      </c>
      <c r="N26" s="31" t="n">
        <f aca="false">N24+N25</f>
        <v>18.4404</v>
      </c>
      <c r="O26" s="43" t="n">
        <f aca="false">SUM(C26:N26)</f>
        <v>221.2848</v>
      </c>
      <c r="P26" s="8" t="s">
        <v>683</v>
      </c>
      <c r="Q26" s="8" t="s">
        <v>366</v>
      </c>
    </row>
    <row r="27" customFormat="false" ht="15" hidden="false" customHeight="false" outlineLevel="0" collapsed="false">
      <c r="A27" s="8" t="s">
        <v>371</v>
      </c>
      <c r="B27" s="8" t="s">
        <v>336</v>
      </c>
      <c r="C27" s="37" t="n">
        <f aca="false">IFERROR(C26/C14,0)</f>
        <v>0.715854037267081</v>
      </c>
      <c r="D27" s="37" t="n">
        <f aca="false">IFERROR(D26/D14,0)</f>
        <v>0.715854037267081</v>
      </c>
      <c r="E27" s="37" t="n">
        <f aca="false">IFERROR(E26/E14,0)</f>
        <v>0.715854037267081</v>
      </c>
      <c r="F27" s="37" t="n">
        <f aca="false">IFERROR(F26/F14,0)</f>
        <v>0.715854037267081</v>
      </c>
      <c r="G27" s="37" t="n">
        <f aca="false">IFERROR(G26/G14,0)</f>
        <v>0.715854037267081</v>
      </c>
      <c r="H27" s="37" t="n">
        <f aca="false">IFERROR(H26/H14,0)</f>
        <v>0.715854037267081</v>
      </c>
      <c r="I27" s="37" t="n">
        <f aca="false">IFERROR(I26/I14,0)</f>
        <v>0.715854037267081</v>
      </c>
      <c r="J27" s="37" t="n">
        <f aca="false">IFERROR(J26/J14,0)</f>
        <v>0.715854037267081</v>
      </c>
      <c r="K27" s="37" t="n">
        <f aca="false">IFERROR(K26/K14,0)</f>
        <v>0.715854037267081</v>
      </c>
      <c r="L27" s="37" t="n">
        <f aca="false">IFERROR(L26/L14,0)</f>
        <v>0.715854037267081</v>
      </c>
      <c r="M27" s="37" t="n">
        <f aca="false">IFERROR(M26/M14,0)</f>
        <v>0.715854037267081</v>
      </c>
      <c r="N27" s="37" t="n">
        <f aca="false">IFERROR(N26/N14,0)</f>
        <v>0.715854037267081</v>
      </c>
      <c r="O27" s="62" t="n">
        <f aca="false">IFERROR(O26/O14,0)</f>
        <v>0.715854037267081</v>
      </c>
      <c r="P27" s="8" t="s">
        <v>683</v>
      </c>
      <c r="Q27" s="8" t="s">
        <v>712</v>
      </c>
    </row>
    <row r="28" customFormat="false" ht="15" hidden="false" customHeight="false" outlineLevel="0" collapsed="false">
      <c r="A28" s="8" t="s">
        <v>713</v>
      </c>
      <c r="B28" s="8" t="s">
        <v>318</v>
      </c>
      <c r="C28" s="31" t="n">
        <f aca="false">Assumptions!$C$68</f>
        <v>16.5165018008702</v>
      </c>
      <c r="D28" s="31" t="n">
        <f aca="false">C31</f>
        <v>16.9556303699544</v>
      </c>
      <c r="E28" s="31" t="n">
        <f aca="false">D31</f>
        <v>17.4706509333023</v>
      </c>
      <c r="F28" s="31" t="n">
        <f aca="false">E31</f>
        <v>17.4677041905422</v>
      </c>
      <c r="G28" s="31" t="n">
        <f aca="false">F31</f>
        <v>18.4660366772463</v>
      </c>
      <c r="H28" s="31" t="n">
        <f aca="false">G31</f>
        <v>19.1513065181074</v>
      </c>
      <c r="I28" s="31" t="n">
        <f aca="false">H31</f>
        <v>18.9637895458674</v>
      </c>
      <c r="J28" s="31" t="n">
        <f aca="false">I31</f>
        <v>18.9675017171586</v>
      </c>
      <c r="K28" s="31" t="n">
        <f aca="false">J31</f>
        <v>19.3352240460466</v>
      </c>
      <c r="L28" s="31" t="n">
        <f aca="false">K31</f>
        <v>20.7794107185604</v>
      </c>
      <c r="M28" s="31" t="n">
        <f aca="false">L31</f>
        <v>21.8672115662961</v>
      </c>
      <c r="N28" s="31" t="n">
        <f aca="false">M31</f>
        <v>22.4190935603838</v>
      </c>
      <c r="O28" s="43" t="n">
        <f aca="false">C28</f>
        <v>16.5165018008702</v>
      </c>
      <c r="P28" s="8" t="s">
        <v>683</v>
      </c>
      <c r="Q28" s="8" t="s">
        <v>714</v>
      </c>
    </row>
    <row r="29" customFormat="false" ht="15" hidden="false" customHeight="false" outlineLevel="0" collapsed="false">
      <c r="A29" s="8" t="s">
        <v>715</v>
      </c>
      <c r="B29" s="8" t="s">
        <v>336</v>
      </c>
      <c r="C29" s="37" t="n">
        <f aca="false">IFERROR((C28+C26)/C16,0)</f>
        <v>0.750419181995352</v>
      </c>
      <c r="D29" s="37" t="n">
        <f aca="false">IFERROR((D28+D26)/D16,0)</f>
        <v>0.732005360005453</v>
      </c>
      <c r="E29" s="37" t="n">
        <f aca="false">IFERROR((E28+E26)/E16,0)</f>
        <v>0.723621628176076</v>
      </c>
      <c r="F29" s="37" t="n">
        <f aca="false">IFERROR((F28+F26)/F16,0)</f>
        <v>0.719611687615078</v>
      </c>
      <c r="G29" s="37" t="n">
        <f aca="false">IFERROR((G28+G26)/G16,0)</f>
        <v>0.717729249298948</v>
      </c>
      <c r="H29" s="37" t="n">
        <f aca="false">IFERROR((H28+H26)/H16,0)</f>
        <v>0.716808148557687</v>
      </c>
      <c r="I29" s="37" t="n">
        <f aca="false">IFERROR((I28+I26)/I16,0)</f>
        <v>0.716337450613279</v>
      </c>
      <c r="J29" s="37" t="n">
        <f aca="false">IFERROR((J28+J26)/J16,0)</f>
        <v>0.716099068176331</v>
      </c>
      <c r="K29" s="37" t="n">
        <f aca="false">IFERROR((K28+K26)/K16,0)</f>
        <v>0.715979433899039</v>
      </c>
      <c r="L29" s="37" t="n">
        <f aca="false">IFERROR((L28+L26)/L16,0)</f>
        <v>0.715920469345166</v>
      </c>
      <c r="M29" s="37" t="n">
        <f aca="false">IFERROR((M28+M26)/M16,0)</f>
        <v>0.715890075687062</v>
      </c>
      <c r="N29" s="37" t="n">
        <f aca="false">IFERROR((N28+N26)/N16,0)</f>
        <v>0.715873810648548</v>
      </c>
      <c r="P29" s="8" t="s">
        <v>683</v>
      </c>
      <c r="Q29" s="8" t="s">
        <v>716</v>
      </c>
    </row>
    <row r="30" customFormat="false" ht="15" hidden="false" customHeight="false" outlineLevel="0" collapsed="false">
      <c r="A30" s="8" t="s">
        <v>365</v>
      </c>
      <c r="B30" s="8" t="s">
        <v>318</v>
      </c>
      <c r="C30" s="31" t="n">
        <f aca="false">C17*C29</f>
        <v>18.0012714309157</v>
      </c>
      <c r="D30" s="31" t="n">
        <f aca="false">D17*D29</f>
        <v>17.9253794366522</v>
      </c>
      <c r="E30" s="31" t="n">
        <f aca="false">E17*E29</f>
        <v>18.4433467427601</v>
      </c>
      <c r="F30" s="31" t="n">
        <f aca="false">F17*F29</f>
        <v>17.4420675132959</v>
      </c>
      <c r="G30" s="31" t="n">
        <f aca="false">G17*G29</f>
        <v>17.7551301591389</v>
      </c>
      <c r="H30" s="31" t="n">
        <f aca="false">H17*H29</f>
        <v>18.62791697224</v>
      </c>
      <c r="I30" s="31" t="n">
        <f aca="false">I17*I29</f>
        <v>18.4366878287088</v>
      </c>
      <c r="J30" s="31" t="n">
        <f aca="false">J17*J29</f>
        <v>18.072677671112</v>
      </c>
      <c r="K30" s="31" t="n">
        <f aca="false">K17*K29</f>
        <v>16.9962133274862</v>
      </c>
      <c r="L30" s="31" t="n">
        <f aca="false">L17*L29</f>
        <v>17.3525991522643</v>
      </c>
      <c r="M30" s="31" t="n">
        <f aca="false">M17*M29</f>
        <v>17.8885180059123</v>
      </c>
      <c r="N30" s="31" t="n">
        <f aca="false">N17*N29</f>
        <v>19.3191605046542</v>
      </c>
      <c r="O30" s="43" t="n">
        <f aca="false">SUM(C30:N30)</f>
        <v>216.260968745141</v>
      </c>
      <c r="P30" s="8" t="s">
        <v>683</v>
      </c>
      <c r="Q30" s="8" t="s">
        <v>717</v>
      </c>
    </row>
    <row r="31" customFormat="false" ht="15" hidden="false" customHeight="false" outlineLevel="0" collapsed="false">
      <c r="A31" s="8" t="s">
        <v>718</v>
      </c>
      <c r="B31" s="8" t="s">
        <v>318</v>
      </c>
      <c r="C31" s="31" t="n">
        <f aca="false">C28+C26-C30</f>
        <v>16.9556303699544</v>
      </c>
      <c r="D31" s="31" t="n">
        <f aca="false">D28+D26-D30</f>
        <v>17.4706509333023</v>
      </c>
      <c r="E31" s="31" t="n">
        <f aca="false">E28+E26-E30</f>
        <v>17.4677041905422</v>
      </c>
      <c r="F31" s="31" t="n">
        <f aca="false">F28+F26-F30</f>
        <v>18.4660366772463</v>
      </c>
      <c r="G31" s="31" t="n">
        <f aca="false">G28+G26-G30</f>
        <v>19.1513065181074</v>
      </c>
      <c r="H31" s="31" t="n">
        <f aca="false">H28+H26-H30</f>
        <v>18.9637895458674</v>
      </c>
      <c r="I31" s="31" t="n">
        <f aca="false">I28+I26-I30</f>
        <v>18.9675017171586</v>
      </c>
      <c r="J31" s="31" t="n">
        <f aca="false">J28+J26-J30</f>
        <v>19.3352240460466</v>
      </c>
      <c r="K31" s="31" t="n">
        <f aca="false">K28+K26-K30</f>
        <v>20.7794107185604</v>
      </c>
      <c r="L31" s="31" t="n">
        <f aca="false">L28+L26-L30</f>
        <v>21.8672115662961</v>
      </c>
      <c r="M31" s="31" t="n">
        <f aca="false">M28+M26-M30</f>
        <v>22.4190935603838</v>
      </c>
      <c r="N31" s="31" t="n">
        <f aca="false">N28+N26-N30</f>
        <v>21.5403330557296</v>
      </c>
      <c r="O31" s="43" t="n">
        <f aca="false">N31</f>
        <v>21.5403330557296</v>
      </c>
      <c r="P31" s="8" t="s">
        <v>683</v>
      </c>
      <c r="Q31" s="8" t="s">
        <v>719</v>
      </c>
    </row>
    <row r="32" customFormat="false" ht="15" hidden="false" customHeight="false" outlineLevel="0" collapsed="false">
      <c r="A32" s="8" t="s">
        <v>720</v>
      </c>
      <c r="B32" s="8" t="s">
        <v>318</v>
      </c>
      <c r="C32" s="31" t="n">
        <f aca="false">C22-C17*IFERROR(C23/C13,0)</f>
        <v>39.1713097905652</v>
      </c>
      <c r="D32" s="31" t="n">
        <f aca="false">D22-D17*IFERROR(D23/D13,0)</f>
        <v>39.9873787445354</v>
      </c>
      <c r="E32" s="31" t="n">
        <f aca="false">E22-E17*IFERROR(E23/E13,0)</f>
        <v>41.6195166524756</v>
      </c>
      <c r="F32" s="31" t="n">
        <f aca="false">F22-F17*IFERROR(F23/F13,0)</f>
        <v>39.5793442675503</v>
      </c>
      <c r="G32" s="31" t="n">
        <f aca="false">G22-G17*IFERROR(G23/G13,0)</f>
        <v>40.3954132215204</v>
      </c>
      <c r="H32" s="31" t="n">
        <f aca="false">H22-H17*IFERROR(H23/H13,0)</f>
        <v>42.4355856064457</v>
      </c>
      <c r="I32" s="31" t="n">
        <f aca="false">I22-I17*IFERROR(I23/I13,0)</f>
        <v>42.0275511294606</v>
      </c>
      <c r="J32" s="31" t="n">
        <f aca="false">J22-J17*IFERROR(J23/J13,0)</f>
        <v>41.2114821754905</v>
      </c>
      <c r="K32" s="31" t="n">
        <f aca="false">K22-K17*IFERROR(K23/K13,0)</f>
        <v>38.7632753135802</v>
      </c>
      <c r="L32" s="31" t="n">
        <f aca="false">L22-L17*IFERROR(L23/L13,0)</f>
        <v>39.5793442675503</v>
      </c>
      <c r="M32" s="31" t="n">
        <f aca="false">M22-M17*IFERROR(M23/M13,0)</f>
        <v>40.8034476985055</v>
      </c>
      <c r="N32" s="31" t="n">
        <f aca="false">N22-N17*IFERROR(N23/N13,0)</f>
        <v>44.0677235143859</v>
      </c>
      <c r="O32" s="43" t="n">
        <f aca="false">SUM(C32:N32)</f>
        <v>489.641372382065</v>
      </c>
      <c r="P32" s="8" t="s">
        <v>683</v>
      </c>
      <c r="Q32" s="8" t="s">
        <v>721</v>
      </c>
    </row>
    <row r="33" customFormat="false" ht="15" hidden="false" customHeight="false" outlineLevel="0" collapsed="false">
      <c r="A33" s="8" t="s">
        <v>722</v>
      </c>
      <c r="B33" s="8" t="s">
        <v>285</v>
      </c>
      <c r="C33" s="36" t="n">
        <f aca="false">IFERROR(C32/C22,0)</f>
        <v>0.824714536671058</v>
      </c>
      <c r="D33" s="36" t="n">
        <f aca="false">IFERROR(D32/D22,0)</f>
        <v>0.824714536671058</v>
      </c>
      <c r="E33" s="36" t="n">
        <f aca="false">IFERROR(E32/E22,0)</f>
        <v>0.824714536671058</v>
      </c>
      <c r="F33" s="36" t="n">
        <f aca="false">IFERROR(F32/F22,0)</f>
        <v>0.824714536671058</v>
      </c>
      <c r="G33" s="36" t="n">
        <f aca="false">IFERROR(G32/G22,0)</f>
        <v>0.824714536671058</v>
      </c>
      <c r="H33" s="36" t="n">
        <f aca="false">IFERROR(H32/H22,0)</f>
        <v>0.824714536671058</v>
      </c>
      <c r="I33" s="36" t="n">
        <f aca="false">IFERROR(I32/I22,0)</f>
        <v>0.824714536671058</v>
      </c>
      <c r="J33" s="36" t="n">
        <f aca="false">IFERROR(J32/J22,0)</f>
        <v>0.824714536671058</v>
      </c>
      <c r="K33" s="36" t="n">
        <f aca="false">IFERROR(K32/K22,0)</f>
        <v>0.824714536671058</v>
      </c>
      <c r="L33" s="36" t="n">
        <f aca="false">IFERROR(L32/L22,0)</f>
        <v>0.824714536671058</v>
      </c>
      <c r="M33" s="36" t="n">
        <f aca="false">IFERROR(M32/M22,0)</f>
        <v>0.824714536671058</v>
      </c>
      <c r="N33" s="36" t="n">
        <f aca="false">IFERROR(N32/N22,0)</f>
        <v>0.824714536671058</v>
      </c>
      <c r="O33" s="59" t="n">
        <f aca="false">IFERROR(O32/O22,0)</f>
        <v>0.824714536671058</v>
      </c>
      <c r="P33" s="8" t="s">
        <v>683</v>
      </c>
      <c r="Q33" s="8" t="s">
        <v>723</v>
      </c>
    </row>
    <row r="34" customFormat="false" ht="15" hidden="false" customHeight="false" outlineLevel="0" collapsed="false">
      <c r="A34" s="45" t="s">
        <v>367</v>
      </c>
      <c r="B34" s="46" t="s">
        <v>318</v>
      </c>
      <c r="C34" s="63" t="n">
        <f aca="false">C22-C30</f>
        <v>29.49553873649</v>
      </c>
      <c r="D34" s="63" t="n">
        <f aca="false">D22-D30</f>
        <v>30.5609476092412</v>
      </c>
      <c r="E34" s="63" t="n">
        <f aca="false">E22-E30</f>
        <v>32.0220140601085</v>
      </c>
      <c r="F34" s="63" t="n">
        <f aca="false">F22-F30</f>
        <v>30.5495010933536</v>
      </c>
      <c r="G34" s="63" t="n">
        <f aca="false">G22-G30</f>
        <v>31.2259553259982</v>
      </c>
      <c r="H34" s="63" t="n">
        <f aca="false">H22-H30</f>
        <v>32.8269607091162</v>
      </c>
      <c r="I34" s="63" t="n">
        <f aca="false">I22-I30</f>
        <v>32.5234314134036</v>
      </c>
      <c r="J34" s="63" t="n">
        <f aca="false">J22-J30</f>
        <v>31.8979246925128</v>
      </c>
      <c r="K34" s="63" t="n">
        <f aca="false">K22-K30</f>
        <v>30.0058384006757</v>
      </c>
      <c r="L34" s="63" t="n">
        <f aca="false">L22-L30</f>
        <v>30.6389694543853</v>
      </c>
      <c r="M34" s="63" t="n">
        <f aca="false">M22-M30</f>
        <v>31.5873259184687</v>
      </c>
      <c r="N34" s="63" t="n">
        <f aca="false">N22-N30</f>
        <v>34.1147509336772</v>
      </c>
      <c r="O34" s="64" t="n">
        <f aca="false">SUM(C34:N34)</f>
        <v>377.449158347431</v>
      </c>
      <c r="P34" s="8" t="s">
        <v>683</v>
      </c>
      <c r="Q34" s="8" t="s">
        <v>368</v>
      </c>
    </row>
    <row r="35" customFormat="false" ht="15" hidden="false" customHeight="false" outlineLevel="0" collapsed="false">
      <c r="A35" s="8" t="s">
        <v>724</v>
      </c>
      <c r="B35" s="8" t="s">
        <v>285</v>
      </c>
      <c r="C35" s="36" t="n">
        <f aca="false">IFERROR(C34/C22,0)</f>
        <v>0.621000413133661</v>
      </c>
      <c r="D35" s="36" t="n">
        <f aca="false">IFERROR(D34/D22,0)</f>
        <v>0.630300323229569</v>
      </c>
      <c r="E35" s="36" t="n">
        <f aca="false">IFERROR(E34/E22,0)</f>
        <v>0.634534531224204</v>
      </c>
      <c r="F35" s="36" t="n">
        <f aca="false">IFERROR(F34/F22,0)</f>
        <v>0.636559753729759</v>
      </c>
      <c r="G35" s="36" t="n">
        <f aca="false">IFERROR(G34/G22,0)</f>
        <v>0.637510480152047</v>
      </c>
      <c r="H35" s="36" t="n">
        <f aca="false">IFERROR(H34/H22,0)</f>
        <v>0.637975682546623</v>
      </c>
      <c r="I35" s="36" t="n">
        <f aca="false">IFERROR(I34/I22,0)</f>
        <v>0.638213408781172</v>
      </c>
      <c r="J35" s="36" t="n">
        <f aca="false">IFERROR(J34/J22,0)</f>
        <v>0.638333803951348</v>
      </c>
      <c r="K35" s="36" t="n">
        <f aca="false">IFERROR(K34/K22,0)</f>
        <v>0.638394225303516</v>
      </c>
      <c r="L35" s="36" t="n">
        <f aca="false">IFERROR(L34/L22,0)</f>
        <v>0.63842400538123</v>
      </c>
      <c r="M35" s="36" t="n">
        <f aca="false">IFERROR(M34/M22,0)</f>
        <v>0.638439355713605</v>
      </c>
      <c r="N35" s="36" t="n">
        <f aca="false">IFERROR(N34/N22,0)</f>
        <v>0.638447570379521</v>
      </c>
      <c r="O35" s="59" t="n">
        <f aca="false">IFERROR(O34/O22,0)</f>
        <v>0.635746538796329</v>
      </c>
      <c r="P35" s="8" t="s">
        <v>683</v>
      </c>
      <c r="Q35" s="8" t="s">
        <v>725</v>
      </c>
    </row>
    <row r="37" customFormat="false" ht="15" hidden="false" customHeight="false" outlineLevel="0" collapsed="false">
      <c r="A37" s="16" t="s">
        <v>726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customFormat="false" ht="15" hidden="false" customHeight="false" outlineLevel="0" collapsed="false">
      <c r="A38" s="8" t="s">
        <v>682</v>
      </c>
      <c r="B38" s="8" t="s">
        <v>644</v>
      </c>
      <c r="C38" s="56" t="n">
        <f aca="false">Assumptions!C$72</f>
        <v>0.96</v>
      </c>
      <c r="D38" s="56" t="n">
        <f aca="false">Assumptions!D$72</f>
        <v>0.98</v>
      </c>
      <c r="E38" s="56" t="n">
        <f aca="false">Assumptions!E$72</f>
        <v>1.02</v>
      </c>
      <c r="F38" s="56" t="n">
        <f aca="false">Assumptions!F$72</f>
        <v>0.97</v>
      </c>
      <c r="G38" s="56" t="n">
        <f aca="false">Assumptions!G$72</f>
        <v>0.99</v>
      </c>
      <c r="H38" s="56" t="n">
        <f aca="false">Assumptions!H$72</f>
        <v>1.04</v>
      </c>
      <c r="I38" s="56" t="n">
        <f aca="false">Assumptions!I$72</f>
        <v>1.03</v>
      </c>
      <c r="J38" s="56" t="n">
        <f aca="false">Assumptions!J$72</f>
        <v>1.01</v>
      </c>
      <c r="K38" s="56" t="n">
        <f aca="false">Assumptions!K$72</f>
        <v>0.95</v>
      </c>
      <c r="L38" s="56" t="n">
        <f aca="false">Assumptions!L$72</f>
        <v>0.97</v>
      </c>
      <c r="M38" s="56" t="n">
        <f aca="false">Assumptions!M$72</f>
        <v>1</v>
      </c>
      <c r="N38" s="56" t="n">
        <f aca="false">Assumptions!N$72</f>
        <v>1.08</v>
      </c>
      <c r="O38" s="57" t="n">
        <f aca="false">SUM(C38:N38)</f>
        <v>12</v>
      </c>
      <c r="P38" s="8" t="s">
        <v>683</v>
      </c>
      <c r="Q38" s="8" t="s">
        <v>684</v>
      </c>
    </row>
    <row r="39" customFormat="false" ht="15" hidden="false" customHeight="false" outlineLevel="0" collapsed="false">
      <c r="A39" s="8" t="s">
        <v>685</v>
      </c>
      <c r="B39" s="8" t="s">
        <v>355</v>
      </c>
      <c r="C39" s="35" t="n">
        <f aca="false">Assumptions!$D$62*C38/12</f>
        <v>32.4277015128047</v>
      </c>
      <c r="D39" s="35" t="n">
        <f aca="false">Assumptions!$D$62*D38/12</f>
        <v>33.1032786276548</v>
      </c>
      <c r="E39" s="35" t="n">
        <f aca="false">Assumptions!$D$62*E38/12</f>
        <v>34.454432857355</v>
      </c>
      <c r="F39" s="35" t="n">
        <f aca="false">Assumptions!$D$62*F38/12</f>
        <v>32.7654900702298</v>
      </c>
      <c r="G39" s="35" t="n">
        <f aca="false">Assumptions!$D$62*G38/12</f>
        <v>33.4410671850799</v>
      </c>
      <c r="H39" s="35" t="n">
        <f aca="false">Assumptions!$D$62*H38/12</f>
        <v>35.1300099722051</v>
      </c>
      <c r="I39" s="35" t="n">
        <f aca="false">Assumptions!$D$62*I38/12</f>
        <v>34.7922214147801</v>
      </c>
      <c r="J39" s="35" t="n">
        <f aca="false">Assumptions!$D$62*J38/12</f>
        <v>34.11664429993</v>
      </c>
      <c r="K39" s="35" t="n">
        <f aca="false">Assumptions!$D$62*K38/12</f>
        <v>32.0899129553797</v>
      </c>
      <c r="L39" s="35" t="n">
        <f aca="false">Assumptions!$D$62*L38/12</f>
        <v>32.7654900702298</v>
      </c>
      <c r="M39" s="35" t="n">
        <f aca="false">Assumptions!$D$62*M38/12</f>
        <v>33.7788557425049</v>
      </c>
      <c r="N39" s="35" t="n">
        <f aca="false">Assumptions!$D$62*N38/12</f>
        <v>36.4811642019053</v>
      </c>
      <c r="O39" s="58" t="n">
        <f aca="false">SUM(C39:N39)</f>
        <v>405.346268910059</v>
      </c>
      <c r="P39" s="8" t="s">
        <v>683</v>
      </c>
      <c r="Q39" s="8" t="s">
        <v>686</v>
      </c>
    </row>
    <row r="40" customFormat="false" ht="15" hidden="false" customHeight="false" outlineLevel="0" collapsed="false">
      <c r="A40" s="8" t="s">
        <v>345</v>
      </c>
      <c r="B40" s="8" t="s">
        <v>355</v>
      </c>
      <c r="C40" s="35" t="n">
        <f aca="false">Assumptions!$D$46</f>
        <v>46</v>
      </c>
      <c r="D40" s="35" t="n">
        <f aca="false">Assumptions!$D$46</f>
        <v>46</v>
      </c>
      <c r="E40" s="35" t="n">
        <f aca="false">Assumptions!$D$46</f>
        <v>46</v>
      </c>
      <c r="F40" s="35" t="n">
        <f aca="false">Assumptions!$D$46</f>
        <v>46</v>
      </c>
      <c r="G40" s="35" t="n">
        <f aca="false">Assumptions!$D$46</f>
        <v>46</v>
      </c>
      <c r="H40" s="35" t="n">
        <f aca="false">Assumptions!$D$46</f>
        <v>46</v>
      </c>
      <c r="I40" s="35" t="n">
        <f aca="false">Assumptions!$D$46</f>
        <v>46</v>
      </c>
      <c r="J40" s="35" t="n">
        <f aca="false">Assumptions!$D$46</f>
        <v>46</v>
      </c>
      <c r="K40" s="35" t="n">
        <f aca="false">Assumptions!$D$46</f>
        <v>46</v>
      </c>
      <c r="L40" s="35" t="n">
        <f aca="false">Assumptions!$D$46</f>
        <v>46</v>
      </c>
      <c r="M40" s="35" t="n">
        <f aca="false">Assumptions!$D$46</f>
        <v>46</v>
      </c>
      <c r="N40" s="35" t="n">
        <f aca="false">Assumptions!$D$46</f>
        <v>46</v>
      </c>
      <c r="O40" s="58" t="n">
        <f aca="false">SUM(C40:N40)</f>
        <v>552</v>
      </c>
      <c r="P40" s="8" t="s">
        <v>683</v>
      </c>
      <c r="Q40" s="8" t="s">
        <v>687</v>
      </c>
    </row>
    <row r="41" customFormat="false" ht="15" hidden="false" customHeight="false" outlineLevel="0" collapsed="false">
      <c r="A41" s="8" t="s">
        <v>688</v>
      </c>
      <c r="B41" s="8" t="s">
        <v>285</v>
      </c>
      <c r="C41" s="36" t="n">
        <f aca="false">Assumptions!$D$65</f>
        <v>0.8</v>
      </c>
      <c r="D41" s="36" t="n">
        <f aca="false">Assumptions!$D$65</f>
        <v>0.8</v>
      </c>
      <c r="E41" s="36" t="n">
        <f aca="false">Assumptions!$D$65</f>
        <v>0.8</v>
      </c>
      <c r="F41" s="36" t="n">
        <f aca="false">Assumptions!$D$65</f>
        <v>0.8</v>
      </c>
      <c r="G41" s="36" t="n">
        <f aca="false">Assumptions!$D$65</f>
        <v>0.8</v>
      </c>
      <c r="H41" s="36" t="n">
        <f aca="false">Assumptions!$D$65</f>
        <v>0.8</v>
      </c>
      <c r="I41" s="36" t="n">
        <f aca="false">Assumptions!$D$65</f>
        <v>0.8</v>
      </c>
      <c r="J41" s="36" t="n">
        <f aca="false">Assumptions!$D$65</f>
        <v>0.8</v>
      </c>
      <c r="K41" s="36" t="n">
        <f aca="false">Assumptions!$D$65</f>
        <v>0.8</v>
      </c>
      <c r="L41" s="36" t="n">
        <f aca="false">Assumptions!$D$65</f>
        <v>0.8</v>
      </c>
      <c r="M41" s="36" t="n">
        <f aca="false">Assumptions!$D$65</f>
        <v>0.8</v>
      </c>
      <c r="N41" s="36" t="n">
        <f aca="false">Assumptions!$D$65</f>
        <v>0.8</v>
      </c>
      <c r="O41" s="59" t="n">
        <f aca="false">IFERROR(O42/O40,0)</f>
        <v>0.8</v>
      </c>
      <c r="P41" s="8" t="s">
        <v>683</v>
      </c>
      <c r="Q41" s="8" t="s">
        <v>689</v>
      </c>
    </row>
    <row r="42" customFormat="false" ht="15" hidden="false" customHeight="false" outlineLevel="0" collapsed="false">
      <c r="A42" s="8" t="s">
        <v>357</v>
      </c>
      <c r="B42" s="8" t="s">
        <v>355</v>
      </c>
      <c r="C42" s="35" t="n">
        <f aca="false">C40*C41</f>
        <v>36.8</v>
      </c>
      <c r="D42" s="35" t="n">
        <f aca="false">D40*D41</f>
        <v>36.8</v>
      </c>
      <c r="E42" s="35" t="n">
        <f aca="false">E40*E41</f>
        <v>36.8</v>
      </c>
      <c r="F42" s="35" t="n">
        <f aca="false">F40*F41</f>
        <v>36.8</v>
      </c>
      <c r="G42" s="35" t="n">
        <f aca="false">G40*G41</f>
        <v>36.8</v>
      </c>
      <c r="H42" s="35" t="n">
        <f aca="false">H40*H41</f>
        <v>36.8</v>
      </c>
      <c r="I42" s="35" t="n">
        <f aca="false">I40*I41</f>
        <v>36.8</v>
      </c>
      <c r="J42" s="35" t="n">
        <f aca="false">J40*J41</f>
        <v>36.8</v>
      </c>
      <c r="K42" s="35" t="n">
        <f aca="false">K40*K41</f>
        <v>36.8</v>
      </c>
      <c r="L42" s="35" t="n">
        <f aca="false">L40*L41</f>
        <v>36.8</v>
      </c>
      <c r="M42" s="35" t="n">
        <f aca="false">M40*M41</f>
        <v>36.8</v>
      </c>
      <c r="N42" s="35" t="n">
        <f aca="false">N40*N41</f>
        <v>36.8</v>
      </c>
      <c r="O42" s="58" t="n">
        <f aca="false">SUM(C42:N42)</f>
        <v>441.6</v>
      </c>
      <c r="P42" s="8" t="s">
        <v>683</v>
      </c>
      <c r="Q42" s="8" t="s">
        <v>690</v>
      </c>
    </row>
    <row r="43" customFormat="false" ht="15" hidden="false" customHeight="false" outlineLevel="0" collapsed="false">
      <c r="A43" s="8" t="s">
        <v>691</v>
      </c>
      <c r="B43" s="8" t="s">
        <v>285</v>
      </c>
      <c r="C43" s="36" t="n">
        <f aca="false">Assumptions!$D$64</f>
        <v>0.94</v>
      </c>
      <c r="D43" s="36" t="n">
        <f aca="false">Assumptions!$D$64</f>
        <v>0.94</v>
      </c>
      <c r="E43" s="36" t="n">
        <f aca="false">Assumptions!$D$64</f>
        <v>0.94</v>
      </c>
      <c r="F43" s="36" t="n">
        <f aca="false">Assumptions!$D$64</f>
        <v>0.94</v>
      </c>
      <c r="G43" s="36" t="n">
        <f aca="false">Assumptions!$D$64</f>
        <v>0.94</v>
      </c>
      <c r="H43" s="36" t="n">
        <f aca="false">Assumptions!$D$64</f>
        <v>0.94</v>
      </c>
      <c r="I43" s="36" t="n">
        <f aca="false">Assumptions!$D$64</f>
        <v>0.94</v>
      </c>
      <c r="J43" s="36" t="n">
        <f aca="false">Assumptions!$D$64</f>
        <v>0.94</v>
      </c>
      <c r="K43" s="36" t="n">
        <f aca="false">Assumptions!$D$64</f>
        <v>0.94</v>
      </c>
      <c r="L43" s="36" t="n">
        <f aca="false">Assumptions!$D$64</f>
        <v>0.94</v>
      </c>
      <c r="M43" s="36" t="n">
        <f aca="false">Assumptions!$D$64</f>
        <v>0.94</v>
      </c>
      <c r="N43" s="36" t="n">
        <f aca="false">Assumptions!$D$64</f>
        <v>0.94</v>
      </c>
      <c r="O43" s="59" t="n">
        <f aca="false">IFERROR(O44/O42,0)</f>
        <v>0.94</v>
      </c>
      <c r="P43" s="8" t="s">
        <v>683</v>
      </c>
      <c r="Q43" s="8" t="s">
        <v>692</v>
      </c>
    </row>
    <row r="44" customFormat="false" ht="15" hidden="false" customHeight="false" outlineLevel="0" collapsed="false">
      <c r="A44" s="8" t="s">
        <v>693</v>
      </c>
      <c r="B44" s="8" t="s">
        <v>355</v>
      </c>
      <c r="C44" s="35" t="n">
        <f aca="false">C42*C43</f>
        <v>34.592</v>
      </c>
      <c r="D44" s="35" t="n">
        <f aca="false">D42*D43</f>
        <v>34.592</v>
      </c>
      <c r="E44" s="35" t="n">
        <f aca="false">E42*E43</f>
        <v>34.592</v>
      </c>
      <c r="F44" s="35" t="n">
        <f aca="false">F42*F43</f>
        <v>34.592</v>
      </c>
      <c r="G44" s="35" t="n">
        <f aca="false">G42*G43</f>
        <v>34.592</v>
      </c>
      <c r="H44" s="35" t="n">
        <f aca="false">H42*H43</f>
        <v>34.592</v>
      </c>
      <c r="I44" s="35" t="n">
        <f aca="false">I42*I43</f>
        <v>34.592</v>
      </c>
      <c r="J44" s="35" t="n">
        <f aca="false">J42*J43</f>
        <v>34.592</v>
      </c>
      <c r="K44" s="35" t="n">
        <f aca="false">K42*K43</f>
        <v>34.592</v>
      </c>
      <c r="L44" s="35" t="n">
        <f aca="false">L42*L43</f>
        <v>34.592</v>
      </c>
      <c r="M44" s="35" t="n">
        <f aca="false">M42*M43</f>
        <v>34.592</v>
      </c>
      <c r="N44" s="35" t="n">
        <f aca="false">N42*N43</f>
        <v>34.592</v>
      </c>
      <c r="O44" s="58" t="n">
        <f aca="false">SUM(C44:N44)</f>
        <v>415.104</v>
      </c>
      <c r="P44" s="8" t="s">
        <v>683</v>
      </c>
      <c r="Q44" s="8" t="s">
        <v>694</v>
      </c>
    </row>
    <row r="45" customFormat="false" ht="15" hidden="false" customHeight="false" outlineLevel="0" collapsed="false">
      <c r="A45" s="8" t="s">
        <v>412</v>
      </c>
      <c r="B45" s="8" t="s">
        <v>355</v>
      </c>
      <c r="C45" s="35" t="n">
        <f aca="false">Assumptions!$D$67</f>
        <v>29.3729180369608</v>
      </c>
      <c r="D45" s="35" t="n">
        <f aca="false">C48</f>
        <v>31.5372165241561</v>
      </c>
      <c r="E45" s="35" t="n">
        <f aca="false">D48</f>
        <v>33.0259378965013</v>
      </c>
      <c r="F45" s="35" t="n">
        <f aca="false">E48</f>
        <v>33.1635050391462</v>
      </c>
      <c r="G45" s="35" t="n">
        <f aca="false">F48</f>
        <v>34.9900149689164</v>
      </c>
      <c r="H45" s="35" t="n">
        <f aca="false">G48</f>
        <v>36.1409477838366</v>
      </c>
      <c r="I45" s="35" t="n">
        <f aca="false">H48</f>
        <v>35.6029378116314</v>
      </c>
      <c r="J45" s="35" t="n">
        <f aca="false">I48</f>
        <v>35.4027163968514</v>
      </c>
      <c r="K45" s="35" t="n">
        <f aca="false">J48</f>
        <v>35.8780720969214</v>
      </c>
      <c r="L45" s="35" t="n">
        <f aca="false">K48</f>
        <v>38.3801591415417</v>
      </c>
      <c r="M45" s="35" t="n">
        <f aca="false">L48</f>
        <v>40.2066690713119</v>
      </c>
      <c r="N45" s="35" t="n">
        <f aca="false">M48</f>
        <v>41.019813328807</v>
      </c>
      <c r="O45" s="58" t="n">
        <f aca="false">C45</f>
        <v>29.3729180369608</v>
      </c>
      <c r="P45" s="8" t="s">
        <v>683</v>
      </c>
      <c r="Q45" s="8" t="s">
        <v>695</v>
      </c>
    </row>
    <row r="46" customFormat="false" ht="15" hidden="false" customHeight="false" outlineLevel="0" collapsed="false">
      <c r="A46" s="8" t="s">
        <v>696</v>
      </c>
      <c r="B46" s="8" t="s">
        <v>355</v>
      </c>
      <c r="C46" s="35" t="n">
        <f aca="false">C45+C44</f>
        <v>63.9649180369608</v>
      </c>
      <c r="D46" s="35" t="n">
        <f aca="false">D45+D44</f>
        <v>66.1292165241561</v>
      </c>
      <c r="E46" s="35" t="n">
        <f aca="false">E45+E44</f>
        <v>67.6179378965013</v>
      </c>
      <c r="F46" s="35" t="n">
        <f aca="false">F45+F44</f>
        <v>67.7555050391462</v>
      </c>
      <c r="G46" s="35" t="n">
        <f aca="false">G45+G44</f>
        <v>69.5820149689164</v>
      </c>
      <c r="H46" s="35" t="n">
        <f aca="false">H45+H44</f>
        <v>70.7329477838366</v>
      </c>
      <c r="I46" s="35" t="n">
        <f aca="false">I45+I44</f>
        <v>70.1949378116314</v>
      </c>
      <c r="J46" s="35" t="n">
        <f aca="false">J45+J44</f>
        <v>69.9947163968514</v>
      </c>
      <c r="K46" s="35" t="n">
        <f aca="false">K45+K44</f>
        <v>70.4700720969214</v>
      </c>
      <c r="L46" s="35" t="n">
        <f aca="false">L45+L44</f>
        <v>72.9721591415417</v>
      </c>
      <c r="M46" s="35" t="n">
        <f aca="false">M45+M44</f>
        <v>74.7986690713119</v>
      </c>
      <c r="N46" s="35" t="n">
        <f aca="false">N45+N44</f>
        <v>75.611813328807</v>
      </c>
      <c r="P46" s="8" t="s">
        <v>683</v>
      </c>
      <c r="Q46" s="8" t="s">
        <v>697</v>
      </c>
    </row>
    <row r="47" customFormat="false" ht="15" hidden="false" customHeight="false" outlineLevel="0" collapsed="false">
      <c r="A47" s="45" t="s">
        <v>354</v>
      </c>
      <c r="B47" s="46" t="s">
        <v>355</v>
      </c>
      <c r="C47" s="60" t="n">
        <f aca="false">MIN(C39,C46)</f>
        <v>32.4277015128047</v>
      </c>
      <c r="D47" s="60" t="n">
        <f aca="false">MIN(D39,D46)</f>
        <v>33.1032786276548</v>
      </c>
      <c r="E47" s="60" t="n">
        <f aca="false">MIN(E39,E46)</f>
        <v>34.454432857355</v>
      </c>
      <c r="F47" s="60" t="n">
        <f aca="false">MIN(F39,F46)</f>
        <v>32.7654900702298</v>
      </c>
      <c r="G47" s="60" t="n">
        <f aca="false">MIN(G39,G46)</f>
        <v>33.4410671850799</v>
      </c>
      <c r="H47" s="60" t="n">
        <f aca="false">MIN(H39,H46)</f>
        <v>35.1300099722051</v>
      </c>
      <c r="I47" s="60" t="n">
        <f aca="false">MIN(I39,I46)</f>
        <v>34.7922214147801</v>
      </c>
      <c r="J47" s="60" t="n">
        <f aca="false">MIN(J39,J46)</f>
        <v>34.11664429993</v>
      </c>
      <c r="K47" s="60" t="n">
        <f aca="false">MIN(K39,K46)</f>
        <v>32.0899129553797</v>
      </c>
      <c r="L47" s="60" t="n">
        <f aca="false">MIN(L39,L46)</f>
        <v>32.7654900702298</v>
      </c>
      <c r="M47" s="60" t="n">
        <f aca="false">MIN(M39,M46)</f>
        <v>33.7788557425049</v>
      </c>
      <c r="N47" s="60" t="n">
        <f aca="false">MIN(N39,N46)</f>
        <v>36.4811642019053</v>
      </c>
      <c r="O47" s="61" t="n">
        <f aca="false">SUM(C47:N47)</f>
        <v>405.346268910059</v>
      </c>
      <c r="P47" s="8" t="s">
        <v>683</v>
      </c>
      <c r="Q47" s="8" t="s">
        <v>698</v>
      </c>
    </row>
    <row r="48" customFormat="false" ht="15" hidden="false" customHeight="false" outlineLevel="0" collapsed="false">
      <c r="A48" s="8" t="s">
        <v>699</v>
      </c>
      <c r="B48" s="8" t="s">
        <v>355</v>
      </c>
      <c r="C48" s="35" t="n">
        <f aca="false">C46-C47</f>
        <v>31.5372165241561</v>
      </c>
      <c r="D48" s="35" t="n">
        <f aca="false">D46-D47</f>
        <v>33.0259378965013</v>
      </c>
      <c r="E48" s="35" t="n">
        <f aca="false">E46-E47</f>
        <v>33.1635050391462</v>
      </c>
      <c r="F48" s="35" t="n">
        <f aca="false">F46-F47</f>
        <v>34.9900149689164</v>
      </c>
      <c r="G48" s="35" t="n">
        <f aca="false">G46-G47</f>
        <v>36.1409477838366</v>
      </c>
      <c r="H48" s="35" t="n">
        <f aca="false">H46-H47</f>
        <v>35.6029378116314</v>
      </c>
      <c r="I48" s="35" t="n">
        <f aca="false">I46-I47</f>
        <v>35.4027163968514</v>
      </c>
      <c r="J48" s="35" t="n">
        <f aca="false">J46-J47</f>
        <v>35.8780720969214</v>
      </c>
      <c r="K48" s="35" t="n">
        <f aca="false">K46-K47</f>
        <v>38.3801591415417</v>
      </c>
      <c r="L48" s="35" t="n">
        <f aca="false">L46-L47</f>
        <v>40.2066690713119</v>
      </c>
      <c r="M48" s="35" t="n">
        <f aca="false">M46-M47</f>
        <v>41.019813328807</v>
      </c>
      <c r="N48" s="35" t="n">
        <f aca="false">N46-N47</f>
        <v>39.1306491269017</v>
      </c>
      <c r="O48" s="58" t="n">
        <f aca="false">N48</f>
        <v>39.1306491269017</v>
      </c>
      <c r="P48" s="8" t="s">
        <v>683</v>
      </c>
      <c r="Q48" s="8" t="s">
        <v>700</v>
      </c>
    </row>
    <row r="49" customFormat="false" ht="15" hidden="false" customHeight="false" outlineLevel="0" collapsed="false">
      <c r="A49" s="8" t="s">
        <v>701</v>
      </c>
      <c r="B49" s="8" t="s">
        <v>355</v>
      </c>
      <c r="C49" s="35" t="n">
        <f aca="false">C39-C47</f>
        <v>0</v>
      </c>
      <c r="D49" s="35" t="n">
        <f aca="false">D39-D47</f>
        <v>0</v>
      </c>
      <c r="E49" s="35" t="n">
        <f aca="false">E39-E47</f>
        <v>0</v>
      </c>
      <c r="F49" s="35" t="n">
        <f aca="false">F39-F47</f>
        <v>0</v>
      </c>
      <c r="G49" s="35" t="n">
        <f aca="false">G39-G47</f>
        <v>0</v>
      </c>
      <c r="H49" s="35" t="n">
        <f aca="false">H39-H47</f>
        <v>0</v>
      </c>
      <c r="I49" s="35" t="n">
        <f aca="false">I39-I47</f>
        <v>0</v>
      </c>
      <c r="J49" s="35" t="n">
        <f aca="false">J39-J47</f>
        <v>0</v>
      </c>
      <c r="K49" s="35" t="n">
        <f aca="false">K39-K47</f>
        <v>0</v>
      </c>
      <c r="L49" s="35" t="n">
        <f aca="false">L39-L47</f>
        <v>0</v>
      </c>
      <c r="M49" s="35" t="n">
        <f aca="false">M39-M47</f>
        <v>0</v>
      </c>
      <c r="N49" s="35" t="n">
        <f aca="false">N39-N47</f>
        <v>0</v>
      </c>
      <c r="O49" s="58" t="n">
        <f aca="false">SUM(C49:N49)</f>
        <v>0</v>
      </c>
      <c r="P49" s="8" t="s">
        <v>683</v>
      </c>
      <c r="Q49" s="8" t="s">
        <v>702</v>
      </c>
    </row>
    <row r="50" customFormat="false" ht="15" hidden="false" customHeight="false" outlineLevel="0" collapsed="false">
      <c r="A50" s="8" t="s">
        <v>703</v>
      </c>
      <c r="B50" s="8" t="s">
        <v>644</v>
      </c>
      <c r="C50" s="56" t="n">
        <f aca="false">IFERROR(C39/(C40*C43),0)</f>
        <v>0.749946843496872</v>
      </c>
      <c r="D50" s="56" t="n">
        <f aca="false">IFERROR(D39/(D40*D43),0)</f>
        <v>0.765570736069723</v>
      </c>
      <c r="E50" s="56" t="n">
        <f aca="false">IFERROR(E39/(E40*E43),0)</f>
        <v>0.796818521215426</v>
      </c>
      <c r="F50" s="56" t="n">
        <f aca="false">IFERROR(F39/(F40*F43),0)</f>
        <v>0.757758789783298</v>
      </c>
      <c r="G50" s="56" t="n">
        <f aca="false">IFERROR(G39/(G40*G43),0)</f>
        <v>0.773382682356149</v>
      </c>
      <c r="H50" s="56" t="n">
        <f aca="false">IFERROR(H39/(H40*H43),0)</f>
        <v>0.812442413788278</v>
      </c>
      <c r="I50" s="56" t="n">
        <f aca="false">IFERROR(I39/(I40*I43),0)</f>
        <v>0.804630467501852</v>
      </c>
      <c r="J50" s="56" t="n">
        <f aca="false">IFERROR(J39/(J40*J43),0)</f>
        <v>0.789006574929</v>
      </c>
      <c r="K50" s="56" t="n">
        <f aca="false">IFERROR(K39/(K40*K43),0)</f>
        <v>0.742134897210446</v>
      </c>
      <c r="L50" s="56" t="n">
        <f aca="false">IFERROR(L39/(L40*L43),0)</f>
        <v>0.757758789783298</v>
      </c>
      <c r="M50" s="56" t="n">
        <f aca="false">IFERROR(M39/(M40*M43),0)</f>
        <v>0.781194628642575</v>
      </c>
      <c r="N50" s="56" t="n">
        <f aca="false">IFERROR(N39/(N40*N43),0)</f>
        <v>0.843690198933981</v>
      </c>
      <c r="O50" s="57" t="n">
        <f aca="false">IFERROR(O39/(O40*O43),0)</f>
        <v>0.781194628642575</v>
      </c>
      <c r="P50" s="8" t="s">
        <v>683</v>
      </c>
      <c r="Q50" s="8" t="s">
        <v>704</v>
      </c>
    </row>
    <row r="51" customFormat="false" ht="15" hidden="false" customHeight="false" outlineLevel="0" collapsed="false">
      <c r="A51" s="8" t="s">
        <v>705</v>
      </c>
      <c r="B51" s="8" t="s">
        <v>336</v>
      </c>
      <c r="C51" s="37" t="n">
        <f aca="false">Assumptions!$D$63</f>
        <v>0.792</v>
      </c>
      <c r="D51" s="37" t="n">
        <f aca="false">Assumptions!$D$63</f>
        <v>0.792</v>
      </c>
      <c r="E51" s="37" t="n">
        <f aca="false">Assumptions!$D$63</f>
        <v>0.792</v>
      </c>
      <c r="F51" s="37" t="n">
        <f aca="false">Assumptions!$D$63</f>
        <v>0.792</v>
      </c>
      <c r="G51" s="37" t="n">
        <f aca="false">Assumptions!$D$63</f>
        <v>0.792</v>
      </c>
      <c r="H51" s="37" t="n">
        <f aca="false">Assumptions!$D$63</f>
        <v>0.792</v>
      </c>
      <c r="I51" s="37" t="n">
        <f aca="false">Assumptions!$D$63</f>
        <v>0.792</v>
      </c>
      <c r="J51" s="37" t="n">
        <f aca="false">Assumptions!$D$63</f>
        <v>0.792</v>
      </c>
      <c r="K51" s="37" t="n">
        <f aca="false">Assumptions!$D$63</f>
        <v>0.792</v>
      </c>
      <c r="L51" s="37" t="n">
        <f aca="false">Assumptions!$D$63</f>
        <v>0.792</v>
      </c>
      <c r="M51" s="37" t="n">
        <f aca="false">Assumptions!$D$63</f>
        <v>0.792</v>
      </c>
      <c r="N51" s="37" t="n">
        <f aca="false">Assumptions!$D$63</f>
        <v>0.792</v>
      </c>
      <c r="O51" s="62" t="n">
        <f aca="false">IFERROR(O52/O47,0)</f>
        <v>0.792</v>
      </c>
      <c r="P51" s="8" t="s">
        <v>683</v>
      </c>
      <c r="Q51" s="8" t="s">
        <v>706</v>
      </c>
    </row>
    <row r="52" customFormat="false" ht="15" hidden="false" customHeight="false" outlineLevel="0" collapsed="false">
      <c r="A52" s="45" t="s">
        <v>22</v>
      </c>
      <c r="B52" s="46" t="s">
        <v>318</v>
      </c>
      <c r="C52" s="63" t="n">
        <f aca="false">C47*C51</f>
        <v>25.6827395981413</v>
      </c>
      <c r="D52" s="63" t="n">
        <f aca="false">D47*D51</f>
        <v>26.2177966731026</v>
      </c>
      <c r="E52" s="63" t="n">
        <f aca="false">E47*E51</f>
        <v>27.2879108230252</v>
      </c>
      <c r="F52" s="63" t="n">
        <f aca="false">F47*F51</f>
        <v>25.950268135622</v>
      </c>
      <c r="G52" s="63" t="n">
        <f aca="false">G47*G51</f>
        <v>26.4853252105833</v>
      </c>
      <c r="H52" s="63" t="n">
        <f aca="false">H47*H51</f>
        <v>27.8229678979865</v>
      </c>
      <c r="I52" s="63" t="n">
        <f aca="false">I47*I51</f>
        <v>27.5554393605058</v>
      </c>
      <c r="J52" s="63" t="n">
        <f aca="false">J47*J51</f>
        <v>27.0203822855445</v>
      </c>
      <c r="K52" s="63" t="n">
        <f aca="false">K47*K51</f>
        <v>25.4152110606607</v>
      </c>
      <c r="L52" s="63" t="n">
        <f aca="false">L47*L51</f>
        <v>25.950268135622</v>
      </c>
      <c r="M52" s="63" t="n">
        <f aca="false">M47*M51</f>
        <v>26.7528537480639</v>
      </c>
      <c r="N52" s="63" t="n">
        <f aca="false">N47*N51</f>
        <v>28.893082047909</v>
      </c>
      <c r="O52" s="64" t="n">
        <f aca="false">SUM(C52:N52)</f>
        <v>321.034244976767</v>
      </c>
      <c r="P52" s="8" t="s">
        <v>683</v>
      </c>
      <c r="Q52" s="8" t="s">
        <v>707</v>
      </c>
    </row>
    <row r="53" customFormat="false" ht="15" hidden="false" customHeight="false" outlineLevel="0" collapsed="false">
      <c r="A53" s="8" t="s">
        <v>708</v>
      </c>
      <c r="B53" s="8" t="s">
        <v>336</v>
      </c>
      <c r="C53" s="37" t="n">
        <f aca="false">Assumptions!$D$66</f>
        <v>0.1545</v>
      </c>
      <c r="D53" s="37" t="n">
        <f aca="false">Assumptions!$D$66</f>
        <v>0.1545</v>
      </c>
      <c r="E53" s="37" t="n">
        <f aca="false">Assumptions!$D$66</f>
        <v>0.1545</v>
      </c>
      <c r="F53" s="37" t="n">
        <f aca="false">Assumptions!$D$66</f>
        <v>0.1545</v>
      </c>
      <c r="G53" s="37" t="n">
        <f aca="false">Assumptions!$D$66</f>
        <v>0.1545</v>
      </c>
      <c r="H53" s="37" t="n">
        <f aca="false">Assumptions!$D$66</f>
        <v>0.1545</v>
      </c>
      <c r="I53" s="37" t="n">
        <f aca="false">Assumptions!$D$66</f>
        <v>0.1545</v>
      </c>
      <c r="J53" s="37" t="n">
        <f aca="false">Assumptions!$D$66</f>
        <v>0.1545</v>
      </c>
      <c r="K53" s="37" t="n">
        <f aca="false">Assumptions!$D$66</f>
        <v>0.1545</v>
      </c>
      <c r="L53" s="37" t="n">
        <f aca="false">Assumptions!$D$66</f>
        <v>0.1545</v>
      </c>
      <c r="M53" s="37" t="n">
        <f aca="false">Assumptions!$D$66</f>
        <v>0.1545</v>
      </c>
      <c r="N53" s="37" t="n">
        <f aca="false">Assumptions!$D$66</f>
        <v>0.1545</v>
      </c>
      <c r="O53" s="62" t="n">
        <f aca="false">IFERROR(O54/O42,0)</f>
        <v>0.1545</v>
      </c>
      <c r="P53" s="8" t="s">
        <v>683</v>
      </c>
      <c r="Q53" s="8" t="s">
        <v>709</v>
      </c>
    </row>
    <row r="54" customFormat="false" ht="15" hidden="false" customHeight="false" outlineLevel="0" collapsed="false">
      <c r="A54" s="8" t="s">
        <v>361</v>
      </c>
      <c r="B54" s="8" t="s">
        <v>318</v>
      </c>
      <c r="C54" s="31" t="n">
        <f aca="false">C42*C53</f>
        <v>5.6856</v>
      </c>
      <c r="D54" s="31" t="n">
        <f aca="false">D42*D53</f>
        <v>5.6856</v>
      </c>
      <c r="E54" s="31" t="n">
        <f aca="false">E42*E53</f>
        <v>5.6856</v>
      </c>
      <c r="F54" s="31" t="n">
        <f aca="false">F42*F53</f>
        <v>5.6856</v>
      </c>
      <c r="G54" s="31" t="n">
        <f aca="false">G42*G53</f>
        <v>5.6856</v>
      </c>
      <c r="H54" s="31" t="n">
        <f aca="false">H42*H53</f>
        <v>5.6856</v>
      </c>
      <c r="I54" s="31" t="n">
        <f aca="false">I42*I53</f>
        <v>5.6856</v>
      </c>
      <c r="J54" s="31" t="n">
        <f aca="false">J42*J53</f>
        <v>5.6856</v>
      </c>
      <c r="K54" s="31" t="n">
        <f aca="false">K42*K53</f>
        <v>5.6856</v>
      </c>
      <c r="L54" s="31" t="n">
        <f aca="false">L42*L53</f>
        <v>5.6856</v>
      </c>
      <c r="M54" s="31" t="n">
        <f aca="false">M42*M53</f>
        <v>5.6856</v>
      </c>
      <c r="N54" s="31" t="n">
        <f aca="false">N42*N53</f>
        <v>5.6856</v>
      </c>
      <c r="O54" s="43" t="n">
        <f aca="false">SUM(C54:N54)</f>
        <v>68.2272</v>
      </c>
      <c r="P54" s="8" t="s">
        <v>683</v>
      </c>
      <c r="Q54" s="8" t="s">
        <v>362</v>
      </c>
    </row>
    <row r="55" customFormat="false" ht="15" hidden="false" customHeight="false" outlineLevel="0" collapsed="false">
      <c r="A55" s="8" t="s">
        <v>363</v>
      </c>
      <c r="B55" s="8" t="s">
        <v>318</v>
      </c>
      <c r="C55" s="31" t="n">
        <f aca="false">Assumptions!$D$45</f>
        <v>5.2</v>
      </c>
      <c r="D55" s="31" t="n">
        <f aca="false">Assumptions!$D$45</f>
        <v>5.2</v>
      </c>
      <c r="E55" s="31" t="n">
        <f aca="false">Assumptions!$D$45</f>
        <v>5.2</v>
      </c>
      <c r="F55" s="31" t="n">
        <f aca="false">Assumptions!$D$45</f>
        <v>5.2</v>
      </c>
      <c r="G55" s="31" t="n">
        <f aca="false">Assumptions!$D$45</f>
        <v>5.2</v>
      </c>
      <c r="H55" s="31" t="n">
        <f aca="false">Assumptions!$D$45</f>
        <v>5.2</v>
      </c>
      <c r="I55" s="31" t="n">
        <f aca="false">Assumptions!$D$45</f>
        <v>5.2</v>
      </c>
      <c r="J55" s="31" t="n">
        <f aca="false">Assumptions!$D$45</f>
        <v>5.2</v>
      </c>
      <c r="K55" s="31" t="n">
        <f aca="false">Assumptions!$D$45</f>
        <v>5.2</v>
      </c>
      <c r="L55" s="31" t="n">
        <f aca="false">Assumptions!$D$45</f>
        <v>5.2</v>
      </c>
      <c r="M55" s="31" t="n">
        <f aca="false">Assumptions!$D$45</f>
        <v>5.2</v>
      </c>
      <c r="N55" s="31" t="n">
        <f aca="false">Assumptions!$D$45</f>
        <v>5.2</v>
      </c>
      <c r="O55" s="43" t="n">
        <f aca="false">SUM(C55:N55)</f>
        <v>62.4</v>
      </c>
      <c r="P55" s="8" t="s">
        <v>683</v>
      </c>
      <c r="Q55" s="8" t="s">
        <v>710</v>
      </c>
    </row>
    <row r="56" customFormat="false" ht="15" hidden="false" customHeight="false" outlineLevel="0" collapsed="false">
      <c r="A56" s="8" t="s">
        <v>711</v>
      </c>
      <c r="B56" s="8" t="s">
        <v>318</v>
      </c>
      <c r="C56" s="31" t="n">
        <f aca="false">C54+C55</f>
        <v>10.8856</v>
      </c>
      <c r="D56" s="31" t="n">
        <f aca="false">D54+D55</f>
        <v>10.8856</v>
      </c>
      <c r="E56" s="31" t="n">
        <f aca="false">E54+E55</f>
        <v>10.8856</v>
      </c>
      <c r="F56" s="31" t="n">
        <f aca="false">F54+F55</f>
        <v>10.8856</v>
      </c>
      <c r="G56" s="31" t="n">
        <f aca="false">G54+G55</f>
        <v>10.8856</v>
      </c>
      <c r="H56" s="31" t="n">
        <f aca="false">H54+H55</f>
        <v>10.8856</v>
      </c>
      <c r="I56" s="31" t="n">
        <f aca="false">I54+I55</f>
        <v>10.8856</v>
      </c>
      <c r="J56" s="31" t="n">
        <f aca="false">J54+J55</f>
        <v>10.8856</v>
      </c>
      <c r="K56" s="31" t="n">
        <f aca="false">K54+K55</f>
        <v>10.8856</v>
      </c>
      <c r="L56" s="31" t="n">
        <f aca="false">L54+L55</f>
        <v>10.8856</v>
      </c>
      <c r="M56" s="31" t="n">
        <f aca="false">M54+M55</f>
        <v>10.8856</v>
      </c>
      <c r="N56" s="31" t="n">
        <f aca="false">N54+N55</f>
        <v>10.8856</v>
      </c>
      <c r="O56" s="43" t="n">
        <f aca="false">SUM(C56:N56)</f>
        <v>130.6272</v>
      </c>
      <c r="P56" s="8" t="s">
        <v>683</v>
      </c>
      <c r="Q56" s="8" t="s">
        <v>366</v>
      </c>
    </row>
    <row r="57" customFormat="false" ht="15" hidden="false" customHeight="false" outlineLevel="0" collapsed="false">
      <c r="A57" s="8" t="s">
        <v>371</v>
      </c>
      <c r="B57" s="8" t="s">
        <v>336</v>
      </c>
      <c r="C57" s="37" t="n">
        <f aca="false">IFERROR(C56/C44,0)</f>
        <v>0.314685476410731</v>
      </c>
      <c r="D57" s="37" t="n">
        <f aca="false">IFERROR(D56/D44,0)</f>
        <v>0.314685476410731</v>
      </c>
      <c r="E57" s="37" t="n">
        <f aca="false">IFERROR(E56/E44,0)</f>
        <v>0.314685476410731</v>
      </c>
      <c r="F57" s="37" t="n">
        <f aca="false">IFERROR(F56/F44,0)</f>
        <v>0.314685476410731</v>
      </c>
      <c r="G57" s="37" t="n">
        <f aca="false">IFERROR(G56/G44,0)</f>
        <v>0.314685476410731</v>
      </c>
      <c r="H57" s="37" t="n">
        <f aca="false">IFERROR(H56/H44,0)</f>
        <v>0.314685476410731</v>
      </c>
      <c r="I57" s="37" t="n">
        <f aca="false">IFERROR(I56/I44,0)</f>
        <v>0.314685476410731</v>
      </c>
      <c r="J57" s="37" t="n">
        <f aca="false">IFERROR(J56/J44,0)</f>
        <v>0.314685476410731</v>
      </c>
      <c r="K57" s="37" t="n">
        <f aca="false">IFERROR(K56/K44,0)</f>
        <v>0.314685476410731</v>
      </c>
      <c r="L57" s="37" t="n">
        <f aca="false">IFERROR(L56/L44,0)</f>
        <v>0.314685476410731</v>
      </c>
      <c r="M57" s="37" t="n">
        <f aca="false">IFERROR(M56/M44,0)</f>
        <v>0.314685476410731</v>
      </c>
      <c r="N57" s="37" t="n">
        <f aca="false">IFERROR(N56/N44,0)</f>
        <v>0.314685476410731</v>
      </c>
      <c r="O57" s="62" t="n">
        <f aca="false">IFERROR(O56/O44,0)</f>
        <v>0.314685476410731</v>
      </c>
      <c r="P57" s="8" t="s">
        <v>683</v>
      </c>
      <c r="Q57" s="8" t="s">
        <v>712</v>
      </c>
    </row>
    <row r="58" customFormat="false" ht="15" hidden="false" customHeight="false" outlineLevel="0" collapsed="false">
      <c r="A58" s="8" t="s">
        <v>713</v>
      </c>
      <c r="B58" s="8" t="s">
        <v>318</v>
      </c>
      <c r="C58" s="31" t="n">
        <f aca="false">Assumptions!$D$68</f>
        <v>9.88716777185545</v>
      </c>
      <c r="D58" s="31" t="n">
        <f aca="false">C61</f>
        <v>10.2417902677288</v>
      </c>
      <c r="E58" s="31" t="n">
        <f aca="false">D61</f>
        <v>10.5513404750876</v>
      </c>
      <c r="F58" s="31" t="n">
        <f aca="false">E61</f>
        <v>10.5138385698424</v>
      </c>
      <c r="G58" s="31" t="n">
        <f aca="false">F61</f>
        <v>11.0510087033163</v>
      </c>
      <c r="H58" s="31" t="n">
        <f aca="false">G61</f>
        <v>11.3938900742551</v>
      </c>
      <c r="I58" s="31" t="n">
        <f aca="false">H61</f>
        <v>11.2142265300843</v>
      </c>
      <c r="J58" s="31" t="n">
        <f aca="false">I61</f>
        <v>11.1460158731637</v>
      </c>
      <c r="K58" s="31" t="n">
        <f aca="false">J61</f>
        <v>11.2930224365421</v>
      </c>
      <c r="L58" s="31" t="n">
        <f aca="false">K61</f>
        <v>12.0791569147812</v>
      </c>
      <c r="M58" s="31" t="n">
        <f aca="false">L61</f>
        <v>12.6532693076104</v>
      </c>
      <c r="N58" s="31" t="n">
        <f aca="false">M61</f>
        <v>12.9087861717006</v>
      </c>
      <c r="O58" s="43" t="n">
        <f aca="false">C58</f>
        <v>9.88716777185545</v>
      </c>
      <c r="P58" s="8" t="s">
        <v>683</v>
      </c>
      <c r="Q58" s="8" t="s">
        <v>714</v>
      </c>
    </row>
    <row r="59" customFormat="false" ht="15" hidden="false" customHeight="false" outlineLevel="0" collapsed="false">
      <c r="A59" s="8" t="s">
        <v>715</v>
      </c>
      <c r="B59" s="8" t="s">
        <v>336</v>
      </c>
      <c r="C59" s="37" t="n">
        <f aca="false">IFERROR((C58+C56)/C46,0)</f>
        <v>0.324752511366501</v>
      </c>
      <c r="D59" s="37" t="n">
        <f aca="false">IFERROR((D58+D56)/D46,0)</f>
        <v>0.319486474786999</v>
      </c>
      <c r="E59" s="37" t="n">
        <f aca="false">IFERROR((E58+E56)/E46,0)</f>
        <v>0.317030378949145</v>
      </c>
      <c r="F59" s="37" t="n">
        <f aca="false">IFERROR((F58+F56)/F46,0)</f>
        <v>0.315833208792094</v>
      </c>
      <c r="G59" s="37" t="n">
        <f aca="false">IFERROR((G58+G56)/G46,0)</f>
        <v>0.315262625164214</v>
      </c>
      <c r="H59" s="37" t="n">
        <f aca="false">IFERROR((H58+H56)/H46,0)</f>
        <v>0.314980370142955</v>
      </c>
      <c r="I59" s="37" t="n">
        <f aca="false">IFERROR((I58+I56)/I46,0)</f>
        <v>0.31483504678627</v>
      </c>
      <c r="J59" s="37" t="n">
        <f aca="false">IFERROR((J58+J56)/J46,0)</f>
        <v>0.314761127800709</v>
      </c>
      <c r="K59" s="37" t="n">
        <f aca="false">IFERROR((K58+K56)/K46,0)</f>
        <v>0.314723992421047</v>
      </c>
      <c r="L59" s="37" t="n">
        <f aca="false">IFERROR((L58+L56)/L46,0)</f>
        <v>0.314705734144952</v>
      </c>
      <c r="M59" s="37" t="n">
        <f aca="false">IFERROR((M58+M56)/M46,0)</f>
        <v>0.314696365588654</v>
      </c>
      <c r="N59" s="37" t="n">
        <f aca="false">IFERROR((N58+N56)/N46,0)</f>
        <v>0.314691383848022</v>
      </c>
      <c r="P59" s="8" t="s">
        <v>683</v>
      </c>
      <c r="Q59" s="8" t="s">
        <v>716</v>
      </c>
    </row>
    <row r="60" customFormat="false" ht="15" hidden="false" customHeight="false" outlineLevel="0" collapsed="false">
      <c r="A60" s="8" t="s">
        <v>365</v>
      </c>
      <c r="B60" s="8" t="s">
        <v>318</v>
      </c>
      <c r="C60" s="31" t="n">
        <f aca="false">C47*C59</f>
        <v>10.5309775041266</v>
      </c>
      <c r="D60" s="31" t="n">
        <f aca="false">D47*D59</f>
        <v>10.5760497926413</v>
      </c>
      <c r="E60" s="31" t="n">
        <f aca="false">E47*E59</f>
        <v>10.9231019052451</v>
      </c>
      <c r="F60" s="31" t="n">
        <f aca="false">F47*F59</f>
        <v>10.3484298665262</v>
      </c>
      <c r="G60" s="31" t="n">
        <f aca="false">G47*G59</f>
        <v>10.5427186290612</v>
      </c>
      <c r="H60" s="31" t="n">
        <f aca="false">H47*H59</f>
        <v>11.0652635441709</v>
      </c>
      <c r="I60" s="31" t="n">
        <f aca="false">I47*I59</f>
        <v>10.9538106569205</v>
      </c>
      <c r="J60" s="31" t="n">
        <f aca="false">J47*J59</f>
        <v>10.7385934366216</v>
      </c>
      <c r="K60" s="31" t="n">
        <f aca="false">K47*K59</f>
        <v>10.099465521761</v>
      </c>
      <c r="L60" s="31" t="n">
        <f aca="false">L47*L59</f>
        <v>10.3114876071708</v>
      </c>
      <c r="M60" s="31" t="n">
        <f aca="false">M47*M59</f>
        <v>10.6300831359097</v>
      </c>
      <c r="N60" s="31" t="n">
        <f aca="false">N47*N59</f>
        <v>11.4803080470845</v>
      </c>
      <c r="O60" s="43" t="n">
        <f aca="false">SUM(C60:N60)</f>
        <v>128.200289647239</v>
      </c>
      <c r="P60" s="8" t="s">
        <v>683</v>
      </c>
      <c r="Q60" s="8" t="s">
        <v>717</v>
      </c>
    </row>
    <row r="61" customFormat="false" ht="15" hidden="false" customHeight="false" outlineLevel="0" collapsed="false">
      <c r="A61" s="8" t="s">
        <v>718</v>
      </c>
      <c r="B61" s="8" t="s">
        <v>318</v>
      </c>
      <c r="C61" s="31" t="n">
        <f aca="false">C58+C56-C60</f>
        <v>10.2417902677288</v>
      </c>
      <c r="D61" s="31" t="n">
        <f aca="false">D58+D56-D60</f>
        <v>10.5513404750876</v>
      </c>
      <c r="E61" s="31" t="n">
        <f aca="false">E58+E56-E60</f>
        <v>10.5138385698424</v>
      </c>
      <c r="F61" s="31" t="n">
        <f aca="false">F58+F56-F60</f>
        <v>11.0510087033163</v>
      </c>
      <c r="G61" s="31" t="n">
        <f aca="false">G58+G56-G60</f>
        <v>11.3938900742551</v>
      </c>
      <c r="H61" s="31" t="n">
        <f aca="false">H58+H56-H60</f>
        <v>11.2142265300843</v>
      </c>
      <c r="I61" s="31" t="n">
        <f aca="false">I58+I56-I60</f>
        <v>11.1460158731637</v>
      </c>
      <c r="J61" s="31" t="n">
        <f aca="false">J58+J56-J60</f>
        <v>11.2930224365421</v>
      </c>
      <c r="K61" s="31" t="n">
        <f aca="false">K58+K56-K60</f>
        <v>12.0791569147812</v>
      </c>
      <c r="L61" s="31" t="n">
        <f aca="false">L58+L56-L60</f>
        <v>12.6532693076104</v>
      </c>
      <c r="M61" s="31" t="n">
        <f aca="false">M58+M56-M60</f>
        <v>12.9087861717006</v>
      </c>
      <c r="N61" s="31" t="n">
        <f aca="false">N58+N56-N60</f>
        <v>12.3140781246161</v>
      </c>
      <c r="O61" s="43" t="n">
        <f aca="false">N61</f>
        <v>12.3140781246161</v>
      </c>
      <c r="P61" s="8" t="s">
        <v>683</v>
      </c>
      <c r="Q61" s="8" t="s">
        <v>719</v>
      </c>
    </row>
    <row r="62" customFormat="false" ht="15" hidden="false" customHeight="false" outlineLevel="0" collapsed="false">
      <c r="A62" s="8" t="s">
        <v>720</v>
      </c>
      <c r="B62" s="8" t="s">
        <v>318</v>
      </c>
      <c r="C62" s="31" t="n">
        <f aca="false">C52-C47*IFERROR(C53/C43,0)</f>
        <v>20.3528673814091</v>
      </c>
      <c r="D62" s="31" t="n">
        <f aca="false">D52-D47*IFERROR(D53/D43,0)</f>
        <v>20.7768854518551</v>
      </c>
      <c r="E62" s="31" t="n">
        <f aca="false">E52-E47*IFERROR(E53/E43,0)</f>
        <v>21.6249215927471</v>
      </c>
      <c r="F62" s="31" t="n">
        <f aca="false">F52-F47*IFERROR(F53/F43,0)</f>
        <v>20.5648764166321</v>
      </c>
      <c r="G62" s="31" t="n">
        <f aca="false">G52-G47*IFERROR(G53/G43,0)</f>
        <v>20.9888944870781</v>
      </c>
      <c r="H62" s="31" t="n">
        <f aca="false">H52-H47*IFERROR(H53/H43,0)</f>
        <v>22.0489396631932</v>
      </c>
      <c r="I62" s="31" t="n">
        <f aca="false">I52-I47*IFERROR(I53/I43,0)</f>
        <v>21.8369306279702</v>
      </c>
      <c r="J62" s="31" t="n">
        <f aca="false">J52-J47*IFERROR(J53/J43,0)</f>
        <v>21.4129125575241</v>
      </c>
      <c r="K62" s="31" t="n">
        <f aca="false">K52-K47*IFERROR(K53/K43,0)</f>
        <v>20.1408583461861</v>
      </c>
      <c r="L62" s="31" t="n">
        <f aca="false">L52-L47*IFERROR(L53/L43,0)</f>
        <v>20.5648764166321</v>
      </c>
      <c r="M62" s="31" t="n">
        <f aca="false">M52-M47*IFERROR(M53/M43,0)</f>
        <v>21.2009035223011</v>
      </c>
      <c r="N62" s="31" t="n">
        <f aca="false">N52-N47*IFERROR(N53/N43,0)</f>
        <v>22.8969758040852</v>
      </c>
      <c r="O62" s="43" t="n">
        <f aca="false">SUM(C62:N62)</f>
        <v>254.410842267613</v>
      </c>
      <c r="P62" s="8" t="s">
        <v>683</v>
      </c>
      <c r="Q62" s="8" t="s">
        <v>721</v>
      </c>
    </row>
    <row r="63" customFormat="false" ht="15" hidden="false" customHeight="false" outlineLevel="0" collapsed="false">
      <c r="A63" s="8" t="s">
        <v>722</v>
      </c>
      <c r="B63" s="8" t="s">
        <v>285</v>
      </c>
      <c r="C63" s="36" t="n">
        <f aca="false">IFERROR(C62/C52,0)</f>
        <v>0.792472598323662</v>
      </c>
      <c r="D63" s="36" t="n">
        <f aca="false">IFERROR(D62/D52,0)</f>
        <v>0.792472598323662</v>
      </c>
      <c r="E63" s="36" t="n">
        <f aca="false">IFERROR(E62/E52,0)</f>
        <v>0.792472598323662</v>
      </c>
      <c r="F63" s="36" t="n">
        <f aca="false">IFERROR(F62/F52,0)</f>
        <v>0.792472598323662</v>
      </c>
      <c r="G63" s="36" t="n">
        <f aca="false">IFERROR(G62/G52,0)</f>
        <v>0.792472598323662</v>
      </c>
      <c r="H63" s="36" t="n">
        <f aca="false">IFERROR(H62/H52,0)</f>
        <v>0.792472598323662</v>
      </c>
      <c r="I63" s="36" t="n">
        <f aca="false">IFERROR(I62/I52,0)</f>
        <v>0.792472598323662</v>
      </c>
      <c r="J63" s="36" t="n">
        <f aca="false">IFERROR(J62/J52,0)</f>
        <v>0.792472598323662</v>
      </c>
      <c r="K63" s="36" t="n">
        <f aca="false">IFERROR(K62/K52,0)</f>
        <v>0.792472598323662</v>
      </c>
      <c r="L63" s="36" t="n">
        <f aca="false">IFERROR(L62/L52,0)</f>
        <v>0.792472598323662</v>
      </c>
      <c r="M63" s="36" t="n">
        <f aca="false">IFERROR(M62/M52,0)</f>
        <v>0.792472598323662</v>
      </c>
      <c r="N63" s="36" t="n">
        <f aca="false">IFERROR(N62/N52,0)</f>
        <v>0.792472598323662</v>
      </c>
      <c r="O63" s="59" t="n">
        <f aca="false">IFERROR(O62/O52,0)</f>
        <v>0.792472598323662</v>
      </c>
      <c r="P63" s="8" t="s">
        <v>683</v>
      </c>
      <c r="Q63" s="8" t="s">
        <v>723</v>
      </c>
    </row>
    <row r="64" customFormat="false" ht="15" hidden="false" customHeight="false" outlineLevel="0" collapsed="false">
      <c r="A64" s="45" t="s">
        <v>367</v>
      </c>
      <c r="B64" s="46" t="s">
        <v>318</v>
      </c>
      <c r="C64" s="63" t="n">
        <f aca="false">C52-C60</f>
        <v>15.1517620940147</v>
      </c>
      <c r="D64" s="63" t="n">
        <f aca="false">D52-D60</f>
        <v>15.6417468804614</v>
      </c>
      <c r="E64" s="63" t="n">
        <f aca="false">E52-E60</f>
        <v>16.36480891778</v>
      </c>
      <c r="F64" s="63" t="n">
        <f aca="false">F52-F60</f>
        <v>15.6018382690958</v>
      </c>
      <c r="G64" s="63" t="n">
        <f aca="false">G52-G60</f>
        <v>15.9426065815221</v>
      </c>
      <c r="H64" s="63" t="n">
        <f aca="false">H52-H60</f>
        <v>16.7577043538156</v>
      </c>
      <c r="I64" s="63" t="n">
        <f aca="false">I52-I60</f>
        <v>16.6016287035853</v>
      </c>
      <c r="J64" s="63" t="n">
        <f aca="false">J52-J60</f>
        <v>16.2817888489229</v>
      </c>
      <c r="K64" s="63" t="n">
        <f aca="false">K52-K60</f>
        <v>15.3157455388997</v>
      </c>
      <c r="L64" s="63" t="n">
        <f aca="false">L52-L60</f>
        <v>15.6387805284512</v>
      </c>
      <c r="M64" s="63" t="n">
        <f aca="false">M52-M60</f>
        <v>16.1227706121542</v>
      </c>
      <c r="N64" s="63" t="n">
        <f aca="false">N52-N60</f>
        <v>17.4127740008245</v>
      </c>
      <c r="O64" s="64" t="n">
        <f aca="false">SUM(C64:N64)</f>
        <v>192.833955329527</v>
      </c>
      <c r="P64" s="8" t="s">
        <v>683</v>
      </c>
      <c r="Q64" s="8" t="s">
        <v>368</v>
      </c>
    </row>
    <row r="65" customFormat="false" ht="15" hidden="false" customHeight="false" outlineLevel="0" collapsed="false">
      <c r="A65" s="8" t="s">
        <v>724</v>
      </c>
      <c r="B65" s="8" t="s">
        <v>285</v>
      </c>
      <c r="C65" s="36" t="n">
        <f aca="false">IFERROR(C64/C52,0)</f>
        <v>0.589958950294822</v>
      </c>
      <c r="D65" s="36" t="n">
        <f aca="false">IFERROR(D64/D52,0)</f>
        <v>0.596607986380051</v>
      </c>
      <c r="E65" s="36" t="n">
        <f aca="false">IFERROR(E64/E52,0)</f>
        <v>0.599709117488453</v>
      </c>
      <c r="F65" s="36" t="n">
        <f aca="false">IFERROR(F64/F52,0)</f>
        <v>0.601220695969579</v>
      </c>
      <c r="G65" s="36" t="n">
        <f aca="false">IFERROR(G64/G52,0)</f>
        <v>0.601941129843164</v>
      </c>
      <c r="H65" s="36" t="n">
        <f aca="false">IFERROR(H64/H52,0)</f>
        <v>0.602297512445765</v>
      </c>
      <c r="I65" s="36" t="n">
        <f aca="false">IFERROR(I64/I52,0)</f>
        <v>0.602481001532488</v>
      </c>
      <c r="J65" s="36" t="n">
        <f aca="false">IFERROR(J64/J52,0)</f>
        <v>0.602574333584963</v>
      </c>
      <c r="K65" s="36" t="n">
        <f aca="false">IFERROR(K64/K52,0)</f>
        <v>0.602621221690597</v>
      </c>
      <c r="L65" s="36" t="n">
        <f aca="false">IFERROR(L64/L52,0)</f>
        <v>0.602644275069505</v>
      </c>
      <c r="M65" s="36" t="n">
        <f aca="false">IFERROR(M64/M52,0)</f>
        <v>0.602656104054729</v>
      </c>
      <c r="N65" s="36" t="n">
        <f aca="false">IFERROR(N64/N52,0)</f>
        <v>0.602662394131285</v>
      </c>
      <c r="O65" s="59" t="n">
        <f aca="false">IFERROR(O64/O52,0)</f>
        <v>0.60066475258265</v>
      </c>
      <c r="P65" s="8" t="s">
        <v>683</v>
      </c>
      <c r="Q65" s="8" t="s">
        <v>725</v>
      </c>
    </row>
    <row r="67" customFormat="false" ht="15" hidden="false" customHeight="false" outlineLevel="0" collapsed="false">
      <c r="A67" s="16" t="s">
        <v>727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</row>
    <row r="68" customFormat="false" ht="15" hidden="false" customHeight="false" outlineLevel="0" collapsed="false">
      <c r="A68" s="8" t="s">
        <v>682</v>
      </c>
      <c r="B68" s="8" t="s">
        <v>644</v>
      </c>
      <c r="C68" s="56" t="n">
        <f aca="false">Assumptions!C$72</f>
        <v>0.96</v>
      </c>
      <c r="D68" s="56" t="n">
        <f aca="false">Assumptions!D$72</f>
        <v>0.98</v>
      </c>
      <c r="E68" s="56" t="n">
        <f aca="false">Assumptions!E$72</f>
        <v>1.02</v>
      </c>
      <c r="F68" s="56" t="n">
        <f aca="false">Assumptions!F$72</f>
        <v>0.97</v>
      </c>
      <c r="G68" s="56" t="n">
        <f aca="false">Assumptions!G$72</f>
        <v>0.99</v>
      </c>
      <c r="H68" s="56" t="n">
        <f aca="false">Assumptions!H$72</f>
        <v>1.04</v>
      </c>
      <c r="I68" s="56" t="n">
        <f aca="false">Assumptions!I$72</f>
        <v>1.03</v>
      </c>
      <c r="J68" s="56" t="n">
        <f aca="false">Assumptions!J$72</f>
        <v>1.01</v>
      </c>
      <c r="K68" s="56" t="n">
        <f aca="false">Assumptions!K$72</f>
        <v>0.95</v>
      </c>
      <c r="L68" s="56" t="n">
        <f aca="false">Assumptions!L$72</f>
        <v>0.97</v>
      </c>
      <c r="M68" s="56" t="n">
        <f aca="false">Assumptions!M$72</f>
        <v>1</v>
      </c>
      <c r="N68" s="56" t="n">
        <f aca="false">Assumptions!N$72</f>
        <v>1.08</v>
      </c>
      <c r="O68" s="57" t="n">
        <f aca="false">SUM(C68:N68)</f>
        <v>12</v>
      </c>
      <c r="P68" s="8" t="s">
        <v>683</v>
      </c>
      <c r="Q68" s="8" t="s">
        <v>684</v>
      </c>
    </row>
    <row r="69" customFormat="false" ht="15" hidden="false" customHeight="false" outlineLevel="0" collapsed="false">
      <c r="A69" s="8" t="s">
        <v>685</v>
      </c>
      <c r="B69" s="8" t="s">
        <v>355</v>
      </c>
      <c r="C69" s="35" t="n">
        <f aca="false">Assumptions!$E$62*C68/12</f>
        <v>0.873055950436019</v>
      </c>
      <c r="D69" s="35" t="n">
        <f aca="false">Assumptions!$E$62*D68/12</f>
        <v>0.891244616070102</v>
      </c>
      <c r="E69" s="35" t="n">
        <f aca="false">Assumptions!$E$62*E68/12</f>
        <v>0.92762194733827</v>
      </c>
      <c r="F69" s="35" t="n">
        <f aca="false">Assumptions!$E$62*F68/12</f>
        <v>0.88215028325306</v>
      </c>
      <c r="G69" s="35" t="n">
        <f aca="false">Assumptions!$E$62*G68/12</f>
        <v>0.900338948887144</v>
      </c>
      <c r="H69" s="35" t="n">
        <f aca="false">Assumptions!$E$62*H68/12</f>
        <v>0.945810612972354</v>
      </c>
      <c r="I69" s="35" t="n">
        <f aca="false">Assumptions!$E$62*I68/12</f>
        <v>0.936716280155312</v>
      </c>
      <c r="J69" s="35" t="n">
        <f aca="false">Assumptions!$E$62*J68/12</f>
        <v>0.918527614521228</v>
      </c>
      <c r="K69" s="35" t="n">
        <f aca="false">Assumptions!$E$62*K68/12</f>
        <v>0.863961617618977</v>
      </c>
      <c r="L69" s="35" t="n">
        <f aca="false">Assumptions!$E$62*L68/12</f>
        <v>0.88215028325306</v>
      </c>
      <c r="M69" s="35" t="n">
        <f aca="false">Assumptions!$E$62*M68/12</f>
        <v>0.909433281704186</v>
      </c>
      <c r="N69" s="35" t="n">
        <f aca="false">Assumptions!$E$62*N68/12</f>
        <v>0.982187944240521</v>
      </c>
      <c r="O69" s="58" t="n">
        <f aca="false">SUM(C69:N69)</f>
        <v>10.9131993804502</v>
      </c>
      <c r="P69" s="8" t="s">
        <v>683</v>
      </c>
      <c r="Q69" s="8" t="s">
        <v>686</v>
      </c>
    </row>
    <row r="70" customFormat="false" ht="15" hidden="false" customHeight="false" outlineLevel="0" collapsed="false">
      <c r="A70" s="8" t="s">
        <v>345</v>
      </c>
      <c r="B70" s="8" t="s">
        <v>355</v>
      </c>
      <c r="C70" s="35" t="n">
        <f aca="false">Assumptions!$E$46</f>
        <v>1.3</v>
      </c>
      <c r="D70" s="35" t="n">
        <f aca="false">Assumptions!$E$46</f>
        <v>1.3</v>
      </c>
      <c r="E70" s="35" t="n">
        <f aca="false">Assumptions!$E$46</f>
        <v>1.3</v>
      </c>
      <c r="F70" s="35" t="n">
        <f aca="false">Assumptions!$E$46</f>
        <v>1.3</v>
      </c>
      <c r="G70" s="35" t="n">
        <f aca="false">Assumptions!$E$46</f>
        <v>1.3</v>
      </c>
      <c r="H70" s="35" t="n">
        <f aca="false">Assumptions!$E$46</f>
        <v>1.3</v>
      </c>
      <c r="I70" s="35" t="n">
        <f aca="false">Assumptions!$E$46</f>
        <v>1.3</v>
      </c>
      <c r="J70" s="35" t="n">
        <f aca="false">Assumptions!$E$46</f>
        <v>1.3</v>
      </c>
      <c r="K70" s="35" t="n">
        <f aca="false">Assumptions!$E$46</f>
        <v>1.3</v>
      </c>
      <c r="L70" s="35" t="n">
        <f aca="false">Assumptions!$E$46</f>
        <v>1.3</v>
      </c>
      <c r="M70" s="35" t="n">
        <f aca="false">Assumptions!$E$46</f>
        <v>1.3</v>
      </c>
      <c r="N70" s="35" t="n">
        <f aca="false">Assumptions!$E$46</f>
        <v>1.3</v>
      </c>
      <c r="O70" s="58" t="n">
        <f aca="false">SUM(C70:N70)</f>
        <v>15.6</v>
      </c>
      <c r="P70" s="8" t="s">
        <v>683</v>
      </c>
      <c r="Q70" s="8" t="s">
        <v>687</v>
      </c>
    </row>
    <row r="71" customFormat="false" ht="15" hidden="false" customHeight="false" outlineLevel="0" collapsed="false">
      <c r="A71" s="8" t="s">
        <v>688</v>
      </c>
      <c r="B71" s="8" t="s">
        <v>285</v>
      </c>
      <c r="C71" s="36" t="n">
        <f aca="false">Assumptions!$E$65</f>
        <v>0.8</v>
      </c>
      <c r="D71" s="36" t="n">
        <f aca="false">Assumptions!$E$65</f>
        <v>0.8</v>
      </c>
      <c r="E71" s="36" t="n">
        <f aca="false">Assumptions!$E$65</f>
        <v>0.8</v>
      </c>
      <c r="F71" s="36" t="n">
        <f aca="false">Assumptions!$E$65</f>
        <v>0.8</v>
      </c>
      <c r="G71" s="36" t="n">
        <f aca="false">Assumptions!$E$65</f>
        <v>0.8</v>
      </c>
      <c r="H71" s="36" t="n">
        <f aca="false">Assumptions!$E$65</f>
        <v>0.8</v>
      </c>
      <c r="I71" s="36" t="n">
        <f aca="false">Assumptions!$E$65</f>
        <v>0.8</v>
      </c>
      <c r="J71" s="36" t="n">
        <f aca="false">Assumptions!$E$65</f>
        <v>0.8</v>
      </c>
      <c r="K71" s="36" t="n">
        <f aca="false">Assumptions!$E$65</f>
        <v>0.8</v>
      </c>
      <c r="L71" s="36" t="n">
        <f aca="false">Assumptions!$E$65</f>
        <v>0.8</v>
      </c>
      <c r="M71" s="36" t="n">
        <f aca="false">Assumptions!$E$65</f>
        <v>0.8</v>
      </c>
      <c r="N71" s="36" t="n">
        <f aca="false">Assumptions!$E$65</f>
        <v>0.8</v>
      </c>
      <c r="O71" s="59" t="n">
        <f aca="false">IFERROR(O72/O70,0)</f>
        <v>0.8</v>
      </c>
      <c r="P71" s="8" t="s">
        <v>683</v>
      </c>
      <c r="Q71" s="8" t="s">
        <v>689</v>
      </c>
    </row>
    <row r="72" customFormat="false" ht="15" hidden="false" customHeight="false" outlineLevel="0" collapsed="false">
      <c r="A72" s="8" t="s">
        <v>357</v>
      </c>
      <c r="B72" s="8" t="s">
        <v>355</v>
      </c>
      <c r="C72" s="35" t="n">
        <f aca="false">C70*C71</f>
        <v>1.04</v>
      </c>
      <c r="D72" s="35" t="n">
        <f aca="false">D70*D71</f>
        <v>1.04</v>
      </c>
      <c r="E72" s="35" t="n">
        <f aca="false">E70*E71</f>
        <v>1.04</v>
      </c>
      <c r="F72" s="35" t="n">
        <f aca="false">F70*F71</f>
        <v>1.04</v>
      </c>
      <c r="G72" s="35" t="n">
        <f aca="false">G70*G71</f>
        <v>1.04</v>
      </c>
      <c r="H72" s="35" t="n">
        <f aca="false">H70*H71</f>
        <v>1.04</v>
      </c>
      <c r="I72" s="35" t="n">
        <f aca="false">I70*I71</f>
        <v>1.04</v>
      </c>
      <c r="J72" s="35" t="n">
        <f aca="false">J70*J71</f>
        <v>1.04</v>
      </c>
      <c r="K72" s="35" t="n">
        <f aca="false">K70*K71</f>
        <v>1.04</v>
      </c>
      <c r="L72" s="35" t="n">
        <f aca="false">L70*L71</f>
        <v>1.04</v>
      </c>
      <c r="M72" s="35" t="n">
        <f aca="false">M70*M71</f>
        <v>1.04</v>
      </c>
      <c r="N72" s="35" t="n">
        <f aca="false">N70*N71</f>
        <v>1.04</v>
      </c>
      <c r="O72" s="58" t="n">
        <f aca="false">SUM(C72:N72)</f>
        <v>12.48</v>
      </c>
      <c r="P72" s="8" t="s">
        <v>683</v>
      </c>
      <c r="Q72" s="8" t="s">
        <v>690</v>
      </c>
    </row>
    <row r="73" customFormat="false" ht="15" hidden="false" customHeight="false" outlineLevel="0" collapsed="false">
      <c r="A73" s="8" t="s">
        <v>691</v>
      </c>
      <c r="B73" s="8" t="s">
        <v>285</v>
      </c>
      <c r="C73" s="36" t="n">
        <f aca="false">Assumptions!$E$64</f>
        <v>0.85</v>
      </c>
      <c r="D73" s="36" t="n">
        <f aca="false">Assumptions!$E$64</f>
        <v>0.85</v>
      </c>
      <c r="E73" s="36" t="n">
        <f aca="false">Assumptions!$E$64</f>
        <v>0.85</v>
      </c>
      <c r="F73" s="36" t="n">
        <f aca="false">Assumptions!$E$64</f>
        <v>0.85</v>
      </c>
      <c r="G73" s="36" t="n">
        <f aca="false">Assumptions!$E$64</f>
        <v>0.85</v>
      </c>
      <c r="H73" s="36" t="n">
        <f aca="false">Assumptions!$E$64</f>
        <v>0.85</v>
      </c>
      <c r="I73" s="36" t="n">
        <f aca="false">Assumptions!$E$64</f>
        <v>0.85</v>
      </c>
      <c r="J73" s="36" t="n">
        <f aca="false">Assumptions!$E$64</f>
        <v>0.85</v>
      </c>
      <c r="K73" s="36" t="n">
        <f aca="false">Assumptions!$E$64</f>
        <v>0.85</v>
      </c>
      <c r="L73" s="36" t="n">
        <f aca="false">Assumptions!$E$64</f>
        <v>0.85</v>
      </c>
      <c r="M73" s="36" t="n">
        <f aca="false">Assumptions!$E$64</f>
        <v>0.85</v>
      </c>
      <c r="N73" s="36" t="n">
        <f aca="false">Assumptions!$E$64</f>
        <v>0.85</v>
      </c>
      <c r="O73" s="59" t="n">
        <f aca="false">IFERROR(O74/O72,0)</f>
        <v>0.85</v>
      </c>
      <c r="P73" s="8" t="s">
        <v>683</v>
      </c>
      <c r="Q73" s="8" t="s">
        <v>692</v>
      </c>
    </row>
    <row r="74" customFormat="false" ht="15" hidden="false" customHeight="false" outlineLevel="0" collapsed="false">
      <c r="A74" s="8" t="s">
        <v>693</v>
      </c>
      <c r="B74" s="8" t="s">
        <v>355</v>
      </c>
      <c r="C74" s="35" t="n">
        <f aca="false">C72*C73</f>
        <v>0.884</v>
      </c>
      <c r="D74" s="35" t="n">
        <f aca="false">D72*D73</f>
        <v>0.884</v>
      </c>
      <c r="E74" s="35" t="n">
        <f aca="false">E72*E73</f>
        <v>0.884</v>
      </c>
      <c r="F74" s="35" t="n">
        <f aca="false">F72*F73</f>
        <v>0.884</v>
      </c>
      <c r="G74" s="35" t="n">
        <f aca="false">G72*G73</f>
        <v>0.884</v>
      </c>
      <c r="H74" s="35" t="n">
        <f aca="false">H72*H73</f>
        <v>0.884</v>
      </c>
      <c r="I74" s="35" t="n">
        <f aca="false">I72*I73</f>
        <v>0.884</v>
      </c>
      <c r="J74" s="35" t="n">
        <f aca="false">J72*J73</f>
        <v>0.884</v>
      </c>
      <c r="K74" s="35" t="n">
        <f aca="false">K72*K73</f>
        <v>0.884</v>
      </c>
      <c r="L74" s="35" t="n">
        <f aca="false">L72*L73</f>
        <v>0.884</v>
      </c>
      <c r="M74" s="35" t="n">
        <f aca="false">M72*M73</f>
        <v>0.884</v>
      </c>
      <c r="N74" s="35" t="n">
        <f aca="false">N72*N73</f>
        <v>0.884</v>
      </c>
      <c r="O74" s="58" t="n">
        <f aca="false">SUM(C74:N74)</f>
        <v>10.608</v>
      </c>
      <c r="P74" s="8" t="s">
        <v>683</v>
      </c>
      <c r="Q74" s="8" t="s">
        <v>694</v>
      </c>
    </row>
    <row r="75" customFormat="false" ht="15" hidden="false" customHeight="false" outlineLevel="0" collapsed="false">
      <c r="A75" s="8" t="s">
        <v>412</v>
      </c>
      <c r="B75" s="8" t="s">
        <v>355</v>
      </c>
      <c r="C75" s="35" t="n">
        <f aca="false">Assumptions!$E$67</f>
        <v>0.727546625363349</v>
      </c>
      <c r="D75" s="35" t="n">
        <f aca="false">C78</f>
        <v>0.73849067492733</v>
      </c>
      <c r="E75" s="35" t="n">
        <f aca="false">D78</f>
        <v>0.731246058857228</v>
      </c>
      <c r="F75" s="35" t="n">
        <f aca="false">E78</f>
        <v>0.687624111518958</v>
      </c>
      <c r="G75" s="35" t="n">
        <f aca="false">F78</f>
        <v>0.689473828265897</v>
      </c>
      <c r="H75" s="35" t="n">
        <f aca="false">G78</f>
        <v>0.673134879378753</v>
      </c>
      <c r="I75" s="35" t="n">
        <f aca="false">H78</f>
        <v>0.611324266406399</v>
      </c>
      <c r="J75" s="35" t="n">
        <f aca="false">I78</f>
        <v>0.558607986251087</v>
      </c>
      <c r="K75" s="35" t="n">
        <f aca="false">J78</f>
        <v>0.524080371729859</v>
      </c>
      <c r="L75" s="35" t="n">
        <f aca="false">K78</f>
        <v>0.544118754110883</v>
      </c>
      <c r="M75" s="35" t="n">
        <f aca="false">L78</f>
        <v>0.545968470857822</v>
      </c>
      <c r="N75" s="35" t="n">
        <f aca="false">M78</f>
        <v>0.520535189153636</v>
      </c>
      <c r="O75" s="58" t="n">
        <f aca="false">C75</f>
        <v>0.727546625363349</v>
      </c>
      <c r="P75" s="8" t="s">
        <v>683</v>
      </c>
      <c r="Q75" s="8" t="s">
        <v>695</v>
      </c>
    </row>
    <row r="76" customFormat="false" ht="15" hidden="false" customHeight="false" outlineLevel="0" collapsed="false">
      <c r="A76" s="8" t="s">
        <v>696</v>
      </c>
      <c r="B76" s="8" t="s">
        <v>355</v>
      </c>
      <c r="C76" s="35" t="n">
        <f aca="false">C75+C74</f>
        <v>1.61154662536335</v>
      </c>
      <c r="D76" s="35" t="n">
        <f aca="false">D75+D74</f>
        <v>1.62249067492733</v>
      </c>
      <c r="E76" s="35" t="n">
        <f aca="false">E75+E74</f>
        <v>1.61524605885723</v>
      </c>
      <c r="F76" s="35" t="n">
        <f aca="false">F75+F74</f>
        <v>1.57162411151896</v>
      </c>
      <c r="G76" s="35" t="n">
        <f aca="false">G75+G74</f>
        <v>1.5734738282659</v>
      </c>
      <c r="H76" s="35" t="n">
        <f aca="false">H75+H74</f>
        <v>1.55713487937875</v>
      </c>
      <c r="I76" s="35" t="n">
        <f aca="false">I75+I74</f>
        <v>1.4953242664064</v>
      </c>
      <c r="J76" s="35" t="n">
        <f aca="false">J75+J74</f>
        <v>1.44260798625109</v>
      </c>
      <c r="K76" s="35" t="n">
        <f aca="false">K75+K74</f>
        <v>1.40808037172986</v>
      </c>
      <c r="L76" s="35" t="n">
        <f aca="false">L75+L74</f>
        <v>1.42811875411088</v>
      </c>
      <c r="M76" s="35" t="n">
        <f aca="false">M75+M74</f>
        <v>1.42996847085782</v>
      </c>
      <c r="N76" s="35" t="n">
        <f aca="false">N75+N74</f>
        <v>1.40453518915364</v>
      </c>
      <c r="P76" s="8" t="s">
        <v>683</v>
      </c>
      <c r="Q76" s="8" t="s">
        <v>697</v>
      </c>
    </row>
    <row r="77" customFormat="false" ht="15" hidden="false" customHeight="false" outlineLevel="0" collapsed="false">
      <c r="A77" s="45" t="s">
        <v>354</v>
      </c>
      <c r="B77" s="46" t="s">
        <v>355</v>
      </c>
      <c r="C77" s="60" t="n">
        <f aca="false">MIN(C69,C76)</f>
        <v>0.873055950436019</v>
      </c>
      <c r="D77" s="60" t="n">
        <f aca="false">MIN(D69,D76)</f>
        <v>0.891244616070102</v>
      </c>
      <c r="E77" s="60" t="n">
        <f aca="false">MIN(E69,E76)</f>
        <v>0.92762194733827</v>
      </c>
      <c r="F77" s="60" t="n">
        <f aca="false">MIN(F69,F76)</f>
        <v>0.88215028325306</v>
      </c>
      <c r="G77" s="60" t="n">
        <f aca="false">MIN(G69,G76)</f>
        <v>0.900338948887144</v>
      </c>
      <c r="H77" s="60" t="n">
        <f aca="false">MIN(H69,H76)</f>
        <v>0.945810612972354</v>
      </c>
      <c r="I77" s="60" t="n">
        <f aca="false">MIN(I69,I76)</f>
        <v>0.936716280155312</v>
      </c>
      <c r="J77" s="60" t="n">
        <f aca="false">MIN(J69,J76)</f>
        <v>0.918527614521228</v>
      </c>
      <c r="K77" s="60" t="n">
        <f aca="false">MIN(K69,K76)</f>
        <v>0.863961617618977</v>
      </c>
      <c r="L77" s="60" t="n">
        <f aca="false">MIN(L69,L76)</f>
        <v>0.88215028325306</v>
      </c>
      <c r="M77" s="60" t="n">
        <f aca="false">MIN(M69,M76)</f>
        <v>0.909433281704186</v>
      </c>
      <c r="N77" s="60" t="n">
        <f aca="false">MIN(N69,N76)</f>
        <v>0.982187944240521</v>
      </c>
      <c r="O77" s="61" t="n">
        <f aca="false">SUM(C77:N77)</f>
        <v>10.9131993804502</v>
      </c>
      <c r="P77" s="8" t="s">
        <v>683</v>
      </c>
      <c r="Q77" s="8" t="s">
        <v>698</v>
      </c>
    </row>
    <row r="78" customFormat="false" ht="15" hidden="false" customHeight="false" outlineLevel="0" collapsed="false">
      <c r="A78" s="8" t="s">
        <v>699</v>
      </c>
      <c r="B78" s="8" t="s">
        <v>355</v>
      </c>
      <c r="C78" s="35" t="n">
        <f aca="false">C76-C77</f>
        <v>0.73849067492733</v>
      </c>
      <c r="D78" s="35" t="n">
        <f aca="false">D76-D77</f>
        <v>0.731246058857228</v>
      </c>
      <c r="E78" s="35" t="n">
        <f aca="false">E76-E77</f>
        <v>0.687624111518958</v>
      </c>
      <c r="F78" s="35" t="n">
        <f aca="false">F76-F77</f>
        <v>0.689473828265897</v>
      </c>
      <c r="G78" s="35" t="n">
        <f aca="false">G76-G77</f>
        <v>0.673134879378753</v>
      </c>
      <c r="H78" s="35" t="n">
        <f aca="false">H76-H77</f>
        <v>0.611324266406399</v>
      </c>
      <c r="I78" s="35" t="n">
        <f aca="false">I76-I77</f>
        <v>0.558607986251087</v>
      </c>
      <c r="J78" s="35" t="n">
        <f aca="false">J76-J77</f>
        <v>0.524080371729859</v>
      </c>
      <c r="K78" s="35" t="n">
        <f aca="false">K76-K77</f>
        <v>0.544118754110883</v>
      </c>
      <c r="L78" s="35" t="n">
        <f aca="false">L76-L77</f>
        <v>0.545968470857822</v>
      </c>
      <c r="M78" s="35" t="n">
        <f aca="false">M76-M77</f>
        <v>0.520535189153636</v>
      </c>
      <c r="N78" s="35" t="n">
        <f aca="false">N76-N77</f>
        <v>0.422347244913115</v>
      </c>
      <c r="O78" s="58" t="n">
        <f aca="false">N78</f>
        <v>0.422347244913115</v>
      </c>
      <c r="P78" s="8" t="s">
        <v>683</v>
      </c>
      <c r="Q78" s="8" t="s">
        <v>700</v>
      </c>
    </row>
    <row r="79" customFormat="false" ht="15" hidden="false" customHeight="false" outlineLevel="0" collapsed="false">
      <c r="A79" s="8" t="s">
        <v>701</v>
      </c>
      <c r="B79" s="8" t="s">
        <v>355</v>
      </c>
      <c r="C79" s="35" t="n">
        <f aca="false">C69-C77</f>
        <v>0</v>
      </c>
      <c r="D79" s="35" t="n">
        <f aca="false">D69-D77</f>
        <v>0</v>
      </c>
      <c r="E79" s="35" t="n">
        <f aca="false">E69-E77</f>
        <v>0</v>
      </c>
      <c r="F79" s="35" t="n">
        <f aca="false">F69-F77</f>
        <v>0</v>
      </c>
      <c r="G79" s="35" t="n">
        <f aca="false">G69-G77</f>
        <v>0</v>
      </c>
      <c r="H79" s="35" t="n">
        <f aca="false">H69-H77</f>
        <v>0</v>
      </c>
      <c r="I79" s="35" t="n">
        <f aca="false">I69-I77</f>
        <v>0</v>
      </c>
      <c r="J79" s="35" t="n">
        <f aca="false">J69-J77</f>
        <v>0</v>
      </c>
      <c r="K79" s="35" t="n">
        <f aca="false">K69-K77</f>
        <v>0</v>
      </c>
      <c r="L79" s="35" t="n">
        <f aca="false">L69-L77</f>
        <v>0</v>
      </c>
      <c r="M79" s="35" t="n">
        <f aca="false">M69-M77</f>
        <v>0</v>
      </c>
      <c r="N79" s="35" t="n">
        <f aca="false">N69-N77</f>
        <v>0</v>
      </c>
      <c r="O79" s="58" t="n">
        <f aca="false">SUM(C79:N79)</f>
        <v>0</v>
      </c>
      <c r="P79" s="8" t="s">
        <v>683</v>
      </c>
      <c r="Q79" s="8" t="s">
        <v>702</v>
      </c>
    </row>
    <row r="80" customFormat="false" ht="15" hidden="false" customHeight="false" outlineLevel="0" collapsed="false">
      <c r="A80" s="8" t="s">
        <v>703</v>
      </c>
      <c r="B80" s="8" t="s">
        <v>644</v>
      </c>
      <c r="C80" s="56" t="n">
        <f aca="false">IFERROR(C69/(C70*C73),0)</f>
        <v>0.790095882747528</v>
      </c>
      <c r="D80" s="56" t="n">
        <f aca="false">IFERROR(D69/(D70*D73),0)</f>
        <v>0.806556213638102</v>
      </c>
      <c r="E80" s="56" t="n">
        <f aca="false">IFERROR(E69/(E70*E73),0)</f>
        <v>0.839476875419249</v>
      </c>
      <c r="F80" s="56" t="n">
        <f aca="false">IFERROR(F69/(F70*F73),0)</f>
        <v>0.798326048192815</v>
      </c>
      <c r="G80" s="56" t="n">
        <f aca="false">IFERROR(G69/(G70*G73),0)</f>
        <v>0.814786379083388</v>
      </c>
      <c r="H80" s="56" t="n">
        <f aca="false">IFERROR(H69/(H70*H73),0)</f>
        <v>0.855937206309822</v>
      </c>
      <c r="I80" s="56" t="n">
        <f aca="false">IFERROR(I69/(I70*I73),0)</f>
        <v>0.847707040864536</v>
      </c>
      <c r="J80" s="56" t="n">
        <f aca="false">IFERROR(J69/(J70*J73),0)</f>
        <v>0.831246709973962</v>
      </c>
      <c r="K80" s="56" t="n">
        <f aca="false">IFERROR(K69/(K70*K73),0)</f>
        <v>0.781865717302241</v>
      </c>
      <c r="L80" s="56" t="n">
        <f aca="false">IFERROR(L69/(L70*L73),0)</f>
        <v>0.798326048192815</v>
      </c>
      <c r="M80" s="56" t="n">
        <f aca="false">IFERROR(M69/(M70*M73),0)</f>
        <v>0.823016544528675</v>
      </c>
      <c r="N80" s="56" t="n">
        <f aca="false">IFERROR(N69/(N70*N73),0)</f>
        <v>0.888857868090969</v>
      </c>
      <c r="O80" s="57" t="n">
        <f aca="false">IFERROR(O69/(O70*O73),0)</f>
        <v>0.823016544528675</v>
      </c>
      <c r="P80" s="8" t="s">
        <v>683</v>
      </c>
      <c r="Q80" s="8" t="s">
        <v>704</v>
      </c>
    </row>
    <row r="81" customFormat="false" ht="15" hidden="false" customHeight="false" outlineLevel="0" collapsed="false">
      <c r="A81" s="8" t="s">
        <v>705</v>
      </c>
      <c r="B81" s="8" t="s">
        <v>336</v>
      </c>
      <c r="C81" s="37" t="n">
        <f aca="false">Assumptions!$E$63</f>
        <v>24.75</v>
      </c>
      <c r="D81" s="37" t="n">
        <f aca="false">Assumptions!$E$63</f>
        <v>24.75</v>
      </c>
      <c r="E81" s="37" t="n">
        <f aca="false">Assumptions!$E$63</f>
        <v>24.75</v>
      </c>
      <c r="F81" s="37" t="n">
        <f aca="false">Assumptions!$E$63</f>
        <v>24.75</v>
      </c>
      <c r="G81" s="37" t="n">
        <f aca="false">Assumptions!$E$63</f>
        <v>24.75</v>
      </c>
      <c r="H81" s="37" t="n">
        <f aca="false">Assumptions!$E$63</f>
        <v>24.75</v>
      </c>
      <c r="I81" s="37" t="n">
        <f aca="false">Assumptions!$E$63</f>
        <v>24.75</v>
      </c>
      <c r="J81" s="37" t="n">
        <f aca="false">Assumptions!$E$63</f>
        <v>24.75</v>
      </c>
      <c r="K81" s="37" t="n">
        <f aca="false">Assumptions!$E$63</f>
        <v>24.75</v>
      </c>
      <c r="L81" s="37" t="n">
        <f aca="false">Assumptions!$E$63</f>
        <v>24.75</v>
      </c>
      <c r="M81" s="37" t="n">
        <f aca="false">Assumptions!$E$63</f>
        <v>24.75</v>
      </c>
      <c r="N81" s="37" t="n">
        <f aca="false">Assumptions!$E$63</f>
        <v>24.75</v>
      </c>
      <c r="O81" s="62" t="n">
        <f aca="false">IFERROR(O82/O77,0)</f>
        <v>24.75</v>
      </c>
      <c r="P81" s="8" t="s">
        <v>683</v>
      </c>
      <c r="Q81" s="8" t="s">
        <v>706</v>
      </c>
    </row>
    <row r="82" customFormat="false" ht="15" hidden="false" customHeight="false" outlineLevel="0" collapsed="false">
      <c r="A82" s="45" t="s">
        <v>22</v>
      </c>
      <c r="B82" s="46" t="s">
        <v>318</v>
      </c>
      <c r="C82" s="63" t="n">
        <f aca="false">C77*C81</f>
        <v>21.6081347732915</v>
      </c>
      <c r="D82" s="63" t="n">
        <f aca="false">D77*D81</f>
        <v>22.058304247735</v>
      </c>
      <c r="E82" s="63" t="n">
        <f aca="false">E77*E81</f>
        <v>22.9586431966222</v>
      </c>
      <c r="F82" s="63" t="n">
        <f aca="false">F77*F81</f>
        <v>21.8332195105132</v>
      </c>
      <c r="G82" s="63" t="n">
        <f aca="false">G77*G81</f>
        <v>22.2833889849568</v>
      </c>
      <c r="H82" s="63" t="n">
        <f aca="false">H77*H81</f>
        <v>23.4088126710658</v>
      </c>
      <c r="I82" s="63" t="n">
        <f aca="false">I77*I81</f>
        <v>23.183727933844</v>
      </c>
      <c r="J82" s="63" t="n">
        <f aca="false">J77*J81</f>
        <v>22.7335584594004</v>
      </c>
      <c r="K82" s="63" t="n">
        <f aca="false">K77*K81</f>
        <v>21.3830500360697</v>
      </c>
      <c r="L82" s="63" t="n">
        <f aca="false">L77*L81</f>
        <v>21.8332195105132</v>
      </c>
      <c r="M82" s="63" t="n">
        <f aca="false">M77*M81</f>
        <v>22.5084737221786</v>
      </c>
      <c r="N82" s="63" t="n">
        <f aca="false">N77*N81</f>
        <v>24.3091516199529</v>
      </c>
      <c r="O82" s="64" t="n">
        <f aca="false">SUM(C82:N82)</f>
        <v>270.101684666143</v>
      </c>
      <c r="P82" s="8" t="s">
        <v>683</v>
      </c>
      <c r="Q82" s="8" t="s">
        <v>707</v>
      </c>
    </row>
    <row r="83" customFormat="false" ht="15" hidden="false" customHeight="false" outlineLevel="0" collapsed="false">
      <c r="A83" s="8" t="s">
        <v>708</v>
      </c>
      <c r="B83" s="8" t="s">
        <v>336</v>
      </c>
      <c r="C83" s="37" t="n">
        <f aca="false">Assumptions!$E$66</f>
        <v>4.841</v>
      </c>
      <c r="D83" s="37" t="n">
        <f aca="false">Assumptions!$E$66</f>
        <v>4.841</v>
      </c>
      <c r="E83" s="37" t="n">
        <f aca="false">Assumptions!$E$66</f>
        <v>4.841</v>
      </c>
      <c r="F83" s="37" t="n">
        <f aca="false">Assumptions!$E$66</f>
        <v>4.841</v>
      </c>
      <c r="G83" s="37" t="n">
        <f aca="false">Assumptions!$E$66</f>
        <v>4.841</v>
      </c>
      <c r="H83" s="37" t="n">
        <f aca="false">Assumptions!$E$66</f>
        <v>4.841</v>
      </c>
      <c r="I83" s="37" t="n">
        <f aca="false">Assumptions!$E$66</f>
        <v>4.841</v>
      </c>
      <c r="J83" s="37" t="n">
        <f aca="false">Assumptions!$E$66</f>
        <v>4.841</v>
      </c>
      <c r="K83" s="37" t="n">
        <f aca="false">Assumptions!$E$66</f>
        <v>4.841</v>
      </c>
      <c r="L83" s="37" t="n">
        <f aca="false">Assumptions!$E$66</f>
        <v>4.841</v>
      </c>
      <c r="M83" s="37" t="n">
        <f aca="false">Assumptions!$E$66</f>
        <v>4.841</v>
      </c>
      <c r="N83" s="37" t="n">
        <f aca="false">Assumptions!$E$66</f>
        <v>4.841</v>
      </c>
      <c r="O83" s="62" t="n">
        <f aca="false">IFERROR(O84/O72,0)</f>
        <v>4.841</v>
      </c>
      <c r="P83" s="8" t="s">
        <v>683</v>
      </c>
      <c r="Q83" s="8" t="s">
        <v>709</v>
      </c>
    </row>
    <row r="84" customFormat="false" ht="15" hidden="false" customHeight="false" outlineLevel="0" collapsed="false">
      <c r="A84" s="8" t="s">
        <v>361</v>
      </c>
      <c r="B84" s="8" t="s">
        <v>318</v>
      </c>
      <c r="C84" s="31" t="n">
        <f aca="false">C72*C83</f>
        <v>5.03464</v>
      </c>
      <c r="D84" s="31" t="n">
        <f aca="false">D72*D83</f>
        <v>5.03464</v>
      </c>
      <c r="E84" s="31" t="n">
        <f aca="false">E72*E83</f>
        <v>5.03464</v>
      </c>
      <c r="F84" s="31" t="n">
        <f aca="false">F72*F83</f>
        <v>5.03464</v>
      </c>
      <c r="G84" s="31" t="n">
        <f aca="false">G72*G83</f>
        <v>5.03464</v>
      </c>
      <c r="H84" s="31" t="n">
        <f aca="false">H72*H83</f>
        <v>5.03464</v>
      </c>
      <c r="I84" s="31" t="n">
        <f aca="false">I72*I83</f>
        <v>5.03464</v>
      </c>
      <c r="J84" s="31" t="n">
        <f aca="false">J72*J83</f>
        <v>5.03464</v>
      </c>
      <c r="K84" s="31" t="n">
        <f aca="false">K72*K83</f>
        <v>5.03464</v>
      </c>
      <c r="L84" s="31" t="n">
        <f aca="false">L72*L83</f>
        <v>5.03464</v>
      </c>
      <c r="M84" s="31" t="n">
        <f aca="false">M72*M83</f>
        <v>5.03464</v>
      </c>
      <c r="N84" s="31" t="n">
        <f aca="false">N72*N83</f>
        <v>5.03464</v>
      </c>
      <c r="O84" s="43" t="n">
        <f aca="false">SUM(C84:N84)</f>
        <v>60.41568</v>
      </c>
      <c r="P84" s="8" t="s">
        <v>683</v>
      </c>
      <c r="Q84" s="8" t="s">
        <v>362</v>
      </c>
    </row>
    <row r="85" customFormat="false" ht="15" hidden="false" customHeight="false" outlineLevel="0" collapsed="false">
      <c r="A85" s="8" t="s">
        <v>363</v>
      </c>
      <c r="B85" s="8" t="s">
        <v>318</v>
      </c>
      <c r="C85" s="31" t="n">
        <f aca="false">Assumptions!$E$45</f>
        <v>4.4</v>
      </c>
      <c r="D85" s="31" t="n">
        <f aca="false">Assumptions!$E$45</f>
        <v>4.4</v>
      </c>
      <c r="E85" s="31" t="n">
        <f aca="false">Assumptions!$E$45</f>
        <v>4.4</v>
      </c>
      <c r="F85" s="31" t="n">
        <f aca="false">Assumptions!$E$45</f>
        <v>4.4</v>
      </c>
      <c r="G85" s="31" t="n">
        <f aca="false">Assumptions!$E$45</f>
        <v>4.4</v>
      </c>
      <c r="H85" s="31" t="n">
        <f aca="false">Assumptions!$E$45</f>
        <v>4.4</v>
      </c>
      <c r="I85" s="31" t="n">
        <f aca="false">Assumptions!$E$45</f>
        <v>4.4</v>
      </c>
      <c r="J85" s="31" t="n">
        <f aca="false">Assumptions!$E$45</f>
        <v>4.4</v>
      </c>
      <c r="K85" s="31" t="n">
        <f aca="false">Assumptions!$E$45</f>
        <v>4.4</v>
      </c>
      <c r="L85" s="31" t="n">
        <f aca="false">Assumptions!$E$45</f>
        <v>4.4</v>
      </c>
      <c r="M85" s="31" t="n">
        <f aca="false">Assumptions!$E$45</f>
        <v>4.4</v>
      </c>
      <c r="N85" s="31" t="n">
        <f aca="false">Assumptions!$E$45</f>
        <v>4.4</v>
      </c>
      <c r="O85" s="43" t="n">
        <f aca="false">SUM(C85:N85)</f>
        <v>52.8</v>
      </c>
      <c r="P85" s="8" t="s">
        <v>683</v>
      </c>
      <c r="Q85" s="8" t="s">
        <v>710</v>
      </c>
    </row>
    <row r="86" customFormat="false" ht="15" hidden="false" customHeight="false" outlineLevel="0" collapsed="false">
      <c r="A86" s="8" t="s">
        <v>711</v>
      </c>
      <c r="B86" s="8" t="s">
        <v>318</v>
      </c>
      <c r="C86" s="31" t="n">
        <f aca="false">C84+C85</f>
        <v>9.43464</v>
      </c>
      <c r="D86" s="31" t="n">
        <f aca="false">D84+D85</f>
        <v>9.43464</v>
      </c>
      <c r="E86" s="31" t="n">
        <f aca="false">E84+E85</f>
        <v>9.43464</v>
      </c>
      <c r="F86" s="31" t="n">
        <f aca="false">F84+F85</f>
        <v>9.43464</v>
      </c>
      <c r="G86" s="31" t="n">
        <f aca="false">G84+G85</f>
        <v>9.43464</v>
      </c>
      <c r="H86" s="31" t="n">
        <f aca="false">H84+H85</f>
        <v>9.43464</v>
      </c>
      <c r="I86" s="31" t="n">
        <f aca="false">I84+I85</f>
        <v>9.43464</v>
      </c>
      <c r="J86" s="31" t="n">
        <f aca="false">J84+J85</f>
        <v>9.43464</v>
      </c>
      <c r="K86" s="31" t="n">
        <f aca="false">K84+K85</f>
        <v>9.43464</v>
      </c>
      <c r="L86" s="31" t="n">
        <f aca="false">L84+L85</f>
        <v>9.43464</v>
      </c>
      <c r="M86" s="31" t="n">
        <f aca="false">M84+M85</f>
        <v>9.43464</v>
      </c>
      <c r="N86" s="31" t="n">
        <f aca="false">N84+N85</f>
        <v>9.43464</v>
      </c>
      <c r="O86" s="43" t="n">
        <f aca="false">SUM(C86:N86)</f>
        <v>113.21568</v>
      </c>
      <c r="P86" s="8" t="s">
        <v>683</v>
      </c>
      <c r="Q86" s="8" t="s">
        <v>366</v>
      </c>
    </row>
    <row r="87" customFormat="false" ht="15" hidden="false" customHeight="false" outlineLevel="0" collapsed="false">
      <c r="A87" s="8" t="s">
        <v>371</v>
      </c>
      <c r="B87" s="8" t="s">
        <v>336</v>
      </c>
      <c r="C87" s="37" t="n">
        <f aca="false">IFERROR(C86/C74,0)</f>
        <v>10.6726696832579</v>
      </c>
      <c r="D87" s="37" t="n">
        <f aca="false">IFERROR(D86/D74,0)</f>
        <v>10.6726696832579</v>
      </c>
      <c r="E87" s="37" t="n">
        <f aca="false">IFERROR(E86/E74,0)</f>
        <v>10.6726696832579</v>
      </c>
      <c r="F87" s="37" t="n">
        <f aca="false">IFERROR(F86/F74,0)</f>
        <v>10.6726696832579</v>
      </c>
      <c r="G87" s="37" t="n">
        <f aca="false">IFERROR(G86/G74,0)</f>
        <v>10.6726696832579</v>
      </c>
      <c r="H87" s="37" t="n">
        <f aca="false">IFERROR(H86/H74,0)</f>
        <v>10.6726696832579</v>
      </c>
      <c r="I87" s="37" t="n">
        <f aca="false">IFERROR(I86/I74,0)</f>
        <v>10.6726696832579</v>
      </c>
      <c r="J87" s="37" t="n">
        <f aca="false">IFERROR(J86/J74,0)</f>
        <v>10.6726696832579</v>
      </c>
      <c r="K87" s="37" t="n">
        <f aca="false">IFERROR(K86/K74,0)</f>
        <v>10.6726696832579</v>
      </c>
      <c r="L87" s="37" t="n">
        <f aca="false">IFERROR(L86/L74,0)</f>
        <v>10.6726696832579</v>
      </c>
      <c r="M87" s="37" t="n">
        <f aca="false">IFERROR(M86/M74,0)</f>
        <v>10.6726696832579</v>
      </c>
      <c r="N87" s="37" t="n">
        <f aca="false">IFERROR(N86/N74,0)</f>
        <v>10.6726696832579</v>
      </c>
      <c r="O87" s="62" t="n">
        <f aca="false">IFERROR(O86/O74,0)</f>
        <v>10.6726696832579</v>
      </c>
      <c r="P87" s="8" t="s">
        <v>683</v>
      </c>
      <c r="Q87" s="8" t="s">
        <v>712</v>
      </c>
    </row>
    <row r="88" customFormat="false" ht="15" hidden="false" customHeight="false" outlineLevel="0" collapsed="false">
      <c r="A88" s="8" t="s">
        <v>713</v>
      </c>
      <c r="B88" s="8" t="s">
        <v>318</v>
      </c>
      <c r="C88" s="31" t="n">
        <f aca="false">Assumptions!$E$68</f>
        <v>8.42290486965617</v>
      </c>
      <c r="D88" s="31" t="n">
        <f aca="false">C91</f>
        <v>8.18321366306364</v>
      </c>
      <c r="E88" s="31" t="n">
        <f aca="false">D91</f>
        <v>7.94025275813414</v>
      </c>
      <c r="F88" s="31" t="n">
        <f aca="false">E91</f>
        <v>7.39664098236639</v>
      </c>
      <c r="G88" s="31" t="n">
        <f aca="false">F91</f>
        <v>7.38390792586868</v>
      </c>
      <c r="H88" s="31" t="n">
        <f aca="false">G91</f>
        <v>7.19500447101956</v>
      </c>
      <c r="I88" s="31" t="n">
        <f aca="false">H91</f>
        <v>6.52872486608303</v>
      </c>
      <c r="J88" s="31" t="n">
        <f aca="false">I91</f>
        <v>5.96343101089652</v>
      </c>
      <c r="K88" s="31" t="n">
        <f aca="false">J91</f>
        <v>5.59391522591284</v>
      </c>
      <c r="L88" s="31" t="n">
        <f aca="false">K91</f>
        <v>5.80742329045058</v>
      </c>
      <c r="M88" s="31" t="n">
        <f aca="false">L91</f>
        <v>5.827026613474</v>
      </c>
      <c r="N88" s="31" t="n">
        <f aca="false">M91</f>
        <v>5.55553124376145</v>
      </c>
      <c r="O88" s="43" t="n">
        <f aca="false">C88</f>
        <v>8.42290486965617</v>
      </c>
      <c r="P88" s="8" t="s">
        <v>683</v>
      </c>
      <c r="Q88" s="8" t="s">
        <v>714</v>
      </c>
    </row>
    <row r="89" customFormat="false" ht="15" hidden="false" customHeight="false" outlineLevel="0" collapsed="false">
      <c r="A89" s="8" t="s">
        <v>715</v>
      </c>
      <c r="B89" s="8" t="s">
        <v>336</v>
      </c>
      <c r="C89" s="37" t="n">
        <f aca="false">IFERROR((C88+C86)/C76,0)</f>
        <v>11.080997960968</v>
      </c>
      <c r="D89" s="37" t="n">
        <f aca="false">IFERROR((D88+D86)/D76,0)</f>
        <v>10.8585238333359</v>
      </c>
      <c r="E89" s="37" t="n">
        <f aca="false">IFERROR((E88+E86)/E76,0)</f>
        <v>10.7568086378287</v>
      </c>
      <c r="F89" s="37" t="n">
        <f aca="false">IFERROR((F88+F86)/F76,0)</f>
        <v>10.7094825403888</v>
      </c>
      <c r="G89" s="37" t="n">
        <f aca="false">IFERROR((G88+G86)/G76,0)</f>
        <v>10.6888005531075</v>
      </c>
      <c r="H89" s="37" t="n">
        <f aca="false">IFERROR((H88+H86)/H76,0)</f>
        <v>10.6796429077835</v>
      </c>
      <c r="I89" s="37" t="n">
        <f aca="false">IFERROR((I88+I86)/I76,0)</f>
        <v>10.675520503955</v>
      </c>
      <c r="J89" s="37" t="n">
        <f aca="false">IFERROR((J88+J86)/J76,0)</f>
        <v>10.6737735806604</v>
      </c>
      <c r="K89" s="37" t="n">
        <f aca="false">IFERROR((K88+K86)/K76,0)</f>
        <v>10.6730805482715</v>
      </c>
      <c r="L89" s="37" t="n">
        <f aca="false">IFERROR((L88+L86)/L76,0)</f>
        <v>10.672826224413</v>
      </c>
      <c r="M89" s="37" t="n">
        <f aca="false">IFERROR((M88+M86)/M76,0)</f>
        <v>10.6727294513834</v>
      </c>
      <c r="N89" s="37" t="n">
        <f aca="false">IFERROR((N88+N86)/N76,0)</f>
        <v>10.6726918339401</v>
      </c>
      <c r="P89" s="8" t="s">
        <v>683</v>
      </c>
      <c r="Q89" s="8" t="s">
        <v>716</v>
      </c>
    </row>
    <row r="90" customFormat="false" ht="15" hidden="false" customHeight="false" outlineLevel="0" collapsed="false">
      <c r="A90" s="8" t="s">
        <v>365</v>
      </c>
      <c r="B90" s="8" t="s">
        <v>318</v>
      </c>
      <c r="C90" s="31" t="n">
        <f aca="false">C77*C89</f>
        <v>9.67433120659252</v>
      </c>
      <c r="D90" s="31" t="n">
        <f aca="false">D77*D89</f>
        <v>9.6776009049295</v>
      </c>
      <c r="E90" s="31" t="n">
        <f aca="false">E77*E89</f>
        <v>9.97825177576776</v>
      </c>
      <c r="F90" s="31" t="n">
        <f aca="false">F77*F89</f>
        <v>9.44737305649772</v>
      </c>
      <c r="G90" s="31" t="n">
        <f aca="false">G77*G89</f>
        <v>9.62354345484912</v>
      </c>
      <c r="H90" s="31" t="n">
        <f aca="false">H77*H89</f>
        <v>10.1009196049365</v>
      </c>
      <c r="I90" s="31" t="n">
        <f aca="false">I77*I89</f>
        <v>9.99993385518652</v>
      </c>
      <c r="J90" s="31" t="n">
        <f aca="false">J77*J89</f>
        <v>9.80415578498368</v>
      </c>
      <c r="K90" s="31" t="n">
        <f aca="false">K77*K89</f>
        <v>9.22113193546226</v>
      </c>
      <c r="L90" s="31" t="n">
        <f aca="false">L77*L89</f>
        <v>9.41503667697658</v>
      </c>
      <c r="M90" s="31" t="n">
        <f aca="false">M77*M89</f>
        <v>9.70613536971255</v>
      </c>
      <c r="N90" s="31" t="n">
        <f aca="false">N77*N89</f>
        <v>10.4825892518902</v>
      </c>
      <c r="O90" s="43" t="n">
        <f aca="false">SUM(C90:N90)</f>
        <v>117.131002877785</v>
      </c>
      <c r="P90" s="8" t="s">
        <v>683</v>
      </c>
      <c r="Q90" s="8" t="s">
        <v>717</v>
      </c>
    </row>
    <row r="91" customFormat="false" ht="15" hidden="false" customHeight="false" outlineLevel="0" collapsed="false">
      <c r="A91" s="8" t="s">
        <v>718</v>
      </c>
      <c r="B91" s="8" t="s">
        <v>318</v>
      </c>
      <c r="C91" s="31" t="n">
        <f aca="false">C88+C86-C90</f>
        <v>8.18321366306364</v>
      </c>
      <c r="D91" s="31" t="n">
        <f aca="false">D88+D86-D90</f>
        <v>7.94025275813414</v>
      </c>
      <c r="E91" s="31" t="n">
        <f aca="false">E88+E86-E90</f>
        <v>7.39664098236639</v>
      </c>
      <c r="F91" s="31" t="n">
        <f aca="false">F88+F86-F90</f>
        <v>7.38390792586868</v>
      </c>
      <c r="G91" s="31" t="n">
        <f aca="false">G88+G86-G90</f>
        <v>7.19500447101956</v>
      </c>
      <c r="H91" s="31" t="n">
        <f aca="false">H88+H86-H90</f>
        <v>6.52872486608303</v>
      </c>
      <c r="I91" s="31" t="n">
        <f aca="false">I88+I86-I90</f>
        <v>5.96343101089652</v>
      </c>
      <c r="J91" s="31" t="n">
        <f aca="false">J88+J86-J90</f>
        <v>5.59391522591284</v>
      </c>
      <c r="K91" s="31" t="n">
        <f aca="false">K88+K86-K90</f>
        <v>5.80742329045058</v>
      </c>
      <c r="L91" s="31" t="n">
        <f aca="false">L88+L86-L90</f>
        <v>5.827026613474</v>
      </c>
      <c r="M91" s="31" t="n">
        <f aca="false">M88+M86-M90</f>
        <v>5.55553124376145</v>
      </c>
      <c r="N91" s="31" t="n">
        <f aca="false">N88+N86-N90</f>
        <v>4.50758199187128</v>
      </c>
      <c r="O91" s="43" t="n">
        <f aca="false">N91</f>
        <v>4.50758199187128</v>
      </c>
      <c r="P91" s="8" t="s">
        <v>683</v>
      </c>
      <c r="Q91" s="8" t="s">
        <v>719</v>
      </c>
    </row>
    <row r="92" customFormat="false" ht="15" hidden="false" customHeight="false" outlineLevel="0" collapsed="false">
      <c r="A92" s="8" t="s">
        <v>720</v>
      </c>
      <c r="B92" s="8" t="s">
        <v>318</v>
      </c>
      <c r="C92" s="31" t="n">
        <f aca="false">C82-C77*IFERROR(C83/C73,0)</f>
        <v>16.6358243543964</v>
      </c>
      <c r="D92" s="31" t="n">
        <f aca="false">D82-D77*IFERROR(D83/D73,0)</f>
        <v>16.9824040284464</v>
      </c>
      <c r="E92" s="31" t="n">
        <f aca="false">E82-E77*IFERROR(E83/E73,0)</f>
        <v>17.6755633765462</v>
      </c>
      <c r="F92" s="31" t="n">
        <f aca="false">F82-F77*IFERROR(F83/F73,0)</f>
        <v>16.8091141914214</v>
      </c>
      <c r="G92" s="31" t="n">
        <f aca="false">G82-G77*IFERROR(G83/G73,0)</f>
        <v>17.1556938654713</v>
      </c>
      <c r="H92" s="31" t="n">
        <f aca="false">H82-H77*IFERROR(H83/H73,0)</f>
        <v>18.0221430505961</v>
      </c>
      <c r="I92" s="31" t="n">
        <f aca="false">I82-I77*IFERROR(I83/I73,0)</f>
        <v>17.8488532135712</v>
      </c>
      <c r="J92" s="31" t="n">
        <f aca="false">J82-J77*IFERROR(J83/J73,0)</f>
        <v>17.5022735395213</v>
      </c>
      <c r="K92" s="31" t="n">
        <f aca="false">K82-K77*IFERROR(K83/K73,0)</f>
        <v>16.4625345173715</v>
      </c>
      <c r="L92" s="31" t="n">
        <f aca="false">L82-L77*IFERROR(L83/L73,0)</f>
        <v>16.8091141914214</v>
      </c>
      <c r="M92" s="31" t="n">
        <f aca="false">M82-M77*IFERROR(M83/M73,0)</f>
        <v>17.3289837024963</v>
      </c>
      <c r="N92" s="31" t="n">
        <f aca="false">N82-N77*IFERROR(N83/N73,0)</f>
        <v>18.715302398696</v>
      </c>
      <c r="O92" s="43" t="n">
        <f aca="false">SUM(C92:N92)</f>
        <v>207.947804429956</v>
      </c>
      <c r="P92" s="8" t="s">
        <v>683</v>
      </c>
      <c r="Q92" s="8" t="s">
        <v>721</v>
      </c>
    </row>
    <row r="93" customFormat="false" ht="15" hidden="false" customHeight="false" outlineLevel="0" collapsed="false">
      <c r="A93" s="8" t="s">
        <v>722</v>
      </c>
      <c r="B93" s="8" t="s">
        <v>285</v>
      </c>
      <c r="C93" s="36" t="n">
        <f aca="false">IFERROR(C92/C82,0)</f>
        <v>0.769887106357695</v>
      </c>
      <c r="D93" s="36" t="n">
        <f aca="false">IFERROR(D92/D82,0)</f>
        <v>0.769887106357695</v>
      </c>
      <c r="E93" s="36" t="n">
        <f aca="false">IFERROR(E92/E82,0)</f>
        <v>0.769887106357695</v>
      </c>
      <c r="F93" s="36" t="n">
        <f aca="false">IFERROR(F92/F82,0)</f>
        <v>0.769887106357695</v>
      </c>
      <c r="G93" s="36" t="n">
        <f aca="false">IFERROR(G92/G82,0)</f>
        <v>0.769887106357695</v>
      </c>
      <c r="H93" s="36" t="n">
        <f aca="false">IFERROR(H92/H82,0)</f>
        <v>0.769887106357695</v>
      </c>
      <c r="I93" s="36" t="n">
        <f aca="false">IFERROR(I92/I82,0)</f>
        <v>0.769887106357695</v>
      </c>
      <c r="J93" s="36" t="n">
        <f aca="false">IFERROR(J92/J82,0)</f>
        <v>0.769887106357695</v>
      </c>
      <c r="K93" s="36" t="n">
        <f aca="false">IFERROR(K92/K82,0)</f>
        <v>0.769887106357695</v>
      </c>
      <c r="L93" s="36" t="n">
        <f aca="false">IFERROR(L92/L82,0)</f>
        <v>0.769887106357695</v>
      </c>
      <c r="M93" s="36" t="n">
        <f aca="false">IFERROR(M92/M82,0)</f>
        <v>0.769887106357695</v>
      </c>
      <c r="N93" s="36" t="n">
        <f aca="false">IFERROR(N92/N82,0)</f>
        <v>0.769887106357695</v>
      </c>
      <c r="O93" s="59" t="n">
        <f aca="false">IFERROR(O92/O82,0)</f>
        <v>0.769887106357695</v>
      </c>
      <c r="P93" s="8" t="s">
        <v>683</v>
      </c>
      <c r="Q93" s="8" t="s">
        <v>723</v>
      </c>
    </row>
    <row r="94" customFormat="false" ht="15" hidden="false" customHeight="false" outlineLevel="0" collapsed="false">
      <c r="A94" s="45" t="s">
        <v>367</v>
      </c>
      <c r="B94" s="46" t="s">
        <v>318</v>
      </c>
      <c r="C94" s="63" t="n">
        <f aca="false">C82-C90</f>
        <v>11.9338035666989</v>
      </c>
      <c r="D94" s="63" t="n">
        <f aca="false">D82-D90</f>
        <v>12.3807033428055</v>
      </c>
      <c r="E94" s="63" t="n">
        <f aca="false">E82-E90</f>
        <v>12.9803914208544</v>
      </c>
      <c r="F94" s="63" t="n">
        <f aca="false">F82-F90</f>
        <v>12.3858464540155</v>
      </c>
      <c r="G94" s="63" t="n">
        <f aca="false">G82-G90</f>
        <v>12.6598455301077</v>
      </c>
      <c r="H94" s="63" t="n">
        <f aca="false">H82-H90</f>
        <v>13.3078930661292</v>
      </c>
      <c r="I94" s="63" t="n">
        <f aca="false">I82-I90</f>
        <v>13.1837940786575</v>
      </c>
      <c r="J94" s="63" t="n">
        <f aca="false">J82-J90</f>
        <v>12.9294026744167</v>
      </c>
      <c r="K94" s="63" t="n">
        <f aca="false">K82-K90</f>
        <v>12.1619181006074</v>
      </c>
      <c r="L94" s="63" t="n">
        <f aca="false">L82-L90</f>
        <v>12.4181828335367</v>
      </c>
      <c r="M94" s="63" t="n">
        <f aca="false">M82-M90</f>
        <v>12.8023383524661</v>
      </c>
      <c r="N94" s="63" t="n">
        <f aca="false">N82-N90</f>
        <v>13.8265623680627</v>
      </c>
      <c r="O94" s="64" t="n">
        <f aca="false">SUM(C94:N94)</f>
        <v>152.970681788358</v>
      </c>
      <c r="P94" s="8" t="s">
        <v>683</v>
      </c>
      <c r="Q94" s="8" t="s">
        <v>368</v>
      </c>
    </row>
    <row r="95" customFormat="false" ht="15" hidden="false" customHeight="false" outlineLevel="0" collapsed="false">
      <c r="A95" s="8" t="s">
        <v>724</v>
      </c>
      <c r="B95" s="8" t="s">
        <v>285</v>
      </c>
      <c r="C95" s="36" t="n">
        <f aca="false">IFERROR(C94/C82,0)</f>
        <v>0.552282910667959</v>
      </c>
      <c r="D95" s="36" t="n">
        <f aca="false">IFERROR(D94/D82,0)</f>
        <v>0.561271764309661</v>
      </c>
      <c r="E95" s="36" t="n">
        <f aca="false">IFERROR(E94/E82,0)</f>
        <v>0.56538146917864</v>
      </c>
      <c r="F95" s="36" t="n">
        <f aca="false">IFERROR(F94/F82,0)</f>
        <v>0.567293634731764</v>
      </c>
      <c r="G95" s="36" t="n">
        <f aca="false">IFERROR(G94/G82,0)</f>
        <v>0.568129270581516</v>
      </c>
      <c r="H95" s="36" t="n">
        <f aca="false">IFERROR(H94/H82,0)</f>
        <v>0.568499276453193</v>
      </c>
      <c r="I95" s="36" t="n">
        <f aca="false">IFERROR(I94/I82,0)</f>
        <v>0.568665838224039</v>
      </c>
      <c r="J95" s="36" t="n">
        <f aca="false">IFERROR(J94/J82,0)</f>
        <v>0.568736420983419</v>
      </c>
      <c r="K95" s="36" t="n">
        <f aca="false">IFERROR(K94/K82,0)</f>
        <v>0.568764422292061</v>
      </c>
      <c r="L95" s="36" t="n">
        <f aca="false">IFERROR(L94/L82,0)</f>
        <v>0.568774698003517</v>
      </c>
      <c r="M95" s="36" t="n">
        <f aca="false">IFERROR(M94/M82,0)</f>
        <v>0.568778608024912</v>
      </c>
      <c r="N95" s="36" t="n">
        <f aca="false">IFERROR(N94/N82,0)</f>
        <v>0.568780127921614</v>
      </c>
      <c r="O95" s="59" t="n">
        <f aca="false">IFERROR(O94/O82,0)</f>
        <v>0.566344789657408</v>
      </c>
      <c r="P95" s="8" t="s">
        <v>683</v>
      </c>
      <c r="Q95" s="8" t="s">
        <v>725</v>
      </c>
    </row>
    <row r="97" customFormat="false" ht="15" hidden="false" customHeight="false" outlineLevel="0" collapsed="false">
      <c r="A97" s="16" t="s">
        <v>728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</row>
    <row r="98" customFormat="false" ht="15" hidden="false" customHeight="false" outlineLevel="0" collapsed="false">
      <c r="A98" s="45" t="s">
        <v>22</v>
      </c>
      <c r="B98" s="46" t="s">
        <v>318</v>
      </c>
      <c r="C98" s="63" t="n">
        <f aca="false">C22+C52+C82</f>
        <v>94.7876845388385</v>
      </c>
      <c r="D98" s="63" t="n">
        <f aca="false">D22+D52+D82</f>
        <v>96.762427966731</v>
      </c>
      <c r="E98" s="63" t="n">
        <f aca="false">E22+E52+E82</f>
        <v>100.711914822516</v>
      </c>
      <c r="F98" s="63" t="n">
        <f aca="false">F22+F52+F82</f>
        <v>95.7750562527848</v>
      </c>
      <c r="G98" s="63" t="n">
        <f aca="false">G22+G52+G82</f>
        <v>97.7497996806772</v>
      </c>
      <c r="H98" s="63" t="n">
        <f aca="false">H22+H52+H82</f>
        <v>102.686658250408</v>
      </c>
      <c r="I98" s="63" t="n">
        <f aca="false">I22+I52+I82</f>
        <v>101.699286536462</v>
      </c>
      <c r="J98" s="63" t="n">
        <f aca="false">J22+J52+J82</f>
        <v>99.7245431085697</v>
      </c>
      <c r="K98" s="63" t="n">
        <f aca="false">K22+K52+K82</f>
        <v>93.8003128248923</v>
      </c>
      <c r="L98" s="63" t="n">
        <f aca="false">L22+L52+L82</f>
        <v>95.7750562527848</v>
      </c>
      <c r="M98" s="63" t="n">
        <f aca="false">M22+M52+M82</f>
        <v>98.7371713946235</v>
      </c>
      <c r="N98" s="63" t="n">
        <f aca="false">N22+N52+N82</f>
        <v>106.636145106193</v>
      </c>
      <c r="O98" s="64" t="n">
        <f aca="false">SUM(C98:N98)</f>
        <v>1184.84605673548</v>
      </c>
      <c r="P98" s="8" t="s">
        <v>683</v>
      </c>
      <c r="Q98" s="8" t="s">
        <v>729</v>
      </c>
    </row>
    <row r="99" customFormat="false" ht="15" hidden="false" customHeight="false" outlineLevel="0" collapsed="false">
      <c r="A99" s="8" t="s">
        <v>361</v>
      </c>
      <c r="B99" s="8" t="s">
        <v>318</v>
      </c>
      <c r="C99" s="31" t="n">
        <f aca="false">C24+C54+C84</f>
        <v>19.66064</v>
      </c>
      <c r="D99" s="31" t="n">
        <f aca="false">D24+D54+D84</f>
        <v>19.66064</v>
      </c>
      <c r="E99" s="31" t="n">
        <f aca="false">E24+E54+E84</f>
        <v>19.66064</v>
      </c>
      <c r="F99" s="31" t="n">
        <f aca="false">F24+F54+F84</f>
        <v>19.66064</v>
      </c>
      <c r="G99" s="31" t="n">
        <f aca="false">G24+G54+G84</f>
        <v>19.66064</v>
      </c>
      <c r="H99" s="31" t="n">
        <f aca="false">H24+H54+H84</f>
        <v>19.66064</v>
      </c>
      <c r="I99" s="31" t="n">
        <f aca="false">I24+I54+I84</f>
        <v>19.66064</v>
      </c>
      <c r="J99" s="31" t="n">
        <f aca="false">J24+J54+J84</f>
        <v>19.66064</v>
      </c>
      <c r="K99" s="31" t="n">
        <f aca="false">K24+K54+K84</f>
        <v>19.66064</v>
      </c>
      <c r="L99" s="31" t="n">
        <f aca="false">L24+L54+L84</f>
        <v>19.66064</v>
      </c>
      <c r="M99" s="31" t="n">
        <f aca="false">M24+M54+M84</f>
        <v>19.66064</v>
      </c>
      <c r="N99" s="31" t="n">
        <f aca="false">N24+N54+N84</f>
        <v>19.66064</v>
      </c>
      <c r="O99" s="43" t="n">
        <f aca="false">SUM(C99:N99)</f>
        <v>235.92768</v>
      </c>
      <c r="P99" s="8" t="s">
        <v>683</v>
      </c>
      <c r="Q99" s="8" t="s">
        <v>729</v>
      </c>
    </row>
    <row r="100" customFormat="false" ht="15" hidden="false" customHeight="false" outlineLevel="0" collapsed="false">
      <c r="A100" s="8" t="s">
        <v>363</v>
      </c>
      <c r="B100" s="8" t="s">
        <v>318</v>
      </c>
      <c r="C100" s="31" t="n">
        <f aca="false">C25+C55+C85</f>
        <v>19.1</v>
      </c>
      <c r="D100" s="31" t="n">
        <f aca="false">D25+D55+D85</f>
        <v>19.1</v>
      </c>
      <c r="E100" s="31" t="n">
        <f aca="false">E25+E55+E85</f>
        <v>19.1</v>
      </c>
      <c r="F100" s="31" t="n">
        <f aca="false">F25+F55+F85</f>
        <v>19.1</v>
      </c>
      <c r="G100" s="31" t="n">
        <f aca="false">G25+G55+G85</f>
        <v>19.1</v>
      </c>
      <c r="H100" s="31" t="n">
        <f aca="false">H25+H55+H85</f>
        <v>19.1</v>
      </c>
      <c r="I100" s="31" t="n">
        <f aca="false">I25+I55+I85</f>
        <v>19.1</v>
      </c>
      <c r="J100" s="31" t="n">
        <f aca="false">J25+J55+J85</f>
        <v>19.1</v>
      </c>
      <c r="K100" s="31" t="n">
        <f aca="false">K25+K55+K85</f>
        <v>19.1</v>
      </c>
      <c r="L100" s="31" t="n">
        <f aca="false">L25+L55+L85</f>
        <v>19.1</v>
      </c>
      <c r="M100" s="31" t="n">
        <f aca="false">M25+M55+M85</f>
        <v>19.1</v>
      </c>
      <c r="N100" s="31" t="n">
        <f aca="false">N25+N55+N85</f>
        <v>19.1</v>
      </c>
      <c r="O100" s="43" t="n">
        <f aca="false">SUM(C100:N100)</f>
        <v>229.2</v>
      </c>
      <c r="P100" s="8" t="s">
        <v>683</v>
      </c>
      <c r="Q100" s="8" t="s">
        <v>729</v>
      </c>
    </row>
    <row r="101" customFormat="false" ht="15" hidden="false" customHeight="false" outlineLevel="0" collapsed="false">
      <c r="A101" s="8" t="s">
        <v>711</v>
      </c>
      <c r="B101" s="8" t="s">
        <v>318</v>
      </c>
      <c r="C101" s="31" t="n">
        <f aca="false">C26+C56+C86</f>
        <v>38.76064</v>
      </c>
      <c r="D101" s="31" t="n">
        <f aca="false">D26+D56+D86</f>
        <v>38.76064</v>
      </c>
      <c r="E101" s="31" t="n">
        <f aca="false">E26+E56+E86</f>
        <v>38.76064</v>
      </c>
      <c r="F101" s="31" t="n">
        <f aca="false">F26+F56+F86</f>
        <v>38.76064</v>
      </c>
      <c r="G101" s="31" t="n">
        <f aca="false">G26+G56+G86</f>
        <v>38.76064</v>
      </c>
      <c r="H101" s="31" t="n">
        <f aca="false">H26+H56+H86</f>
        <v>38.76064</v>
      </c>
      <c r="I101" s="31" t="n">
        <f aca="false">I26+I56+I86</f>
        <v>38.76064</v>
      </c>
      <c r="J101" s="31" t="n">
        <f aca="false">J26+J56+J86</f>
        <v>38.76064</v>
      </c>
      <c r="K101" s="31" t="n">
        <f aca="false">K26+K56+K86</f>
        <v>38.76064</v>
      </c>
      <c r="L101" s="31" t="n">
        <f aca="false">L26+L56+L86</f>
        <v>38.76064</v>
      </c>
      <c r="M101" s="31" t="n">
        <f aca="false">M26+M56+M86</f>
        <v>38.76064</v>
      </c>
      <c r="N101" s="31" t="n">
        <f aca="false">N26+N56+N86</f>
        <v>38.76064</v>
      </c>
      <c r="O101" s="43" t="n">
        <f aca="false">SUM(C101:N101)</f>
        <v>465.12768</v>
      </c>
      <c r="P101" s="8" t="s">
        <v>683</v>
      </c>
      <c r="Q101" s="8" t="s">
        <v>729</v>
      </c>
    </row>
    <row r="102" customFormat="false" ht="15" hidden="false" customHeight="false" outlineLevel="0" collapsed="false">
      <c r="A102" s="8" t="s">
        <v>365</v>
      </c>
      <c r="B102" s="8" t="s">
        <v>318</v>
      </c>
      <c r="C102" s="31" t="n">
        <f aca="false">C30+C60+C90</f>
        <v>38.2065801416349</v>
      </c>
      <c r="D102" s="31" t="n">
        <f aca="false">D30+D60+D90</f>
        <v>38.1790301342229</v>
      </c>
      <c r="E102" s="31" t="n">
        <f aca="false">E30+E60+E90</f>
        <v>39.344700423773</v>
      </c>
      <c r="F102" s="31" t="n">
        <f aca="false">F30+F60+F90</f>
        <v>37.2378704363198</v>
      </c>
      <c r="G102" s="31" t="n">
        <f aca="false">G30+G60+G90</f>
        <v>37.9213922430492</v>
      </c>
      <c r="H102" s="31" t="n">
        <f aca="false">H30+H60+H90</f>
        <v>39.7941001213474</v>
      </c>
      <c r="I102" s="31" t="n">
        <f aca="false">I30+I60+I90</f>
        <v>39.3904323408159</v>
      </c>
      <c r="J102" s="31" t="n">
        <f aca="false">J30+J60+J90</f>
        <v>38.6154268927172</v>
      </c>
      <c r="K102" s="31" t="n">
        <f aca="false">K30+K60+K90</f>
        <v>36.3168107847095</v>
      </c>
      <c r="L102" s="31" t="n">
        <f aca="false">L30+L60+L90</f>
        <v>37.0791234364117</v>
      </c>
      <c r="M102" s="31" t="n">
        <f aca="false">M30+M60+M90</f>
        <v>38.2247365115346</v>
      </c>
      <c r="N102" s="31" t="n">
        <f aca="false">N30+N60+N90</f>
        <v>41.2820578036289</v>
      </c>
      <c r="O102" s="43" t="n">
        <f aca="false">SUM(C102:N102)</f>
        <v>461.592261270165</v>
      </c>
      <c r="P102" s="8" t="s">
        <v>683</v>
      </c>
      <c r="Q102" s="8" t="s">
        <v>729</v>
      </c>
    </row>
    <row r="103" customFormat="false" ht="15" hidden="false" customHeight="false" outlineLevel="0" collapsed="false">
      <c r="A103" s="8" t="s">
        <v>720</v>
      </c>
      <c r="B103" s="8" t="s">
        <v>318</v>
      </c>
      <c r="C103" s="31" t="n">
        <f aca="false">C32+C62+C92</f>
        <v>76.1600015263708</v>
      </c>
      <c r="D103" s="31" t="n">
        <f aca="false">D32+D62+D92</f>
        <v>77.7466682248368</v>
      </c>
      <c r="E103" s="31" t="n">
        <f aca="false">E32+E62+E92</f>
        <v>80.9200016217689</v>
      </c>
      <c r="F103" s="31" t="n">
        <f aca="false">F32+F62+F92</f>
        <v>76.9533348756038</v>
      </c>
      <c r="G103" s="31" t="n">
        <f aca="false">G32+G62+G92</f>
        <v>78.5400015740698</v>
      </c>
      <c r="H103" s="31" t="n">
        <f aca="false">H32+H62+H92</f>
        <v>82.506668320235</v>
      </c>
      <c r="I103" s="31" t="n">
        <f aca="false">I32+I62+I92</f>
        <v>81.713334971002</v>
      </c>
      <c r="J103" s="31" t="n">
        <f aca="false">J32+J62+J92</f>
        <v>80.1266682725359</v>
      </c>
      <c r="K103" s="31" t="n">
        <f aca="false">K32+K62+K92</f>
        <v>75.3666681771377</v>
      </c>
      <c r="L103" s="31" t="n">
        <f aca="false">L32+L62+L92</f>
        <v>76.9533348756038</v>
      </c>
      <c r="M103" s="31" t="n">
        <f aca="false">M32+M62+M92</f>
        <v>79.3333349233029</v>
      </c>
      <c r="N103" s="31" t="n">
        <f aca="false">N32+N62+N92</f>
        <v>85.6800017171671</v>
      </c>
      <c r="O103" s="43" t="n">
        <f aca="false">SUM(C103:N103)</f>
        <v>952.000019079634</v>
      </c>
      <c r="P103" s="8" t="s">
        <v>683</v>
      </c>
      <c r="Q103" s="8" t="s">
        <v>729</v>
      </c>
    </row>
    <row r="104" customFormat="false" ht="15" hidden="false" customHeight="false" outlineLevel="0" collapsed="false">
      <c r="A104" s="8" t="s">
        <v>722</v>
      </c>
      <c r="B104" s="8" t="s">
        <v>285</v>
      </c>
      <c r="C104" s="36" t="n">
        <f aca="false">IFERROR(C103/C98,0)</f>
        <v>0.803479923546025</v>
      </c>
      <c r="D104" s="36" t="n">
        <f aca="false">IFERROR(D103/D98,0)</f>
        <v>0.803479923546025</v>
      </c>
      <c r="E104" s="36" t="n">
        <f aca="false">IFERROR(E103/E98,0)</f>
        <v>0.803479923546025</v>
      </c>
      <c r="F104" s="36" t="n">
        <f aca="false">IFERROR(F103/F98,0)</f>
        <v>0.803479923546025</v>
      </c>
      <c r="G104" s="36" t="n">
        <f aca="false">IFERROR(G103/G98,0)</f>
        <v>0.803479923546025</v>
      </c>
      <c r="H104" s="36" t="n">
        <f aca="false">IFERROR(H103/H98,0)</f>
        <v>0.803479923546025</v>
      </c>
      <c r="I104" s="36" t="n">
        <f aca="false">IFERROR(I103/I98,0)</f>
        <v>0.803479923546025</v>
      </c>
      <c r="J104" s="36" t="n">
        <f aca="false">IFERROR(J103/J98,0)</f>
        <v>0.803479923546025</v>
      </c>
      <c r="K104" s="36" t="n">
        <f aca="false">IFERROR(K103/K98,0)</f>
        <v>0.803479923546025</v>
      </c>
      <c r="L104" s="36" t="n">
        <f aca="false">IFERROR(L103/L98,0)</f>
        <v>0.803479923546025</v>
      </c>
      <c r="M104" s="36" t="n">
        <f aca="false">IFERROR(M103/M98,0)</f>
        <v>0.803479923546025</v>
      </c>
      <c r="N104" s="36" t="n">
        <f aca="false">IFERROR(N103/N98,0)</f>
        <v>0.803479923546025</v>
      </c>
      <c r="O104" s="59" t="n">
        <f aca="false">IFERROR(O103/O98,0)</f>
        <v>0.803479923546025</v>
      </c>
      <c r="P104" s="8" t="s">
        <v>683</v>
      </c>
      <c r="Q104" s="8" t="s">
        <v>723</v>
      </c>
    </row>
    <row r="105" customFormat="false" ht="15" hidden="false" customHeight="false" outlineLevel="0" collapsed="false">
      <c r="A105" s="45" t="s">
        <v>367</v>
      </c>
      <c r="B105" s="46" t="s">
        <v>318</v>
      </c>
      <c r="C105" s="63" t="n">
        <f aca="false">C34+C64+C94</f>
        <v>56.5811043972037</v>
      </c>
      <c r="D105" s="63" t="n">
        <f aca="false">D34+D64+D94</f>
        <v>58.5833978325081</v>
      </c>
      <c r="E105" s="63" t="n">
        <f aca="false">E34+E64+E94</f>
        <v>61.367214398743</v>
      </c>
      <c r="F105" s="63" t="n">
        <f aca="false">F34+F64+F94</f>
        <v>58.537185816465</v>
      </c>
      <c r="G105" s="63" t="n">
        <f aca="false">G34+G64+G94</f>
        <v>59.828407437628</v>
      </c>
      <c r="H105" s="63" t="n">
        <f aca="false">H34+H64+H94</f>
        <v>62.892558129061</v>
      </c>
      <c r="I105" s="63" t="n">
        <f aca="false">I34+I64+I94</f>
        <v>62.3088541956463</v>
      </c>
      <c r="J105" s="63" t="n">
        <f aca="false">J34+J64+J94</f>
        <v>61.1091162158525</v>
      </c>
      <c r="K105" s="63" t="n">
        <f aca="false">K34+K64+K94</f>
        <v>57.4835020401828</v>
      </c>
      <c r="L105" s="63" t="n">
        <f aca="false">L34+L64+L94</f>
        <v>58.6959328163731</v>
      </c>
      <c r="M105" s="63" t="n">
        <f aca="false">M34+M64+M94</f>
        <v>60.5124348830889</v>
      </c>
      <c r="N105" s="63" t="n">
        <f aca="false">N34+N64+N94</f>
        <v>65.3540873025645</v>
      </c>
      <c r="O105" s="64" t="n">
        <f aca="false">SUM(C105:N105)</f>
        <v>723.253795465317</v>
      </c>
      <c r="P105" s="8" t="s">
        <v>683</v>
      </c>
      <c r="Q105" s="8" t="s">
        <v>729</v>
      </c>
    </row>
    <row r="106" customFormat="false" ht="15" hidden="false" customHeight="false" outlineLevel="0" collapsed="false">
      <c r="A106" s="8" t="s">
        <v>724</v>
      </c>
      <c r="B106" s="8" t="s">
        <v>285</v>
      </c>
      <c r="C106" s="36" t="n">
        <f aca="false">IFERROR(C105/C98,0)</f>
        <v>0.59692463923433</v>
      </c>
      <c r="D106" s="36" t="n">
        <f aca="false">IFERROR(D105/D98,0)</f>
        <v>0.605435385030338</v>
      </c>
      <c r="E106" s="36" t="n">
        <f aca="false">IFERROR(E105/E98,0)</f>
        <v>0.609334203474237</v>
      </c>
      <c r="F106" s="36" t="n">
        <f aca="false">IFERROR(F105/F98,0)</f>
        <v>0.611194481180615</v>
      </c>
      <c r="G106" s="36" t="n">
        <f aca="false">IFERROR(G105/G98,0)</f>
        <v>0.612056573344106</v>
      </c>
      <c r="H106" s="36" t="n">
        <f aca="false">IFERROR(H105/H98,0)</f>
        <v>0.612470589662128</v>
      </c>
      <c r="I106" s="36" t="n">
        <f aca="false">IFERROR(I105/I98,0)</f>
        <v>0.612677397429988</v>
      </c>
      <c r="J106" s="36" t="n">
        <f aca="false">IFERROR(J105/J98,0)</f>
        <v>0.612779104430925</v>
      </c>
      <c r="K106" s="36" t="n">
        <f aca="false">IFERROR(K105/K98,0)</f>
        <v>0.612828468360162</v>
      </c>
      <c r="L106" s="36" t="n">
        <f aca="false">IFERROR(L105/L98,0)</f>
        <v>0.612851979553564</v>
      </c>
      <c r="M106" s="36" t="n">
        <f aca="false">IFERROR(M105/M98,0)</f>
        <v>0.61286376780269</v>
      </c>
      <c r="N106" s="36" t="n">
        <f aca="false">IFERROR(N105/N98,0)</f>
        <v>0.612869934837589</v>
      </c>
      <c r="O106" s="59" t="n">
        <f aca="false">IFERROR(O105/O98,0)</f>
        <v>0.610420055292284</v>
      </c>
      <c r="P106" s="8" t="s">
        <v>683</v>
      </c>
      <c r="Q106" s="8" t="s">
        <v>725</v>
      </c>
    </row>
    <row r="107" customFormat="false" ht="15" hidden="false" customHeight="false" outlineLevel="0" collapsed="false">
      <c r="A107" s="8" t="s">
        <v>730</v>
      </c>
      <c r="B107" s="8" t="s">
        <v>318</v>
      </c>
      <c r="C107" s="31" t="n">
        <f aca="false">C31+C61+C91</f>
        <v>35.3806343007469</v>
      </c>
      <c r="D107" s="31" t="n">
        <f aca="false">D31+D61+D91</f>
        <v>35.962244166524</v>
      </c>
      <c r="E107" s="31" t="n">
        <f aca="false">E31+E61+E91</f>
        <v>35.378183742751</v>
      </c>
      <c r="F107" s="31" t="n">
        <f aca="false">F31+F61+F91</f>
        <v>36.9009533064313</v>
      </c>
      <c r="G107" s="31" t="n">
        <f aca="false">G31+G61+G91</f>
        <v>37.7402010633821</v>
      </c>
      <c r="H107" s="31" t="n">
        <f aca="false">H31+H61+H91</f>
        <v>36.7067409420347</v>
      </c>
      <c r="I107" s="31" t="n">
        <f aca="false">I31+I61+I91</f>
        <v>36.0769486012188</v>
      </c>
      <c r="J107" s="31" t="n">
        <f aca="false">J31+J61+J91</f>
        <v>36.2221617085016</v>
      </c>
      <c r="K107" s="31" t="n">
        <f aca="false">K31+K61+K91</f>
        <v>38.6659909237921</v>
      </c>
      <c r="L107" s="31" t="n">
        <f aca="false">L31+L61+L91</f>
        <v>40.3475074873805</v>
      </c>
      <c r="M107" s="31" t="n">
        <f aca="false">M31+M61+M91</f>
        <v>40.8834109758459</v>
      </c>
      <c r="N107" s="31" t="n">
        <f aca="false">N31+N61+N91</f>
        <v>38.361993172217</v>
      </c>
      <c r="O107" s="43" t="n">
        <f aca="false">N107</f>
        <v>38.361993172217</v>
      </c>
      <c r="P107" s="8" t="s">
        <v>683</v>
      </c>
      <c r="Q107" s="8" t="s">
        <v>731</v>
      </c>
    </row>
    <row r="108" customFormat="false" ht="15" hidden="false" customHeight="false" outlineLevel="0" collapsed="false">
      <c r="A108" s="8" t="s">
        <v>396</v>
      </c>
      <c r="B108" s="8" t="s">
        <v>318</v>
      </c>
      <c r="C108" s="31" t="n">
        <f aca="false">C19*C21+C49*C51+C79*C81</f>
        <v>0</v>
      </c>
      <c r="D108" s="31" t="n">
        <f aca="false">D19*D21+D49*D51+D79*D81</f>
        <v>0</v>
      </c>
      <c r="E108" s="31" t="n">
        <f aca="false">E19*E21+E49*E51+E79*E81</f>
        <v>0</v>
      </c>
      <c r="F108" s="31" t="n">
        <f aca="false">F19*F21+F49*F51+F79*F81</f>
        <v>0</v>
      </c>
      <c r="G108" s="31" t="n">
        <f aca="false">G19*G21+G49*G51+G79*G81</f>
        <v>0</v>
      </c>
      <c r="H108" s="31" t="n">
        <f aca="false">H19*H21+H49*H51+H79*H81</f>
        <v>0</v>
      </c>
      <c r="I108" s="31" t="n">
        <f aca="false">I19*I21+I49*I51+I79*I81</f>
        <v>0</v>
      </c>
      <c r="J108" s="31" t="n">
        <f aca="false">J19*J21+J49*J51+J79*J81</f>
        <v>0</v>
      </c>
      <c r="K108" s="31" t="n">
        <f aca="false">K19*K21+K49*K51+K79*K81</f>
        <v>0</v>
      </c>
      <c r="L108" s="31" t="n">
        <f aca="false">L19*L21+L49*L51+L79*L81</f>
        <v>0</v>
      </c>
      <c r="M108" s="31" t="n">
        <f aca="false">M19*M21+M49*M51+M79*M81</f>
        <v>0</v>
      </c>
      <c r="N108" s="31" t="n">
        <f aca="false">N19*N21+N49*N51+N79*N81</f>
        <v>0</v>
      </c>
      <c r="O108" s="43" t="n">
        <f aca="false">SUM(C108:N108)</f>
        <v>0</v>
      </c>
      <c r="P108" s="8" t="s">
        <v>683</v>
      </c>
      <c r="Q108" s="8" t="s">
        <v>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4" min="3" style="0" width="9.51"/>
    <col collapsed="false" customWidth="true" hidden="false" outlineLevel="0" max="15" min="15" style="0" width="11"/>
    <col collapsed="false" customWidth="true" hidden="false" outlineLevel="0" max="19" min="16" style="0" width="10"/>
    <col collapsed="false" customWidth="true" hidden="false" outlineLevel="0" max="20" min="20" style="0" width="11"/>
    <col collapsed="false" customWidth="true" hidden="false" outlineLevel="0" max="21" min="21" style="0" width="9"/>
    <col collapsed="false" customWidth="true" hidden="false" outlineLevel="0" max="22" min="22" style="0" width="24"/>
    <col collapsed="false" customWidth="true" hidden="false" outlineLevel="0" max="23" min="23" style="0" width="64"/>
  </cols>
  <sheetData>
    <row r="1" customFormat="false" ht="19.7" hidden="false" customHeight="false" outlineLevel="0" collapsed="false">
      <c r="A1" s="14" t="s">
        <v>733</v>
      </c>
    </row>
    <row r="2" customFormat="false" ht="15" hidden="false" customHeight="false" outlineLevel="0" collapsed="false">
      <c r="A2" s="4" t="s">
        <v>734</v>
      </c>
    </row>
    <row r="3" customFormat="false" ht="15" hidden="false" customHeight="false" outlineLevel="0" collapsed="false">
      <c r="A3" s="15" t="s">
        <v>2</v>
      </c>
    </row>
    <row r="4" customFormat="false" ht="15" hidden="false" customHeight="false" outlineLevel="0" collapsed="false">
      <c r="A4" s="7" t="s">
        <v>678</v>
      </c>
      <c r="B4" s="54" t="str">
        <f aca="false">Assumptions!$C$6</f>
        <v>Base</v>
      </c>
    </row>
    <row r="6" customFormat="false" ht="24.05" hidden="false" customHeight="false" outlineLevel="0" collapsed="false">
      <c r="A6" s="18" t="s">
        <v>427</v>
      </c>
      <c r="B6" s="19" t="s">
        <v>279</v>
      </c>
      <c r="C6" s="55" t="n">
        <f aca="false">Ops_Model!C$6</f>
        <v>46113</v>
      </c>
      <c r="D6" s="55" t="n">
        <f aca="false">Ops_Model!D$6</f>
        <v>46143</v>
      </c>
      <c r="E6" s="55" t="n">
        <f aca="false">Ops_Model!E$6</f>
        <v>46174</v>
      </c>
      <c r="F6" s="55" t="n">
        <f aca="false">Ops_Model!F$6</f>
        <v>46204</v>
      </c>
      <c r="G6" s="55" t="n">
        <f aca="false">Ops_Model!G$6</f>
        <v>46235</v>
      </c>
      <c r="H6" s="55" t="n">
        <f aca="false">Ops_Model!H$6</f>
        <v>46266</v>
      </c>
      <c r="I6" s="55" t="n">
        <f aca="false">Ops_Model!I$6</f>
        <v>46296</v>
      </c>
      <c r="J6" s="55" t="n">
        <f aca="false">Ops_Model!J$6</f>
        <v>46327</v>
      </c>
      <c r="K6" s="55" t="n">
        <f aca="false">Ops_Model!K$6</f>
        <v>46357</v>
      </c>
      <c r="L6" s="55" t="n">
        <f aca="false">Ops_Model!L$6</f>
        <v>46388</v>
      </c>
      <c r="M6" s="55" t="n">
        <f aca="false">Ops_Model!M$6</f>
        <v>46419</v>
      </c>
      <c r="N6" s="55" t="n">
        <f aca="false">Ops_Model!N$6</f>
        <v>46447</v>
      </c>
      <c r="O6" s="19" t="s">
        <v>679</v>
      </c>
      <c r="P6" s="19" t="s">
        <v>735</v>
      </c>
      <c r="Q6" s="19" t="s">
        <v>736</v>
      </c>
      <c r="R6" s="19" t="s">
        <v>737</v>
      </c>
      <c r="S6" s="19" t="s">
        <v>738</v>
      </c>
      <c r="T6" s="19" t="s">
        <v>739</v>
      </c>
      <c r="U6" s="19" t="s">
        <v>740</v>
      </c>
      <c r="V6" s="19" t="s">
        <v>100</v>
      </c>
      <c r="W6" s="19" t="s">
        <v>680</v>
      </c>
    </row>
    <row r="7" customFormat="false" ht="15" hidden="false" customHeight="false" outlineLevel="0" collapsed="false">
      <c r="A7" s="16" t="s">
        <v>741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customFormat="false" ht="15" hidden="false" customHeight="false" outlineLevel="0" collapsed="false">
      <c r="A8" s="8" t="s">
        <v>354</v>
      </c>
      <c r="B8" s="8" t="s">
        <v>355</v>
      </c>
      <c r="C8" s="35" t="n">
        <f aca="false">Ops_Model!C$17</f>
        <v>23.9882879633362</v>
      </c>
      <c r="D8" s="35" t="n">
        <f aca="false">Ops_Model!D$17</f>
        <v>24.4880439625724</v>
      </c>
      <c r="E8" s="35" t="n">
        <f aca="false">Ops_Model!E$17</f>
        <v>25.4875559610447</v>
      </c>
      <c r="F8" s="35" t="n">
        <f aca="false">Ops_Model!F$17</f>
        <v>24.2381659629543</v>
      </c>
      <c r="G8" s="35" t="n">
        <f aca="false">Ops_Model!G$17</f>
        <v>24.7379219621905</v>
      </c>
      <c r="H8" s="35" t="n">
        <f aca="false">Ops_Model!H$17</f>
        <v>25.9873119602809</v>
      </c>
      <c r="I8" s="35" t="n">
        <f aca="false">Ops_Model!I$17</f>
        <v>25.7374339606628</v>
      </c>
      <c r="J8" s="35" t="n">
        <f aca="false">Ops_Model!J$17</f>
        <v>25.2376779614267</v>
      </c>
      <c r="K8" s="35" t="n">
        <f aca="false">Ops_Model!K$17</f>
        <v>23.7384099637181</v>
      </c>
      <c r="L8" s="35" t="n">
        <f aca="false">Ops_Model!L$17</f>
        <v>24.2381659629543</v>
      </c>
      <c r="M8" s="35" t="n">
        <f aca="false">Ops_Model!M$17</f>
        <v>24.9877999618086</v>
      </c>
      <c r="N8" s="35" t="n">
        <f aca="false">Ops_Model!N$17</f>
        <v>26.9868239587533</v>
      </c>
      <c r="O8" s="58" t="n">
        <f aca="false">SUM(C8:N8)</f>
        <v>299.853599541703</v>
      </c>
      <c r="P8" s="35" t="n">
        <f aca="false">SUM(C8:E8)</f>
        <v>73.9638878869534</v>
      </c>
      <c r="Q8" s="35" t="n">
        <f aca="false">SUM(F8:H8)</f>
        <v>74.9633998854257</v>
      </c>
      <c r="R8" s="35" t="n">
        <f aca="false">SUM(I8:K8)</f>
        <v>74.7135218858076</v>
      </c>
      <c r="S8" s="35" t="n">
        <f aca="false">SUM(L8:N8)</f>
        <v>76.2127898835162</v>
      </c>
      <c r="T8" s="35" t="n">
        <f aca="false">Assumptions!C$51</f>
        <v>249.877999618086</v>
      </c>
      <c r="U8" s="36" t="n">
        <f aca="false">IFERROR(O8/T8-1,"")</f>
        <v>0.2</v>
      </c>
      <c r="V8" s="8" t="s">
        <v>683</v>
      </c>
      <c r="W8" s="8" t="s">
        <v>742</v>
      </c>
    </row>
    <row r="9" customFormat="false" ht="15" hidden="false" customHeight="false" outlineLevel="0" collapsed="false">
      <c r="A9" s="45" t="s">
        <v>22</v>
      </c>
      <c r="B9" s="46" t="s">
        <v>318</v>
      </c>
      <c r="C9" s="63" t="n">
        <f aca="false">Ops_Model!C$22</f>
        <v>47.4968101674057</v>
      </c>
      <c r="D9" s="63" t="n">
        <f aca="false">Ops_Model!D$22</f>
        <v>48.4863270458934</v>
      </c>
      <c r="E9" s="63" t="n">
        <f aca="false">Ops_Model!E$22</f>
        <v>50.4653608028686</v>
      </c>
      <c r="F9" s="63" t="n">
        <f aca="false">Ops_Model!F$22</f>
        <v>47.9915686066495</v>
      </c>
      <c r="G9" s="63" t="n">
        <f aca="false">Ops_Model!G$22</f>
        <v>48.9810854851372</v>
      </c>
      <c r="H9" s="63" t="n">
        <f aca="false">Ops_Model!H$22</f>
        <v>51.4548776813562</v>
      </c>
      <c r="I9" s="63" t="n">
        <f aca="false">Ops_Model!I$22</f>
        <v>50.9601192421124</v>
      </c>
      <c r="J9" s="63" t="n">
        <f aca="false">Ops_Model!J$22</f>
        <v>49.9706023636248</v>
      </c>
      <c r="K9" s="63" t="n">
        <f aca="false">Ops_Model!K$22</f>
        <v>47.0020517281619</v>
      </c>
      <c r="L9" s="63" t="n">
        <f aca="false">Ops_Model!L$22</f>
        <v>47.9915686066495</v>
      </c>
      <c r="M9" s="63" t="n">
        <f aca="false">Ops_Model!M$22</f>
        <v>49.475843924381</v>
      </c>
      <c r="N9" s="63" t="n">
        <f aca="false">Ops_Model!N$22</f>
        <v>53.4339114383315</v>
      </c>
      <c r="O9" s="64" t="n">
        <f aca="false">SUM(C9:N9)</f>
        <v>593.710127092572</v>
      </c>
      <c r="P9" s="63" t="n">
        <f aca="false">SUM(C9:E9)</f>
        <v>146.448498016168</v>
      </c>
      <c r="Q9" s="63" t="n">
        <f aca="false">SUM(F9:H9)</f>
        <v>148.427531773143</v>
      </c>
      <c r="R9" s="63" t="n">
        <f aca="false">SUM(I9:K9)</f>
        <v>147.932773333899</v>
      </c>
      <c r="S9" s="63" t="n">
        <f aca="false">SUM(L9:N9)</f>
        <v>150.901323969362</v>
      </c>
      <c r="T9" s="63" t="n">
        <f aca="false">Assumptions!C$41</f>
        <v>499.755999236172</v>
      </c>
      <c r="U9" s="65" t="n">
        <f aca="false">IFERROR(O9/T9-1,"")</f>
        <v>0.188</v>
      </c>
      <c r="V9" s="8" t="s">
        <v>683</v>
      </c>
      <c r="W9" s="8" t="s">
        <v>743</v>
      </c>
    </row>
    <row r="10" customFormat="false" ht="15" hidden="false" customHeight="false" outlineLevel="0" collapsed="false">
      <c r="A10" s="8" t="s">
        <v>705</v>
      </c>
      <c r="B10" s="8" t="s">
        <v>336</v>
      </c>
      <c r="C10" s="37" t="n">
        <f aca="false">IFERROR(C9/C8,0)</f>
        <v>1.98</v>
      </c>
      <c r="D10" s="37" t="n">
        <f aca="false">IFERROR(D9/D8,0)</f>
        <v>1.98</v>
      </c>
      <c r="E10" s="37" t="n">
        <f aca="false">IFERROR(E9/E8,0)</f>
        <v>1.98</v>
      </c>
      <c r="F10" s="37" t="n">
        <f aca="false">IFERROR(F9/F8,0)</f>
        <v>1.98</v>
      </c>
      <c r="G10" s="37" t="n">
        <f aca="false">IFERROR(G9/G8,0)</f>
        <v>1.98</v>
      </c>
      <c r="H10" s="37" t="n">
        <f aca="false">IFERROR(H9/H8,0)</f>
        <v>1.98</v>
      </c>
      <c r="I10" s="37" t="n">
        <f aca="false">IFERROR(I9/I8,0)</f>
        <v>1.98</v>
      </c>
      <c r="J10" s="37" t="n">
        <f aca="false">IFERROR(J9/J8,0)</f>
        <v>1.98</v>
      </c>
      <c r="K10" s="37" t="n">
        <f aca="false">IFERROR(K9/K8,0)</f>
        <v>1.98</v>
      </c>
      <c r="L10" s="37" t="n">
        <f aca="false">IFERROR(L9/L8,0)</f>
        <v>1.98</v>
      </c>
      <c r="M10" s="37" t="n">
        <f aca="false">IFERROR(M9/M8,0)</f>
        <v>1.98</v>
      </c>
      <c r="N10" s="37" t="n">
        <f aca="false">IFERROR(N9/N8,0)</f>
        <v>1.98</v>
      </c>
      <c r="O10" s="62" t="n">
        <f aca="false">IFERROR(O9/O8,0)</f>
        <v>1.98</v>
      </c>
      <c r="P10" s="37" t="n">
        <f aca="false">IFERROR(P9/P8,0)</f>
        <v>1.98</v>
      </c>
      <c r="Q10" s="37" t="n">
        <f aca="false">IFERROR(Q9/Q8,0)</f>
        <v>1.98</v>
      </c>
      <c r="R10" s="37" t="n">
        <f aca="false">IFERROR(R9/R8,0)</f>
        <v>1.98</v>
      </c>
      <c r="S10" s="37" t="n">
        <f aca="false">IFERROR(S9/S8,0)</f>
        <v>1.98</v>
      </c>
      <c r="T10" s="37" t="n">
        <f aca="false">IFERROR(T9/T8,0)</f>
        <v>2</v>
      </c>
      <c r="V10" s="8" t="s">
        <v>683</v>
      </c>
      <c r="W10" s="8" t="s">
        <v>744</v>
      </c>
    </row>
    <row r="12" customFormat="false" ht="15" hidden="false" customHeight="false" outlineLevel="0" collapsed="false">
      <c r="A12" s="16" t="s">
        <v>745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customFormat="false" ht="15" hidden="false" customHeight="false" outlineLevel="0" collapsed="false">
      <c r="A13" s="8" t="s">
        <v>354</v>
      </c>
      <c r="B13" s="8" t="s">
        <v>355</v>
      </c>
      <c r="C13" s="35" t="n">
        <f aca="false">Ops_Model!C$47</f>
        <v>32.4277015128047</v>
      </c>
      <c r="D13" s="35" t="n">
        <f aca="false">Ops_Model!D$47</f>
        <v>33.1032786276548</v>
      </c>
      <c r="E13" s="35" t="n">
        <f aca="false">Ops_Model!E$47</f>
        <v>34.454432857355</v>
      </c>
      <c r="F13" s="35" t="n">
        <f aca="false">Ops_Model!F$47</f>
        <v>32.7654900702298</v>
      </c>
      <c r="G13" s="35" t="n">
        <f aca="false">Ops_Model!G$47</f>
        <v>33.4410671850799</v>
      </c>
      <c r="H13" s="35" t="n">
        <f aca="false">Ops_Model!H$47</f>
        <v>35.1300099722051</v>
      </c>
      <c r="I13" s="35" t="n">
        <f aca="false">Ops_Model!I$47</f>
        <v>34.7922214147801</v>
      </c>
      <c r="J13" s="35" t="n">
        <f aca="false">Ops_Model!J$47</f>
        <v>34.11664429993</v>
      </c>
      <c r="K13" s="35" t="n">
        <f aca="false">Ops_Model!K$47</f>
        <v>32.0899129553797</v>
      </c>
      <c r="L13" s="35" t="n">
        <f aca="false">Ops_Model!L$47</f>
        <v>32.7654900702298</v>
      </c>
      <c r="M13" s="35" t="n">
        <f aca="false">Ops_Model!M$47</f>
        <v>33.7788557425049</v>
      </c>
      <c r="N13" s="35" t="n">
        <f aca="false">Ops_Model!N$47</f>
        <v>36.4811642019053</v>
      </c>
      <c r="O13" s="58" t="n">
        <f aca="false">SUM(C13:N13)</f>
        <v>405.346268910059</v>
      </c>
      <c r="P13" s="35" t="n">
        <f aca="false">SUM(C13:E13)</f>
        <v>99.9854129978146</v>
      </c>
      <c r="Q13" s="35" t="n">
        <f aca="false">SUM(F13:H13)</f>
        <v>101.336567227515</v>
      </c>
      <c r="R13" s="35" t="n">
        <f aca="false">SUM(I13:K13)</f>
        <v>100.99877867009</v>
      </c>
      <c r="S13" s="35" t="n">
        <f aca="false">SUM(L13:N13)</f>
        <v>103.02551001464</v>
      </c>
      <c r="T13" s="35" t="n">
        <f aca="false">Assumptions!D$51</f>
        <v>352.47501644353</v>
      </c>
      <c r="U13" s="36" t="n">
        <f aca="false">IFERROR(O13/T13-1,"")</f>
        <v>0.15</v>
      </c>
      <c r="V13" s="8" t="s">
        <v>683</v>
      </c>
      <c r="W13" s="8" t="s">
        <v>742</v>
      </c>
    </row>
    <row r="14" customFormat="false" ht="15" hidden="false" customHeight="false" outlineLevel="0" collapsed="false">
      <c r="A14" s="45" t="s">
        <v>22</v>
      </c>
      <c r="B14" s="46" t="s">
        <v>318</v>
      </c>
      <c r="C14" s="63" t="n">
        <f aca="false">Ops_Model!C$52</f>
        <v>25.6827395981413</v>
      </c>
      <c r="D14" s="63" t="n">
        <f aca="false">Ops_Model!D$52</f>
        <v>26.2177966731026</v>
      </c>
      <c r="E14" s="63" t="n">
        <f aca="false">Ops_Model!E$52</f>
        <v>27.2879108230252</v>
      </c>
      <c r="F14" s="63" t="n">
        <f aca="false">Ops_Model!F$52</f>
        <v>25.950268135622</v>
      </c>
      <c r="G14" s="63" t="n">
        <f aca="false">Ops_Model!G$52</f>
        <v>26.4853252105833</v>
      </c>
      <c r="H14" s="63" t="n">
        <f aca="false">Ops_Model!H$52</f>
        <v>27.8229678979865</v>
      </c>
      <c r="I14" s="63" t="n">
        <f aca="false">Ops_Model!I$52</f>
        <v>27.5554393605058</v>
      </c>
      <c r="J14" s="63" t="n">
        <f aca="false">Ops_Model!J$52</f>
        <v>27.0203822855445</v>
      </c>
      <c r="K14" s="63" t="n">
        <f aca="false">Ops_Model!K$52</f>
        <v>25.4152110606607</v>
      </c>
      <c r="L14" s="63" t="n">
        <f aca="false">Ops_Model!L$52</f>
        <v>25.950268135622</v>
      </c>
      <c r="M14" s="63" t="n">
        <f aca="false">Ops_Model!M$52</f>
        <v>26.7528537480639</v>
      </c>
      <c r="N14" s="63" t="n">
        <f aca="false">Ops_Model!N$52</f>
        <v>28.893082047909</v>
      </c>
      <c r="O14" s="64" t="n">
        <f aca="false">SUM(C14:N14)</f>
        <v>321.034244976767</v>
      </c>
      <c r="P14" s="63" t="n">
        <f aca="false">SUM(C14:E14)</f>
        <v>79.1884470942692</v>
      </c>
      <c r="Q14" s="63" t="n">
        <f aca="false">SUM(F14:H14)</f>
        <v>80.2585612441917</v>
      </c>
      <c r="R14" s="63" t="n">
        <f aca="false">SUM(I14:K14)</f>
        <v>79.9910327067111</v>
      </c>
      <c r="S14" s="63" t="n">
        <f aca="false">SUM(L14:N14)</f>
        <v>81.5962039315949</v>
      </c>
      <c r="T14" s="63" t="n">
        <f aca="false">Assumptions!D$41</f>
        <v>281.980013154824</v>
      </c>
      <c r="U14" s="65" t="n">
        <f aca="false">IFERROR(O14/T14-1,"")</f>
        <v>0.1385</v>
      </c>
      <c r="V14" s="8" t="s">
        <v>683</v>
      </c>
      <c r="W14" s="8" t="s">
        <v>743</v>
      </c>
    </row>
    <row r="15" customFormat="false" ht="15" hidden="false" customHeight="false" outlineLevel="0" collapsed="false">
      <c r="A15" s="8" t="s">
        <v>705</v>
      </c>
      <c r="B15" s="8" t="s">
        <v>336</v>
      </c>
      <c r="C15" s="37" t="n">
        <f aca="false">IFERROR(C14/C13,0)</f>
        <v>0.792</v>
      </c>
      <c r="D15" s="37" t="n">
        <f aca="false">IFERROR(D14/D13,0)</f>
        <v>0.792</v>
      </c>
      <c r="E15" s="37" t="n">
        <f aca="false">IFERROR(E14/E13,0)</f>
        <v>0.792</v>
      </c>
      <c r="F15" s="37" t="n">
        <f aca="false">IFERROR(F14/F13,0)</f>
        <v>0.792</v>
      </c>
      <c r="G15" s="37" t="n">
        <f aca="false">IFERROR(G14/G13,0)</f>
        <v>0.792</v>
      </c>
      <c r="H15" s="37" t="n">
        <f aca="false">IFERROR(H14/H13,0)</f>
        <v>0.792</v>
      </c>
      <c r="I15" s="37" t="n">
        <f aca="false">IFERROR(I14/I13,0)</f>
        <v>0.792</v>
      </c>
      <c r="J15" s="37" t="n">
        <f aca="false">IFERROR(J14/J13,0)</f>
        <v>0.792</v>
      </c>
      <c r="K15" s="37" t="n">
        <f aca="false">IFERROR(K14/K13,0)</f>
        <v>0.792</v>
      </c>
      <c r="L15" s="37" t="n">
        <f aca="false">IFERROR(L14/L13,0)</f>
        <v>0.792</v>
      </c>
      <c r="M15" s="37" t="n">
        <f aca="false">IFERROR(M14/M13,0)</f>
        <v>0.792</v>
      </c>
      <c r="N15" s="37" t="n">
        <f aca="false">IFERROR(N14/N13,0)</f>
        <v>0.792</v>
      </c>
      <c r="O15" s="62" t="n">
        <f aca="false">IFERROR(O14/O13,0)</f>
        <v>0.792</v>
      </c>
      <c r="P15" s="37" t="n">
        <f aca="false">IFERROR(P14/P13,0)</f>
        <v>0.792</v>
      </c>
      <c r="Q15" s="37" t="n">
        <f aca="false">IFERROR(Q14/Q13,0)</f>
        <v>0.792</v>
      </c>
      <c r="R15" s="37" t="n">
        <f aca="false">IFERROR(R14/R13,0)</f>
        <v>0.792</v>
      </c>
      <c r="S15" s="37" t="n">
        <f aca="false">IFERROR(S14/S13,0)</f>
        <v>0.792</v>
      </c>
      <c r="T15" s="37" t="n">
        <f aca="false">IFERROR(T14/T13,0)</f>
        <v>0.8</v>
      </c>
      <c r="V15" s="8" t="s">
        <v>683</v>
      </c>
      <c r="W15" s="8" t="s">
        <v>744</v>
      </c>
    </row>
    <row r="17" customFormat="false" ht="15" hidden="false" customHeight="false" outlineLevel="0" collapsed="false">
      <c r="A17" s="16" t="s">
        <v>329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customFormat="false" ht="15" hidden="false" customHeight="false" outlineLevel="0" collapsed="false">
      <c r="A18" s="8" t="s">
        <v>354</v>
      </c>
      <c r="B18" s="8" t="s">
        <v>355</v>
      </c>
      <c r="C18" s="35" t="n">
        <f aca="false">Ops_Model!C$77</f>
        <v>0.873055950436019</v>
      </c>
      <c r="D18" s="35" t="n">
        <f aca="false">Ops_Model!D$77</f>
        <v>0.891244616070102</v>
      </c>
      <c r="E18" s="35" t="n">
        <f aca="false">Ops_Model!E$77</f>
        <v>0.92762194733827</v>
      </c>
      <c r="F18" s="35" t="n">
        <f aca="false">Ops_Model!F$77</f>
        <v>0.88215028325306</v>
      </c>
      <c r="G18" s="35" t="n">
        <f aca="false">Ops_Model!G$77</f>
        <v>0.900338948887144</v>
      </c>
      <c r="H18" s="35" t="n">
        <f aca="false">Ops_Model!H$77</f>
        <v>0.945810612972354</v>
      </c>
      <c r="I18" s="35" t="n">
        <f aca="false">Ops_Model!I$77</f>
        <v>0.936716280155312</v>
      </c>
      <c r="J18" s="35" t="n">
        <f aca="false">Ops_Model!J$77</f>
        <v>0.918527614521228</v>
      </c>
      <c r="K18" s="35" t="n">
        <f aca="false">Ops_Model!K$77</f>
        <v>0.863961617618977</v>
      </c>
      <c r="L18" s="35" t="n">
        <f aca="false">Ops_Model!L$77</f>
        <v>0.88215028325306</v>
      </c>
      <c r="M18" s="35" t="n">
        <f aca="false">Ops_Model!M$77</f>
        <v>0.909433281704186</v>
      </c>
      <c r="N18" s="35" t="n">
        <f aca="false">Ops_Model!N$77</f>
        <v>0.982187944240521</v>
      </c>
      <c r="O18" s="58" t="n">
        <f aca="false">SUM(C18:N18)</f>
        <v>10.9131993804502</v>
      </c>
      <c r="P18" s="35" t="n">
        <f aca="false">SUM(C18:E18)</f>
        <v>2.69192251384439</v>
      </c>
      <c r="Q18" s="35" t="n">
        <f aca="false">SUM(F18:H18)</f>
        <v>2.72829984511256</v>
      </c>
      <c r="R18" s="35" t="n">
        <f aca="false">SUM(I18:K18)</f>
        <v>2.71920551229552</v>
      </c>
      <c r="S18" s="35" t="n">
        <f aca="false">SUM(L18:N18)</f>
        <v>2.77377150919777</v>
      </c>
      <c r="T18" s="35" t="n">
        <f aca="false">Assumptions!E$51</f>
        <v>8.73055950436019</v>
      </c>
      <c r="U18" s="36" t="n">
        <f aca="false">IFERROR(O18/T18-1,"")</f>
        <v>0.25</v>
      </c>
      <c r="V18" s="8" t="s">
        <v>683</v>
      </c>
      <c r="W18" s="8" t="s">
        <v>742</v>
      </c>
    </row>
    <row r="19" customFormat="false" ht="15" hidden="false" customHeight="false" outlineLevel="0" collapsed="false">
      <c r="A19" s="45" t="s">
        <v>22</v>
      </c>
      <c r="B19" s="46" t="s">
        <v>318</v>
      </c>
      <c r="C19" s="63" t="n">
        <f aca="false">Ops_Model!C$82</f>
        <v>21.6081347732915</v>
      </c>
      <c r="D19" s="63" t="n">
        <f aca="false">Ops_Model!D$82</f>
        <v>22.058304247735</v>
      </c>
      <c r="E19" s="63" t="n">
        <f aca="false">Ops_Model!E$82</f>
        <v>22.9586431966222</v>
      </c>
      <c r="F19" s="63" t="n">
        <f aca="false">Ops_Model!F$82</f>
        <v>21.8332195105132</v>
      </c>
      <c r="G19" s="63" t="n">
        <f aca="false">Ops_Model!G$82</f>
        <v>22.2833889849568</v>
      </c>
      <c r="H19" s="63" t="n">
        <f aca="false">Ops_Model!H$82</f>
        <v>23.4088126710658</v>
      </c>
      <c r="I19" s="63" t="n">
        <f aca="false">Ops_Model!I$82</f>
        <v>23.183727933844</v>
      </c>
      <c r="J19" s="63" t="n">
        <f aca="false">Ops_Model!J$82</f>
        <v>22.7335584594004</v>
      </c>
      <c r="K19" s="63" t="n">
        <f aca="false">Ops_Model!K$82</f>
        <v>21.3830500360697</v>
      </c>
      <c r="L19" s="63" t="n">
        <f aca="false">Ops_Model!L$82</f>
        <v>21.8332195105132</v>
      </c>
      <c r="M19" s="63" t="n">
        <f aca="false">Ops_Model!M$82</f>
        <v>22.5084737221786</v>
      </c>
      <c r="N19" s="63" t="n">
        <f aca="false">Ops_Model!N$82</f>
        <v>24.3091516199529</v>
      </c>
      <c r="O19" s="64" t="n">
        <f aca="false">SUM(C19:N19)</f>
        <v>270.101684666143</v>
      </c>
      <c r="P19" s="63" t="n">
        <f aca="false">SUM(C19:E19)</f>
        <v>66.6250822176487</v>
      </c>
      <c r="Q19" s="63" t="n">
        <f aca="false">SUM(F19:H19)</f>
        <v>67.5254211665358</v>
      </c>
      <c r="R19" s="63" t="n">
        <f aca="false">SUM(I19:K19)</f>
        <v>67.300336429314</v>
      </c>
      <c r="S19" s="63" t="n">
        <f aca="false">SUM(L19:N19)</f>
        <v>68.6508448526448</v>
      </c>
      <c r="T19" s="63" t="n">
        <f aca="false">Assumptions!E$41</f>
        <v>218.263987609005</v>
      </c>
      <c r="U19" s="65" t="n">
        <f aca="false">IFERROR(O19/T19-1,"")</f>
        <v>0.2375</v>
      </c>
      <c r="V19" s="8" t="s">
        <v>683</v>
      </c>
      <c r="W19" s="8" t="s">
        <v>743</v>
      </c>
    </row>
    <row r="20" customFormat="false" ht="15" hidden="false" customHeight="false" outlineLevel="0" collapsed="false">
      <c r="A20" s="8" t="s">
        <v>705</v>
      </c>
      <c r="B20" s="8" t="s">
        <v>336</v>
      </c>
      <c r="C20" s="37" t="n">
        <f aca="false">IFERROR(C19/C18,0)</f>
        <v>24.75</v>
      </c>
      <c r="D20" s="37" t="n">
        <f aca="false">IFERROR(D19/D18,0)</f>
        <v>24.75</v>
      </c>
      <c r="E20" s="37" t="n">
        <f aca="false">IFERROR(E19/E18,0)</f>
        <v>24.75</v>
      </c>
      <c r="F20" s="37" t="n">
        <f aca="false">IFERROR(F19/F18,0)</f>
        <v>24.75</v>
      </c>
      <c r="G20" s="37" t="n">
        <f aca="false">IFERROR(G19/G18,0)</f>
        <v>24.75</v>
      </c>
      <c r="H20" s="37" t="n">
        <f aca="false">IFERROR(H19/H18,0)</f>
        <v>24.75</v>
      </c>
      <c r="I20" s="37" t="n">
        <f aca="false">IFERROR(I19/I18,0)</f>
        <v>24.75</v>
      </c>
      <c r="J20" s="37" t="n">
        <f aca="false">IFERROR(J19/J18,0)</f>
        <v>24.75</v>
      </c>
      <c r="K20" s="37" t="n">
        <f aca="false">IFERROR(K19/K18,0)</f>
        <v>24.75</v>
      </c>
      <c r="L20" s="37" t="n">
        <f aca="false">IFERROR(L19/L18,0)</f>
        <v>24.75</v>
      </c>
      <c r="M20" s="37" t="n">
        <f aca="false">IFERROR(M19/M18,0)</f>
        <v>24.75</v>
      </c>
      <c r="N20" s="37" t="n">
        <f aca="false">IFERROR(N19/N18,0)</f>
        <v>24.75</v>
      </c>
      <c r="O20" s="62" t="n">
        <f aca="false">IFERROR(O19/O18,0)</f>
        <v>24.75</v>
      </c>
      <c r="P20" s="37" t="n">
        <f aca="false">IFERROR(P19/P18,0)</f>
        <v>24.75</v>
      </c>
      <c r="Q20" s="37" t="n">
        <f aca="false">IFERROR(Q19/Q18,0)</f>
        <v>24.75</v>
      </c>
      <c r="R20" s="37" t="n">
        <f aca="false">IFERROR(R19/R18,0)</f>
        <v>24.75</v>
      </c>
      <c r="S20" s="37" t="n">
        <f aca="false">IFERROR(S19/S18,0)</f>
        <v>24.75</v>
      </c>
      <c r="T20" s="37" t="n">
        <f aca="false">IFERROR(T19/T18,0)</f>
        <v>25</v>
      </c>
      <c r="V20" s="8" t="s">
        <v>683</v>
      </c>
      <c r="W20" s="8" t="s">
        <v>744</v>
      </c>
    </row>
    <row r="22" customFormat="false" ht="15" hidden="false" customHeight="false" outlineLevel="0" collapsed="false">
      <c r="A22" s="16" t="s">
        <v>130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customFormat="false" ht="15" hidden="false" customHeight="false" outlineLevel="0" collapsed="false">
      <c r="A23" s="45" t="s">
        <v>394</v>
      </c>
      <c r="B23" s="46" t="s">
        <v>318</v>
      </c>
      <c r="C23" s="63" t="n">
        <f aca="false">C9+C14+C19</f>
        <v>94.7876845388385</v>
      </c>
      <c r="D23" s="63" t="n">
        <f aca="false">D9+D14+D19</f>
        <v>96.762427966731</v>
      </c>
      <c r="E23" s="63" t="n">
        <f aca="false">E9+E14+E19</f>
        <v>100.711914822516</v>
      </c>
      <c r="F23" s="63" t="n">
        <f aca="false">F9+F14+F19</f>
        <v>95.7750562527848</v>
      </c>
      <c r="G23" s="63" t="n">
        <f aca="false">G9+G14+G19</f>
        <v>97.7497996806772</v>
      </c>
      <c r="H23" s="63" t="n">
        <f aca="false">H9+H14+H19</f>
        <v>102.686658250408</v>
      </c>
      <c r="I23" s="63" t="n">
        <f aca="false">I9+I14+I19</f>
        <v>101.699286536462</v>
      </c>
      <c r="J23" s="63" t="n">
        <f aca="false">J9+J14+J19</f>
        <v>99.7245431085697</v>
      </c>
      <c r="K23" s="63" t="n">
        <f aca="false">K9+K14+K19</f>
        <v>93.8003128248923</v>
      </c>
      <c r="L23" s="63" t="n">
        <f aca="false">L9+L14+L19</f>
        <v>95.7750562527848</v>
      </c>
      <c r="M23" s="63" t="n">
        <f aca="false">M9+M14+M19</f>
        <v>98.7371713946235</v>
      </c>
      <c r="N23" s="63" t="n">
        <f aca="false">N9+N14+N19</f>
        <v>106.636145106193</v>
      </c>
      <c r="O23" s="64" t="n">
        <f aca="false">SUM(C23:N23)</f>
        <v>1184.84605673548</v>
      </c>
      <c r="P23" s="63" t="n">
        <f aca="false">SUM(C23:E23)</f>
        <v>292.262027328086</v>
      </c>
      <c r="Q23" s="63" t="n">
        <f aca="false">SUM(F23:H23)</f>
        <v>296.21151418387</v>
      </c>
      <c r="R23" s="63" t="n">
        <f aca="false">SUM(I23:K23)</f>
        <v>295.224142469924</v>
      </c>
      <c r="S23" s="63" t="n">
        <f aca="false">SUM(L23:N23)</f>
        <v>301.148372753602</v>
      </c>
      <c r="T23" s="63" t="n">
        <f aca="false">T9+T14+T19</f>
        <v>1000</v>
      </c>
      <c r="U23" s="65" t="n">
        <f aca="false">IFERROR(O23/T23-1,"")</f>
        <v>0.184846056735482</v>
      </c>
      <c r="V23" s="8" t="s">
        <v>683</v>
      </c>
      <c r="W23" s="8" t="s">
        <v>746</v>
      </c>
    </row>
    <row r="24" customFormat="false" ht="15" hidden="false" customHeight="false" outlineLevel="0" collapsed="false">
      <c r="A24" s="8" t="s">
        <v>747</v>
      </c>
      <c r="B24" s="8" t="s">
        <v>285</v>
      </c>
      <c r="C24" s="36" t="n">
        <f aca="false">IFERROR(C9/C23,0)</f>
        <v>0.501086300382665</v>
      </c>
      <c r="D24" s="36" t="n">
        <f aca="false">IFERROR(D9/D23,0)</f>
        <v>0.501086300382665</v>
      </c>
      <c r="E24" s="36" t="n">
        <f aca="false">IFERROR(E9/E23,0)</f>
        <v>0.501086300382665</v>
      </c>
      <c r="F24" s="36" t="n">
        <f aca="false">IFERROR(F9/F23,0)</f>
        <v>0.501086300382665</v>
      </c>
      <c r="G24" s="36" t="n">
        <f aca="false">IFERROR(G9/G23,0)</f>
        <v>0.501086300382665</v>
      </c>
      <c r="H24" s="36" t="n">
        <f aca="false">IFERROR(H9/H23,0)</f>
        <v>0.501086300382665</v>
      </c>
      <c r="I24" s="36" t="n">
        <f aca="false">IFERROR(I9/I23,0)</f>
        <v>0.501086300382665</v>
      </c>
      <c r="J24" s="36" t="n">
        <f aca="false">IFERROR(J9/J23,0)</f>
        <v>0.501086300382665</v>
      </c>
      <c r="K24" s="36" t="n">
        <f aca="false">IFERROR(K9/K23,0)</f>
        <v>0.501086300382665</v>
      </c>
      <c r="L24" s="36" t="n">
        <f aca="false">IFERROR(L9/L23,0)</f>
        <v>0.501086300382665</v>
      </c>
      <c r="M24" s="36" t="n">
        <f aca="false">IFERROR(M9/M23,0)</f>
        <v>0.501086300382665</v>
      </c>
      <c r="N24" s="36" t="n">
        <f aca="false">IFERROR(N9/N23,0)</f>
        <v>0.501086300382665</v>
      </c>
      <c r="O24" s="59" t="n">
        <f aca="false">IFERROR(O9/O23,0)</f>
        <v>0.501086300382665</v>
      </c>
      <c r="P24" s="36" t="n">
        <f aca="false">IFERROR(P9/P23,0)</f>
        <v>0.501086300382665</v>
      </c>
      <c r="Q24" s="36" t="n">
        <f aca="false">IFERROR(Q9/Q23,0)</f>
        <v>0.501086300382665</v>
      </c>
      <c r="R24" s="36" t="n">
        <f aca="false">IFERROR(R9/R23,0)</f>
        <v>0.501086300382665</v>
      </c>
      <c r="S24" s="36" t="n">
        <f aca="false">IFERROR(S9/S23,0)</f>
        <v>0.501086300382665</v>
      </c>
      <c r="T24" s="36" t="n">
        <f aca="false">IFERROR(T9/T23,0)</f>
        <v>0.499755999236172</v>
      </c>
      <c r="V24" s="8" t="s">
        <v>683</v>
      </c>
      <c r="W24" s="8" t="s">
        <v>748</v>
      </c>
    </row>
    <row r="25" customFormat="false" ht="15" hidden="false" customHeight="false" outlineLevel="0" collapsed="false">
      <c r="A25" s="8" t="s">
        <v>749</v>
      </c>
      <c r="B25" s="8" t="s">
        <v>285</v>
      </c>
      <c r="C25" s="36" t="n">
        <f aca="false">IFERROR(C14/C23,0)</f>
        <v>0.270950173781469</v>
      </c>
      <c r="D25" s="36" t="n">
        <f aca="false">IFERROR(D14/D23,0)</f>
        <v>0.270950173781469</v>
      </c>
      <c r="E25" s="36" t="n">
        <f aca="false">IFERROR(E14/E23,0)</f>
        <v>0.270950173781469</v>
      </c>
      <c r="F25" s="36" t="n">
        <f aca="false">IFERROR(F14/F23,0)</f>
        <v>0.270950173781469</v>
      </c>
      <c r="G25" s="36" t="n">
        <f aca="false">IFERROR(G14/G23,0)</f>
        <v>0.270950173781469</v>
      </c>
      <c r="H25" s="36" t="n">
        <f aca="false">IFERROR(H14/H23,0)</f>
        <v>0.270950173781469</v>
      </c>
      <c r="I25" s="36" t="n">
        <f aca="false">IFERROR(I14/I23,0)</f>
        <v>0.270950173781469</v>
      </c>
      <c r="J25" s="36" t="n">
        <f aca="false">IFERROR(J14/J23,0)</f>
        <v>0.270950173781469</v>
      </c>
      <c r="K25" s="36" t="n">
        <f aca="false">IFERROR(K14/K23,0)</f>
        <v>0.270950173781469</v>
      </c>
      <c r="L25" s="36" t="n">
        <f aca="false">IFERROR(L14/L23,0)</f>
        <v>0.270950173781469</v>
      </c>
      <c r="M25" s="36" t="n">
        <f aca="false">IFERROR(M14/M23,0)</f>
        <v>0.270950173781469</v>
      </c>
      <c r="N25" s="36" t="n">
        <f aca="false">IFERROR(N14/N23,0)</f>
        <v>0.270950173781469</v>
      </c>
      <c r="O25" s="59" t="n">
        <f aca="false">IFERROR(O14/O23,0)</f>
        <v>0.270950173781469</v>
      </c>
      <c r="P25" s="36" t="n">
        <f aca="false">IFERROR(P14/P23,0)</f>
        <v>0.270950173781469</v>
      </c>
      <c r="Q25" s="36" t="n">
        <f aca="false">IFERROR(Q14/Q23,0)</f>
        <v>0.270950173781469</v>
      </c>
      <c r="R25" s="36" t="n">
        <f aca="false">IFERROR(R14/R23,0)</f>
        <v>0.270950173781469</v>
      </c>
      <c r="S25" s="36" t="n">
        <f aca="false">IFERROR(S14/S23,0)</f>
        <v>0.270950173781469</v>
      </c>
      <c r="T25" s="36" t="n">
        <f aca="false">IFERROR(T14/T23,0)</f>
        <v>0.281980013154824</v>
      </c>
      <c r="V25" s="8" t="s">
        <v>683</v>
      </c>
      <c r="W25" s="8" t="s">
        <v>748</v>
      </c>
    </row>
    <row r="26" customFormat="false" ht="15" hidden="false" customHeight="false" outlineLevel="0" collapsed="false">
      <c r="A26" s="8" t="s">
        <v>750</v>
      </c>
      <c r="B26" s="8" t="s">
        <v>285</v>
      </c>
      <c r="C26" s="36" t="n">
        <f aca="false">IFERROR(C19/C23,0)</f>
        <v>0.227963525835866</v>
      </c>
      <c r="D26" s="36" t="n">
        <f aca="false">IFERROR(D19/D23,0)</f>
        <v>0.227963525835866</v>
      </c>
      <c r="E26" s="36" t="n">
        <f aca="false">IFERROR(E19/E23,0)</f>
        <v>0.227963525835866</v>
      </c>
      <c r="F26" s="36" t="n">
        <f aca="false">IFERROR(F19/F23,0)</f>
        <v>0.227963525835866</v>
      </c>
      <c r="G26" s="36" t="n">
        <f aca="false">IFERROR(G19/G23,0)</f>
        <v>0.227963525835866</v>
      </c>
      <c r="H26" s="36" t="n">
        <f aca="false">IFERROR(H19/H23,0)</f>
        <v>0.227963525835866</v>
      </c>
      <c r="I26" s="36" t="n">
        <f aca="false">IFERROR(I19/I23,0)</f>
        <v>0.227963525835866</v>
      </c>
      <c r="J26" s="36" t="n">
        <f aca="false">IFERROR(J19/J23,0)</f>
        <v>0.227963525835866</v>
      </c>
      <c r="K26" s="36" t="n">
        <f aca="false">IFERROR(K19/K23,0)</f>
        <v>0.227963525835866</v>
      </c>
      <c r="L26" s="36" t="n">
        <f aca="false">IFERROR(L19/L23,0)</f>
        <v>0.227963525835866</v>
      </c>
      <c r="M26" s="36" t="n">
        <f aca="false">IFERROR(M19/M23,0)</f>
        <v>0.227963525835866</v>
      </c>
      <c r="N26" s="36" t="n">
        <f aca="false">IFERROR(N19/N23,0)</f>
        <v>0.227963525835866</v>
      </c>
      <c r="O26" s="59" t="n">
        <f aca="false">IFERROR(O19/O23,0)</f>
        <v>0.227963525835866</v>
      </c>
      <c r="P26" s="36" t="n">
        <f aca="false">IFERROR(P19/P23,0)</f>
        <v>0.227963525835866</v>
      </c>
      <c r="Q26" s="36" t="n">
        <f aca="false">IFERROR(Q19/Q23,0)</f>
        <v>0.227963525835866</v>
      </c>
      <c r="R26" s="36" t="n">
        <f aca="false">IFERROR(R19/R23,0)</f>
        <v>0.227963525835866</v>
      </c>
      <c r="S26" s="36" t="n">
        <f aca="false">IFERROR(S19/S23,0)</f>
        <v>0.227963525835866</v>
      </c>
      <c r="T26" s="36" t="n">
        <f aca="false">IFERROR(T19/T23,0)</f>
        <v>0.218263987609005</v>
      </c>
      <c r="V26" s="8" t="s">
        <v>683</v>
      </c>
      <c r="W26" s="8" t="s">
        <v>748</v>
      </c>
    </row>
    <row r="27" customFormat="false" ht="15" hidden="false" customHeight="false" outlineLevel="0" collapsed="false">
      <c r="A27" s="8" t="s">
        <v>751</v>
      </c>
      <c r="B27" s="8" t="s">
        <v>285</v>
      </c>
      <c r="C27" s="36" t="n">
        <f aca="false">C24+C25+C26</f>
        <v>1</v>
      </c>
      <c r="D27" s="36" t="n">
        <f aca="false">D24+D25+D26</f>
        <v>1</v>
      </c>
      <c r="E27" s="36" t="n">
        <f aca="false">E24+E25+E26</f>
        <v>1</v>
      </c>
      <c r="F27" s="36" t="n">
        <f aca="false">F24+F25+F26</f>
        <v>1</v>
      </c>
      <c r="G27" s="36" t="n">
        <f aca="false">G24+G25+G26</f>
        <v>1</v>
      </c>
      <c r="H27" s="36" t="n">
        <f aca="false">H24+H25+H26</f>
        <v>1</v>
      </c>
      <c r="I27" s="36" t="n">
        <f aca="false">I24+I25+I26</f>
        <v>1</v>
      </c>
      <c r="J27" s="36" t="n">
        <f aca="false">J24+J25+J26</f>
        <v>1</v>
      </c>
      <c r="K27" s="36" t="n">
        <f aca="false">K24+K25+K26</f>
        <v>1</v>
      </c>
      <c r="L27" s="36" t="n">
        <f aca="false">L24+L25+L26</f>
        <v>1</v>
      </c>
      <c r="M27" s="36" t="n">
        <f aca="false">M24+M25+M26</f>
        <v>1</v>
      </c>
      <c r="N27" s="36" t="n">
        <f aca="false">N24+N25+N26</f>
        <v>1</v>
      </c>
      <c r="O27" s="59" t="n">
        <f aca="false">O24+O25+O26</f>
        <v>1</v>
      </c>
      <c r="P27" s="36" t="n">
        <f aca="false">P24+P25+P26</f>
        <v>1</v>
      </c>
      <c r="Q27" s="36" t="n">
        <f aca="false">Q24+Q25+Q26</f>
        <v>1</v>
      </c>
      <c r="R27" s="36" t="n">
        <f aca="false">R24+R25+R26</f>
        <v>1</v>
      </c>
      <c r="S27" s="36" t="n">
        <f aca="false">S24+S25+S26</f>
        <v>1</v>
      </c>
      <c r="T27" s="36" t="n">
        <f aca="false">T24+T25+T26</f>
        <v>1</v>
      </c>
      <c r="V27" s="8" t="s">
        <v>683</v>
      </c>
      <c r="W27" s="8" t="s">
        <v>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W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4" min="3" style="0" width="9.51"/>
    <col collapsed="false" customWidth="true" hidden="false" outlineLevel="0" max="15" min="15" style="0" width="11"/>
    <col collapsed="false" customWidth="true" hidden="false" outlineLevel="0" max="19" min="16" style="0" width="10"/>
    <col collapsed="false" customWidth="true" hidden="false" outlineLevel="0" max="20" min="20" style="0" width="11"/>
    <col collapsed="false" customWidth="true" hidden="false" outlineLevel="0" max="21" min="21" style="0" width="9"/>
    <col collapsed="false" customWidth="true" hidden="false" outlineLevel="0" max="22" min="22" style="0" width="24"/>
    <col collapsed="false" customWidth="true" hidden="false" outlineLevel="0" max="23" min="23" style="0" width="64"/>
  </cols>
  <sheetData>
    <row r="1" customFormat="false" ht="19.7" hidden="false" customHeight="false" outlineLevel="0" collapsed="false">
      <c r="A1" s="14" t="s">
        <v>753</v>
      </c>
    </row>
    <row r="2" customFormat="false" ht="15" hidden="false" customHeight="false" outlineLevel="0" collapsed="false">
      <c r="A2" s="4" t="s">
        <v>754</v>
      </c>
    </row>
    <row r="3" customFormat="false" ht="15" hidden="false" customHeight="false" outlineLevel="0" collapsed="false">
      <c r="A3" s="15" t="s">
        <v>2</v>
      </c>
    </row>
    <row r="4" customFormat="false" ht="15" hidden="false" customHeight="false" outlineLevel="0" collapsed="false">
      <c r="A4" s="7" t="s">
        <v>678</v>
      </c>
      <c r="B4" s="54" t="str">
        <f aca="false">Assumptions!$C$6</f>
        <v>Base</v>
      </c>
    </row>
    <row r="6" customFormat="false" ht="24.05" hidden="false" customHeight="false" outlineLevel="0" collapsed="false">
      <c r="A6" s="18" t="s">
        <v>427</v>
      </c>
      <c r="B6" s="19" t="s">
        <v>279</v>
      </c>
      <c r="C6" s="55" t="n">
        <f aca="false">Ops_Model!C$6</f>
        <v>46113</v>
      </c>
      <c r="D6" s="55" t="n">
        <f aca="false">Ops_Model!D$6</f>
        <v>46143</v>
      </c>
      <c r="E6" s="55" t="n">
        <f aca="false">Ops_Model!E$6</f>
        <v>46174</v>
      </c>
      <c r="F6" s="55" t="n">
        <f aca="false">Ops_Model!F$6</f>
        <v>46204</v>
      </c>
      <c r="G6" s="55" t="n">
        <f aca="false">Ops_Model!G$6</f>
        <v>46235</v>
      </c>
      <c r="H6" s="55" t="n">
        <f aca="false">Ops_Model!H$6</f>
        <v>46266</v>
      </c>
      <c r="I6" s="55" t="n">
        <f aca="false">Ops_Model!I$6</f>
        <v>46296</v>
      </c>
      <c r="J6" s="55" t="n">
        <f aca="false">Ops_Model!J$6</f>
        <v>46327</v>
      </c>
      <c r="K6" s="55" t="n">
        <f aca="false">Ops_Model!K$6</f>
        <v>46357</v>
      </c>
      <c r="L6" s="55" t="n">
        <f aca="false">Ops_Model!L$6</f>
        <v>46388</v>
      </c>
      <c r="M6" s="55" t="n">
        <f aca="false">Ops_Model!M$6</f>
        <v>46419</v>
      </c>
      <c r="N6" s="55" t="n">
        <f aca="false">Ops_Model!N$6</f>
        <v>46447</v>
      </c>
      <c r="O6" s="19" t="s">
        <v>679</v>
      </c>
      <c r="P6" s="19" t="s">
        <v>735</v>
      </c>
      <c r="Q6" s="19" t="s">
        <v>736</v>
      </c>
      <c r="R6" s="19" t="s">
        <v>737</v>
      </c>
      <c r="S6" s="19" t="s">
        <v>738</v>
      </c>
      <c r="T6" s="19" t="s">
        <v>739</v>
      </c>
      <c r="U6" s="19" t="s">
        <v>740</v>
      </c>
      <c r="V6" s="19" t="s">
        <v>100</v>
      </c>
      <c r="W6" s="19" t="s">
        <v>680</v>
      </c>
    </row>
    <row r="7" customFormat="false" ht="15" hidden="false" customHeight="false" outlineLevel="0" collapsed="false">
      <c r="A7" s="16" t="s">
        <v>435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customFormat="false" ht="15" hidden="false" customHeight="false" outlineLevel="0" collapsed="false">
      <c r="A8" s="45" t="s">
        <v>22</v>
      </c>
      <c r="B8" s="46" t="s">
        <v>318</v>
      </c>
      <c r="C8" s="63" t="n">
        <f aca="false">Revenue!C$23</f>
        <v>94.7876845388385</v>
      </c>
      <c r="D8" s="63" t="n">
        <f aca="false">Revenue!D$23</f>
        <v>96.762427966731</v>
      </c>
      <c r="E8" s="63" t="n">
        <f aca="false">Revenue!E$23</f>
        <v>100.711914822516</v>
      </c>
      <c r="F8" s="63" t="n">
        <f aca="false">Revenue!F$23</f>
        <v>95.7750562527848</v>
      </c>
      <c r="G8" s="63" t="n">
        <f aca="false">Revenue!G$23</f>
        <v>97.7497996806772</v>
      </c>
      <c r="H8" s="63" t="n">
        <f aca="false">Revenue!H$23</f>
        <v>102.686658250408</v>
      </c>
      <c r="I8" s="63" t="n">
        <f aca="false">Revenue!I$23</f>
        <v>101.699286536462</v>
      </c>
      <c r="J8" s="63" t="n">
        <f aca="false">Revenue!J$23</f>
        <v>99.7245431085697</v>
      </c>
      <c r="K8" s="63" t="n">
        <f aca="false">Revenue!K$23</f>
        <v>93.8003128248923</v>
      </c>
      <c r="L8" s="63" t="n">
        <f aca="false">Revenue!L$23</f>
        <v>95.7750562527848</v>
      </c>
      <c r="M8" s="63" t="n">
        <f aca="false">Revenue!M$23</f>
        <v>98.7371713946235</v>
      </c>
      <c r="N8" s="63" t="n">
        <f aca="false">Revenue!N$23</f>
        <v>106.636145106193</v>
      </c>
      <c r="O8" s="64" t="n">
        <f aca="false">SUM(C8:N8)</f>
        <v>1184.84605673548</v>
      </c>
      <c r="P8" s="63" t="n">
        <f aca="false">SUM(C8:E8)</f>
        <v>292.262027328086</v>
      </c>
      <c r="Q8" s="63" t="n">
        <f aca="false">SUM(F8:H8)</f>
        <v>296.21151418387</v>
      </c>
      <c r="R8" s="63" t="n">
        <f aca="false">SUM(I8:K8)</f>
        <v>295.224142469924</v>
      </c>
      <c r="S8" s="63" t="n">
        <f aca="false">SUM(L8:N8)</f>
        <v>301.148372753602</v>
      </c>
      <c r="T8" s="63" t="n">
        <f aca="false">Assumptions!$F$33</f>
        <v>1000</v>
      </c>
      <c r="U8" s="65" t="n">
        <f aca="false">IFERROR(O8/T8-1,"")</f>
        <v>0.184846056735482</v>
      </c>
      <c r="V8" s="8" t="s">
        <v>683</v>
      </c>
      <c r="W8" s="8" t="s">
        <v>755</v>
      </c>
    </row>
    <row r="9" customFormat="false" ht="15" hidden="false" customHeight="false" outlineLevel="0" collapsed="false">
      <c r="A9" s="8" t="s">
        <v>756</v>
      </c>
      <c r="B9" s="8" t="s">
        <v>318</v>
      </c>
      <c r="C9" s="31" t="n">
        <f aca="false">Ops_Model!C$102</f>
        <v>38.2065801416349</v>
      </c>
      <c r="D9" s="31" t="n">
        <f aca="false">Ops_Model!D$102</f>
        <v>38.1790301342229</v>
      </c>
      <c r="E9" s="31" t="n">
        <f aca="false">Ops_Model!E$102</f>
        <v>39.344700423773</v>
      </c>
      <c r="F9" s="31" t="n">
        <f aca="false">Ops_Model!F$102</f>
        <v>37.2378704363198</v>
      </c>
      <c r="G9" s="31" t="n">
        <f aca="false">Ops_Model!G$102</f>
        <v>37.9213922430492</v>
      </c>
      <c r="H9" s="31" t="n">
        <f aca="false">Ops_Model!H$102</f>
        <v>39.7941001213474</v>
      </c>
      <c r="I9" s="31" t="n">
        <f aca="false">Ops_Model!I$102</f>
        <v>39.3904323408159</v>
      </c>
      <c r="J9" s="31" t="n">
        <f aca="false">Ops_Model!J$102</f>
        <v>38.6154268927172</v>
      </c>
      <c r="K9" s="31" t="n">
        <f aca="false">Ops_Model!K$102</f>
        <v>36.3168107847095</v>
      </c>
      <c r="L9" s="31" t="n">
        <f aca="false">Ops_Model!L$102</f>
        <v>37.0791234364117</v>
      </c>
      <c r="M9" s="31" t="n">
        <f aca="false">Ops_Model!M$102</f>
        <v>38.2247365115346</v>
      </c>
      <c r="N9" s="31" t="n">
        <f aca="false">Ops_Model!N$102</f>
        <v>41.2820578036289</v>
      </c>
      <c r="O9" s="43" t="n">
        <f aca="false">SUM(C9:N9)</f>
        <v>461.592261270165</v>
      </c>
      <c r="P9" s="31" t="n">
        <f aca="false">SUM(C9:E9)</f>
        <v>115.730310699631</v>
      </c>
      <c r="Q9" s="31" t="n">
        <f aca="false">SUM(F9:H9)</f>
        <v>114.953362800716</v>
      </c>
      <c r="R9" s="31" t="n">
        <f aca="false">SUM(I9:K9)</f>
        <v>114.322670018243</v>
      </c>
      <c r="S9" s="31" t="n">
        <f aca="false">SUM(L9:N9)</f>
        <v>116.585917751575</v>
      </c>
      <c r="T9" s="31" t="n">
        <f aca="false">Assumptions!$F$56</f>
        <v>417.918893308581</v>
      </c>
      <c r="U9" s="36" t="n">
        <f aca="false">IFERROR(O9/T9-1,"")</f>
        <v>0.104502018599423</v>
      </c>
      <c r="V9" s="8" t="s">
        <v>683</v>
      </c>
      <c r="W9" s="8" t="s">
        <v>757</v>
      </c>
    </row>
    <row r="10" customFormat="false" ht="15" hidden="false" customHeight="false" outlineLevel="0" collapsed="false">
      <c r="A10" s="8" t="s">
        <v>758</v>
      </c>
      <c r="B10" s="8" t="s">
        <v>318</v>
      </c>
      <c r="C10" s="31" t="n">
        <f aca="false">FCF!C$9</f>
        <v>0</v>
      </c>
      <c r="D10" s="31" t="n">
        <f aca="false">FCF!D$9</f>
        <v>0.0473938422694193</v>
      </c>
      <c r="E10" s="31" t="n">
        <f aca="false">FCF!E$9</f>
        <v>0.0957750562527848</v>
      </c>
      <c r="F10" s="31" t="n">
        <f aca="false">FCF!F$9</f>
        <v>0.146131013664043</v>
      </c>
      <c r="G10" s="31" t="n">
        <f aca="false">FCF!G$9</f>
        <v>0.194018541790435</v>
      </c>
      <c r="H10" s="31" t="n">
        <f aca="false">FCF!H$9</f>
        <v>0.242893441630774</v>
      </c>
      <c r="I10" s="31" t="n">
        <f aca="false">FCF!I$9</f>
        <v>0.294236770755978</v>
      </c>
      <c r="J10" s="31" t="n">
        <f aca="false">FCF!J$9</f>
        <v>0.345086414024209</v>
      </c>
      <c r="K10" s="31" t="n">
        <f aca="false">FCF!K$9</f>
        <v>0.394948685578494</v>
      </c>
      <c r="L10" s="31" t="n">
        <f aca="false">FCF!L$9</f>
        <v>0.44184884199094</v>
      </c>
      <c r="M10" s="31" t="n">
        <f aca="false">FCF!M$9</f>
        <v>0.489736370117332</v>
      </c>
      <c r="N10" s="31" t="n">
        <f aca="false">FCF!N$9</f>
        <v>0.539104955814644</v>
      </c>
      <c r="O10" s="43" t="n">
        <f aca="false">SUM(C10:N10)</f>
        <v>3.23117393388905</v>
      </c>
      <c r="P10" s="31" t="n">
        <f aca="false">SUM(C10:E10)</f>
        <v>0.143168898522204</v>
      </c>
      <c r="Q10" s="31" t="n">
        <f aca="false">SUM(F10:H10)</f>
        <v>0.583042997085252</v>
      </c>
      <c r="R10" s="31" t="n">
        <f aca="false">SUM(I10:K10)</f>
        <v>1.03427187035868</v>
      </c>
      <c r="S10" s="31" t="n">
        <f aca="false">SUM(L10:N10)</f>
        <v>1.47069016792292</v>
      </c>
      <c r="T10" s="31" t="n">
        <f aca="false">0</f>
        <v>0</v>
      </c>
      <c r="V10" s="8" t="s">
        <v>683</v>
      </c>
      <c r="W10" s="8" t="s">
        <v>759</v>
      </c>
    </row>
    <row r="11" customFormat="false" ht="15" hidden="false" customHeight="false" outlineLevel="0" collapsed="false">
      <c r="A11" s="8" t="s">
        <v>760</v>
      </c>
      <c r="B11" s="8" t="s">
        <v>318</v>
      </c>
      <c r="C11" s="31" t="n">
        <f aca="false">C9+C10</f>
        <v>38.2065801416349</v>
      </c>
      <c r="D11" s="31" t="n">
        <f aca="false">D9+D10</f>
        <v>38.2264239764923</v>
      </c>
      <c r="E11" s="31" t="n">
        <f aca="false">E9+E10</f>
        <v>39.4404754800257</v>
      </c>
      <c r="F11" s="31" t="n">
        <f aca="false">F9+F10</f>
        <v>37.3840014499838</v>
      </c>
      <c r="G11" s="31" t="n">
        <f aca="false">G9+G10</f>
        <v>38.1154107848396</v>
      </c>
      <c r="H11" s="31" t="n">
        <f aca="false">H9+H10</f>
        <v>40.0369935629782</v>
      </c>
      <c r="I11" s="31" t="n">
        <f aca="false">I9+I10</f>
        <v>39.6846691115719</v>
      </c>
      <c r="J11" s="31" t="n">
        <f aca="false">J9+J10</f>
        <v>38.9605133067414</v>
      </c>
      <c r="K11" s="31" t="n">
        <f aca="false">K9+K10</f>
        <v>36.711759470288</v>
      </c>
      <c r="L11" s="31" t="n">
        <f aca="false">L9+L10</f>
        <v>37.5209722784026</v>
      </c>
      <c r="M11" s="31" t="n">
        <f aca="false">M9+M10</f>
        <v>38.7144728816519</v>
      </c>
      <c r="N11" s="31" t="n">
        <f aca="false">N9+N10</f>
        <v>41.8211627594436</v>
      </c>
      <c r="O11" s="43" t="n">
        <f aca="false">SUM(C11:N11)</f>
        <v>464.823435204054</v>
      </c>
      <c r="P11" s="31" t="n">
        <f aca="false">SUM(C11:E11)</f>
        <v>115.873479598153</v>
      </c>
      <c r="Q11" s="31" t="n">
        <f aca="false">SUM(F11:H11)</f>
        <v>115.536405797802</v>
      </c>
      <c r="R11" s="31" t="n">
        <f aca="false">SUM(I11:K11)</f>
        <v>115.356941888601</v>
      </c>
      <c r="S11" s="31" t="n">
        <f aca="false">SUM(L11:N11)</f>
        <v>118.056607919498</v>
      </c>
      <c r="T11" s="31" t="n">
        <f aca="false">T9+T10</f>
        <v>417.918893308581</v>
      </c>
      <c r="U11" s="36" t="n">
        <f aca="false">IFERROR(O11/T11-1,"")</f>
        <v>0.112233599979505</v>
      </c>
      <c r="V11" s="8" t="s">
        <v>683</v>
      </c>
      <c r="W11" s="8" t="s">
        <v>761</v>
      </c>
    </row>
    <row r="12" customFormat="false" ht="15" hidden="false" customHeight="false" outlineLevel="0" collapsed="false">
      <c r="A12" s="45" t="s">
        <v>367</v>
      </c>
      <c r="B12" s="46" t="s">
        <v>318</v>
      </c>
      <c r="C12" s="63" t="n">
        <f aca="false">C8-C11</f>
        <v>56.5811043972037</v>
      </c>
      <c r="D12" s="63" t="n">
        <f aca="false">D8-D11</f>
        <v>58.5360039902387</v>
      </c>
      <c r="E12" s="63" t="n">
        <f aca="false">E8-E11</f>
        <v>61.2714393424902</v>
      </c>
      <c r="F12" s="63" t="n">
        <f aca="false">F8-F11</f>
        <v>58.391054802801</v>
      </c>
      <c r="G12" s="63" t="n">
        <f aca="false">G8-G11</f>
        <v>59.6343888958376</v>
      </c>
      <c r="H12" s="63" t="n">
        <f aca="false">H8-H11</f>
        <v>62.6496646874303</v>
      </c>
      <c r="I12" s="63" t="n">
        <f aca="false">I8-I11</f>
        <v>62.0146174248903</v>
      </c>
      <c r="J12" s="63" t="n">
        <f aca="false">J8-J11</f>
        <v>60.7640298018283</v>
      </c>
      <c r="K12" s="63" t="n">
        <f aca="false">K8-K11</f>
        <v>57.0885533546044</v>
      </c>
      <c r="L12" s="63" t="n">
        <f aca="false">L8-L11</f>
        <v>58.2540839743822</v>
      </c>
      <c r="M12" s="63" t="n">
        <f aca="false">M8-M11</f>
        <v>60.0226985129715</v>
      </c>
      <c r="N12" s="63" t="n">
        <f aca="false">N8-N11</f>
        <v>64.8149823467498</v>
      </c>
      <c r="O12" s="64" t="n">
        <f aca="false">SUM(C12:N12)</f>
        <v>720.022621531428</v>
      </c>
      <c r="P12" s="63" t="n">
        <f aca="false">SUM(C12:E12)</f>
        <v>176.388547729933</v>
      </c>
      <c r="Q12" s="63" t="n">
        <f aca="false">SUM(F12:H12)</f>
        <v>180.675108386069</v>
      </c>
      <c r="R12" s="63" t="n">
        <f aca="false">SUM(I12:K12)</f>
        <v>179.867200581323</v>
      </c>
      <c r="S12" s="63" t="n">
        <f aca="false">SUM(L12:N12)</f>
        <v>183.091764834104</v>
      </c>
      <c r="T12" s="63" t="n">
        <f aca="false">T8-T11</f>
        <v>582.081106691419</v>
      </c>
      <c r="U12" s="65" t="n">
        <f aca="false">IFERROR(O12/T12-1,"")</f>
        <v>0.236979886916578</v>
      </c>
      <c r="V12" s="8" t="s">
        <v>683</v>
      </c>
      <c r="W12" s="8" t="s">
        <v>368</v>
      </c>
    </row>
    <row r="13" customFormat="false" ht="15" hidden="false" customHeight="false" outlineLevel="0" collapsed="false">
      <c r="A13" s="8" t="s">
        <v>369</v>
      </c>
      <c r="B13" s="8" t="s">
        <v>285</v>
      </c>
      <c r="C13" s="36" t="n">
        <f aca="false">IFERROR(C12/C8,0)</f>
        <v>0.59692463923433</v>
      </c>
      <c r="D13" s="36" t="n">
        <f aca="false">IFERROR(D12/D8,0)</f>
        <v>0.60494558911197</v>
      </c>
      <c r="E13" s="36" t="n">
        <f aca="false">IFERROR(E12/E8,0)</f>
        <v>0.608383223082081</v>
      </c>
      <c r="F13" s="36" t="n">
        <f aca="false">IFERROR(F12/F8,0)</f>
        <v>0.609668707984739</v>
      </c>
      <c r="G13" s="36" t="n">
        <f aca="false">IFERROR(G12/G8,0)</f>
        <v>0.610071724859257</v>
      </c>
      <c r="H13" s="36" t="n">
        <f aca="false">IFERROR(H12/H8,0)</f>
        <v>0.610105205046743</v>
      </c>
      <c r="I13" s="36" t="n">
        <f aca="false">IFERROR(I12/I8,0)</f>
        <v>0.609784193546493</v>
      </c>
      <c r="J13" s="36" t="n">
        <f aca="false">IFERROR(J12/J8,0)</f>
        <v>0.609318708391321</v>
      </c>
      <c r="K13" s="36" t="n">
        <f aca="false">IFERROR(K12/K8,0)</f>
        <v>0.608617942044373</v>
      </c>
      <c r="L13" s="36" t="n">
        <f aca="false">IFERROR(L12/L8,0)</f>
        <v>0.608238577491709</v>
      </c>
      <c r="M13" s="36" t="n">
        <f aca="false">IFERROR(M12/M8,0)</f>
        <v>0.607903767802689</v>
      </c>
      <c r="N13" s="36" t="n">
        <f aca="false">IFERROR(N12/N8,0)</f>
        <v>0.607814379282034</v>
      </c>
      <c r="O13" s="59" t="n">
        <f aca="false">IFERROR(O12/O8,0)</f>
        <v>0.60769297195895</v>
      </c>
      <c r="P13" s="36" t="n">
        <f aca="false">IFERROR(P12/P8,0)</f>
        <v>0.60352879004676</v>
      </c>
      <c r="Q13" s="36" t="n">
        <f aca="false">IFERROR(Q12/Q8,0)</f>
        <v>0.609953022534825</v>
      </c>
      <c r="R13" s="36" t="n">
        <f aca="false">IFERROR(R12/R8,0)</f>
        <v>0.609256407949925</v>
      </c>
      <c r="S13" s="36" t="n">
        <f aca="false">IFERROR(S12/S8,0)</f>
        <v>0.607978595932539</v>
      </c>
      <c r="T13" s="36" t="n">
        <f aca="false">IFERROR(T12/T8,0)</f>
        <v>0.582081106691419</v>
      </c>
      <c r="V13" s="8" t="s">
        <v>683</v>
      </c>
      <c r="W13" s="8" t="s">
        <v>725</v>
      </c>
    </row>
    <row r="14" customFormat="false" ht="15" hidden="false" customHeight="false" outlineLevel="0" collapsed="false">
      <c r="A14" s="8" t="s">
        <v>443</v>
      </c>
      <c r="B14" s="8" t="s">
        <v>318</v>
      </c>
      <c r="C14" s="31" t="n">
        <f aca="false">Assumptions!$F$34*(1+Assumptions!$F$15)/12</f>
        <v>17.5</v>
      </c>
      <c r="D14" s="31" t="n">
        <f aca="false">Assumptions!$F$34*(1+Assumptions!$F$15)/12</f>
        <v>17.5</v>
      </c>
      <c r="E14" s="31" t="n">
        <f aca="false">Assumptions!$F$34*(1+Assumptions!$F$15)/12</f>
        <v>17.5</v>
      </c>
      <c r="F14" s="31" t="n">
        <f aca="false">Assumptions!$F$34*(1+Assumptions!$F$15)/12</f>
        <v>17.5</v>
      </c>
      <c r="G14" s="31" t="n">
        <f aca="false">Assumptions!$F$34*(1+Assumptions!$F$15)/12</f>
        <v>17.5</v>
      </c>
      <c r="H14" s="31" t="n">
        <f aca="false">Assumptions!$F$34*(1+Assumptions!$F$15)/12</f>
        <v>17.5</v>
      </c>
      <c r="I14" s="31" t="n">
        <f aca="false">Assumptions!$F$34*(1+Assumptions!$F$15)/12</f>
        <v>17.5</v>
      </c>
      <c r="J14" s="31" t="n">
        <f aca="false">Assumptions!$F$34*(1+Assumptions!$F$15)/12</f>
        <v>17.5</v>
      </c>
      <c r="K14" s="31" t="n">
        <f aca="false">Assumptions!$F$34*(1+Assumptions!$F$15)/12</f>
        <v>17.5</v>
      </c>
      <c r="L14" s="31" t="n">
        <f aca="false">Assumptions!$F$34*(1+Assumptions!$F$15)/12</f>
        <v>17.5</v>
      </c>
      <c r="M14" s="31" t="n">
        <f aca="false">Assumptions!$F$34*(1+Assumptions!$F$15)/12</f>
        <v>17.5</v>
      </c>
      <c r="N14" s="31" t="n">
        <f aca="false">Assumptions!$F$34*(1+Assumptions!$F$15)/12</f>
        <v>17.5</v>
      </c>
      <c r="O14" s="43" t="n">
        <f aca="false">SUM(C14:N14)</f>
        <v>210</v>
      </c>
      <c r="P14" s="31" t="n">
        <f aca="false">SUM(C14:E14)</f>
        <v>52.5</v>
      </c>
      <c r="Q14" s="31" t="n">
        <f aca="false">SUM(F14:H14)</f>
        <v>52.5</v>
      </c>
      <c r="R14" s="31" t="n">
        <f aca="false">SUM(I14:K14)</f>
        <v>52.5</v>
      </c>
      <c r="S14" s="31" t="n">
        <f aca="false">SUM(L14:N14)</f>
        <v>52.5</v>
      </c>
      <c r="T14" s="31" t="n">
        <f aca="false">Assumptions!$F$34</f>
        <v>200</v>
      </c>
      <c r="U14" s="36" t="n">
        <f aca="false">IFERROR(O14/T14-1,"")</f>
        <v>0.05</v>
      </c>
      <c r="V14" s="8" t="s">
        <v>683</v>
      </c>
      <c r="W14" s="8" t="s">
        <v>762</v>
      </c>
    </row>
    <row r="15" customFormat="false" ht="15" hidden="false" customHeight="false" outlineLevel="0" collapsed="false">
      <c r="A15" s="8" t="s">
        <v>445</v>
      </c>
      <c r="B15" s="8" t="s">
        <v>318</v>
      </c>
      <c r="C15" s="31" t="n">
        <f aca="false">Assumptions!$F$35*(1+Assumptions!$F$16)/12</f>
        <v>8.66666666666667</v>
      </c>
      <c r="D15" s="31" t="n">
        <f aca="false">Assumptions!$F$35*(1+Assumptions!$F$16)/12</f>
        <v>8.66666666666667</v>
      </c>
      <c r="E15" s="31" t="n">
        <f aca="false">Assumptions!$F$35*(1+Assumptions!$F$16)/12</f>
        <v>8.66666666666667</v>
      </c>
      <c r="F15" s="31" t="n">
        <f aca="false">Assumptions!$F$35*(1+Assumptions!$F$16)/12</f>
        <v>8.66666666666667</v>
      </c>
      <c r="G15" s="31" t="n">
        <f aca="false">Assumptions!$F$35*(1+Assumptions!$F$16)/12</f>
        <v>8.66666666666667</v>
      </c>
      <c r="H15" s="31" t="n">
        <f aca="false">Assumptions!$F$35*(1+Assumptions!$F$16)/12</f>
        <v>8.66666666666667</v>
      </c>
      <c r="I15" s="31" t="n">
        <f aca="false">Assumptions!$F$35*(1+Assumptions!$F$16)/12</f>
        <v>8.66666666666667</v>
      </c>
      <c r="J15" s="31" t="n">
        <f aca="false">Assumptions!$F$35*(1+Assumptions!$F$16)/12</f>
        <v>8.66666666666667</v>
      </c>
      <c r="K15" s="31" t="n">
        <f aca="false">Assumptions!$F$35*(1+Assumptions!$F$16)/12</f>
        <v>8.66666666666667</v>
      </c>
      <c r="L15" s="31" t="n">
        <f aca="false">Assumptions!$F$35*(1+Assumptions!$F$16)/12</f>
        <v>8.66666666666667</v>
      </c>
      <c r="M15" s="31" t="n">
        <f aca="false">Assumptions!$F$35*(1+Assumptions!$F$16)/12</f>
        <v>8.66666666666667</v>
      </c>
      <c r="N15" s="31" t="n">
        <f aca="false">Assumptions!$F$35*(1+Assumptions!$F$16)/12</f>
        <v>8.66666666666667</v>
      </c>
      <c r="O15" s="43" t="n">
        <f aca="false">SUM(C15:N15)</f>
        <v>104</v>
      </c>
      <c r="P15" s="31" t="n">
        <f aca="false">SUM(C15:E15)</f>
        <v>26</v>
      </c>
      <c r="Q15" s="31" t="n">
        <f aca="false">SUM(F15:H15)</f>
        <v>26</v>
      </c>
      <c r="R15" s="31" t="n">
        <f aca="false">SUM(I15:K15)</f>
        <v>26</v>
      </c>
      <c r="S15" s="31" t="n">
        <f aca="false">SUM(L15:N15)</f>
        <v>26</v>
      </c>
      <c r="T15" s="31" t="n">
        <f aca="false">Assumptions!$F$35</f>
        <v>100</v>
      </c>
      <c r="U15" s="36" t="n">
        <f aca="false">IFERROR(O15/T15-1,"")</f>
        <v>0.04</v>
      </c>
      <c r="V15" s="8" t="s">
        <v>683</v>
      </c>
      <c r="W15" s="8" t="s">
        <v>763</v>
      </c>
    </row>
    <row r="16" customFormat="false" ht="15" hidden="false" customHeight="false" outlineLevel="0" collapsed="false">
      <c r="A16" s="8" t="s">
        <v>764</v>
      </c>
      <c r="B16" s="8" t="s">
        <v>318</v>
      </c>
      <c r="C16" s="31" t="n">
        <f aca="false">C14+C15</f>
        <v>26.1666666666667</v>
      </c>
      <c r="D16" s="31" t="n">
        <f aca="false">D14+D15</f>
        <v>26.1666666666667</v>
      </c>
      <c r="E16" s="31" t="n">
        <f aca="false">E14+E15</f>
        <v>26.1666666666667</v>
      </c>
      <c r="F16" s="31" t="n">
        <f aca="false">F14+F15</f>
        <v>26.1666666666667</v>
      </c>
      <c r="G16" s="31" t="n">
        <f aca="false">G14+G15</f>
        <v>26.1666666666667</v>
      </c>
      <c r="H16" s="31" t="n">
        <f aca="false">H14+H15</f>
        <v>26.1666666666667</v>
      </c>
      <c r="I16" s="31" t="n">
        <f aca="false">I14+I15</f>
        <v>26.1666666666667</v>
      </c>
      <c r="J16" s="31" t="n">
        <f aca="false">J14+J15</f>
        <v>26.1666666666667</v>
      </c>
      <c r="K16" s="31" t="n">
        <f aca="false">K14+K15</f>
        <v>26.1666666666667</v>
      </c>
      <c r="L16" s="31" t="n">
        <f aca="false">L14+L15</f>
        <v>26.1666666666667</v>
      </c>
      <c r="M16" s="31" t="n">
        <f aca="false">M14+M15</f>
        <v>26.1666666666667</v>
      </c>
      <c r="N16" s="31" t="n">
        <f aca="false">N14+N15</f>
        <v>26.1666666666667</v>
      </c>
      <c r="O16" s="43" t="n">
        <f aca="false">SUM(C16:N16)</f>
        <v>314</v>
      </c>
      <c r="P16" s="31" t="n">
        <f aca="false">SUM(C16:E16)</f>
        <v>78.5</v>
      </c>
      <c r="Q16" s="31" t="n">
        <f aca="false">SUM(F16:H16)</f>
        <v>78.5</v>
      </c>
      <c r="R16" s="31" t="n">
        <f aca="false">SUM(I16:K16)</f>
        <v>78.5</v>
      </c>
      <c r="S16" s="31" t="n">
        <f aca="false">SUM(L16:N16)</f>
        <v>78.5</v>
      </c>
      <c r="T16" s="31" t="n">
        <f aca="false">T14+T15</f>
        <v>300</v>
      </c>
      <c r="U16" s="36" t="n">
        <f aca="false">IFERROR(O16/T16-1,"")</f>
        <v>0.0466666666666666</v>
      </c>
      <c r="V16" s="8" t="s">
        <v>683</v>
      </c>
      <c r="W16" s="8" t="s">
        <v>765</v>
      </c>
    </row>
    <row r="17" customFormat="false" ht="15" hidden="false" customHeight="false" outlineLevel="0" collapsed="false">
      <c r="A17" s="45" t="s">
        <v>419</v>
      </c>
      <c r="B17" s="46" t="s">
        <v>318</v>
      </c>
      <c r="C17" s="63" t="n">
        <f aca="false">C12-C16</f>
        <v>30.414437730537</v>
      </c>
      <c r="D17" s="63" t="n">
        <f aca="false">D12-D16</f>
        <v>32.369337323572</v>
      </c>
      <c r="E17" s="63" t="n">
        <f aca="false">E12-E16</f>
        <v>35.1047726758235</v>
      </c>
      <c r="F17" s="63" t="n">
        <f aca="false">F12-F16</f>
        <v>32.2243881361343</v>
      </c>
      <c r="G17" s="63" t="n">
        <f aca="false">G12-G16</f>
        <v>33.4677222291709</v>
      </c>
      <c r="H17" s="63" t="n">
        <f aca="false">H12-H16</f>
        <v>36.4829980207636</v>
      </c>
      <c r="I17" s="63" t="n">
        <f aca="false">I12-I16</f>
        <v>35.8479507582237</v>
      </c>
      <c r="J17" s="63" t="n">
        <f aca="false">J12-J16</f>
        <v>34.5973631351616</v>
      </c>
      <c r="K17" s="63" t="n">
        <f aca="false">K12-K16</f>
        <v>30.9218866879377</v>
      </c>
      <c r="L17" s="63" t="n">
        <f aca="false">L12-L16</f>
        <v>32.0874173077155</v>
      </c>
      <c r="M17" s="63" t="n">
        <f aca="false">M12-M16</f>
        <v>33.8560318463049</v>
      </c>
      <c r="N17" s="63" t="n">
        <f aca="false">N12-N16</f>
        <v>38.6483156800832</v>
      </c>
      <c r="O17" s="64" t="n">
        <f aca="false">SUM(C17:N17)</f>
        <v>406.022621531428</v>
      </c>
      <c r="P17" s="63" t="n">
        <f aca="false">SUM(C17:E17)</f>
        <v>97.8885477299325</v>
      </c>
      <c r="Q17" s="63" t="n">
        <f aca="false">SUM(F17:H17)</f>
        <v>102.175108386069</v>
      </c>
      <c r="R17" s="63" t="n">
        <f aca="false">SUM(I17:K17)</f>
        <v>101.367200581323</v>
      </c>
      <c r="S17" s="63" t="n">
        <f aca="false">SUM(L17:N17)</f>
        <v>104.591764834104</v>
      </c>
      <c r="T17" s="63" t="n">
        <f aca="false">T12-T16</f>
        <v>282.081106691419</v>
      </c>
      <c r="U17" s="65" t="n">
        <f aca="false">IFERROR(O17/T17-1,"")</f>
        <v>0.439382546012181</v>
      </c>
      <c r="V17" s="8" t="s">
        <v>683</v>
      </c>
      <c r="W17" s="8" t="s">
        <v>766</v>
      </c>
    </row>
    <row r="18" customFormat="false" ht="15" hidden="false" customHeight="false" outlineLevel="0" collapsed="false">
      <c r="A18" s="8" t="s">
        <v>420</v>
      </c>
      <c r="B18" s="8" t="s">
        <v>285</v>
      </c>
      <c r="C18" s="36" t="n">
        <f aca="false">IFERROR(C17/C8,0)</f>
        <v>0.320869086300709</v>
      </c>
      <c r="D18" s="36" t="n">
        <f aca="false">IFERROR(D17/D8,0)</f>
        <v>0.334523822972913</v>
      </c>
      <c r="E18" s="36" t="n">
        <f aca="false">IFERROR(E17/E8,0)</f>
        <v>0.348566232085732</v>
      </c>
      <c r="F18" s="36" t="n">
        <f aca="false">IFERROR(F17/F8,0)</f>
        <v>0.336459088586516</v>
      </c>
      <c r="G18" s="36" t="n">
        <f aca="false">IFERROR(G17/G8,0)</f>
        <v>0.342381491711504</v>
      </c>
      <c r="H18" s="36" t="n">
        <f aca="false">IFERROR(H17/H8,0)</f>
        <v>0.355284694646478</v>
      </c>
      <c r="I18" s="36" t="n">
        <f aca="false">IFERROR(I17/I8,0)</f>
        <v>0.352489697608361</v>
      </c>
      <c r="J18" s="36" t="n">
        <f aca="false">IFERROR(J17/J8,0)</f>
        <v>0.346929271939563</v>
      </c>
      <c r="K18" s="36" t="n">
        <f aca="false">IFERROR(K17/K8,0)</f>
        <v>0.329656541185135</v>
      </c>
      <c r="L18" s="36" t="n">
        <f aca="false">IFERROR(L17/L8,0)</f>
        <v>0.335028958093486</v>
      </c>
      <c r="M18" s="36" t="n">
        <f aca="false">IFERROR(M17/M8,0)</f>
        <v>0.342890436986414</v>
      </c>
      <c r="N18" s="36" t="n">
        <f aca="false">IFERROR(N17/N8,0)</f>
        <v>0.36243166556326</v>
      </c>
      <c r="O18" s="59" t="n">
        <f aca="false">IFERROR(O17/O8,0)</f>
        <v>0.342679641142675</v>
      </c>
      <c r="P18" s="36" t="n">
        <f aca="false">IFERROR(P17/P8,0)</f>
        <v>0.334934198003237</v>
      </c>
      <c r="Q18" s="36" t="n">
        <f aca="false">IFERROR(Q17/Q8,0)</f>
        <v>0.344939691718549</v>
      </c>
      <c r="R18" s="36" t="n">
        <f aca="false">IFERROR(R17/R8,0)</f>
        <v>0.343356744923562</v>
      </c>
      <c r="S18" s="36" t="n">
        <f aca="false">IFERROR(S17/S8,0)</f>
        <v>0.347309745949317</v>
      </c>
      <c r="T18" s="36" t="n">
        <f aca="false">IFERROR(T17/T8,0)</f>
        <v>0.282081106691419</v>
      </c>
      <c r="V18" s="8" t="s">
        <v>683</v>
      </c>
      <c r="W18" s="8" t="s">
        <v>767</v>
      </c>
    </row>
    <row r="19" customFormat="false" ht="15" hidden="false" customHeight="false" outlineLevel="0" collapsed="false">
      <c r="A19" s="8" t="s">
        <v>768</v>
      </c>
      <c r="B19" s="8" t="s">
        <v>318</v>
      </c>
      <c r="C19" s="31" t="n">
        <f aca="false">C17</f>
        <v>30.414437730537</v>
      </c>
      <c r="D19" s="31" t="n">
        <f aca="false">D17</f>
        <v>32.369337323572</v>
      </c>
      <c r="E19" s="31" t="n">
        <f aca="false">E17</f>
        <v>35.1047726758235</v>
      </c>
      <c r="F19" s="31" t="n">
        <f aca="false">F17</f>
        <v>32.2243881361343</v>
      </c>
      <c r="G19" s="31" t="n">
        <f aca="false">G17</f>
        <v>33.4677222291709</v>
      </c>
      <c r="H19" s="31" t="n">
        <f aca="false">H17</f>
        <v>36.4829980207636</v>
      </c>
      <c r="I19" s="31" t="n">
        <f aca="false">I17</f>
        <v>35.8479507582237</v>
      </c>
      <c r="J19" s="31" t="n">
        <f aca="false">J17</f>
        <v>34.5973631351616</v>
      </c>
      <c r="K19" s="31" t="n">
        <f aca="false">K17</f>
        <v>30.9218866879377</v>
      </c>
      <c r="L19" s="31" t="n">
        <f aca="false">L17</f>
        <v>32.0874173077155</v>
      </c>
      <c r="M19" s="31" t="n">
        <f aca="false">M17</f>
        <v>33.8560318463049</v>
      </c>
      <c r="N19" s="31" t="n">
        <f aca="false">N17</f>
        <v>38.6483156800832</v>
      </c>
      <c r="O19" s="43" t="n">
        <f aca="false">SUM(C19:N19)</f>
        <v>406.022621531428</v>
      </c>
      <c r="P19" s="31" t="n">
        <f aca="false">SUM(C19:E19)</f>
        <v>97.8885477299325</v>
      </c>
      <c r="Q19" s="31" t="n">
        <f aca="false">SUM(F19:H19)</f>
        <v>102.175108386069</v>
      </c>
      <c r="R19" s="31" t="n">
        <f aca="false">SUM(I19:K19)</f>
        <v>101.367200581323</v>
      </c>
      <c r="S19" s="31" t="n">
        <f aca="false">SUM(L19:N19)</f>
        <v>104.591764834104</v>
      </c>
      <c r="V19" s="8" t="s">
        <v>683</v>
      </c>
      <c r="W19" s="8" t="s">
        <v>769</v>
      </c>
    </row>
    <row r="20" customFormat="false" ht="15" hidden="false" customHeight="false" outlineLevel="0" collapsed="false">
      <c r="A20" s="8" t="s">
        <v>770</v>
      </c>
      <c r="B20" s="8" t="s">
        <v>318</v>
      </c>
      <c r="C20" s="31" t="n">
        <f aca="false">C19*Assumptions!$F$18</f>
        <v>5.47459879149666</v>
      </c>
      <c r="D20" s="31" t="n">
        <f aca="false">D19*Assumptions!$F$18</f>
        <v>5.82648071824296</v>
      </c>
      <c r="E20" s="31" t="n">
        <f aca="false">E19*Assumptions!$F$18</f>
        <v>6.31885908164824</v>
      </c>
      <c r="F20" s="31" t="n">
        <f aca="false">F19*Assumptions!$F$18</f>
        <v>5.80038986450417</v>
      </c>
      <c r="G20" s="31" t="n">
        <f aca="false">G19*Assumptions!$F$18</f>
        <v>6.02419000125077</v>
      </c>
      <c r="H20" s="31" t="n">
        <f aca="false">H19*Assumptions!$F$18</f>
        <v>6.56693964373745</v>
      </c>
      <c r="I20" s="31" t="n">
        <f aca="false">I19*Assumptions!$F$18</f>
        <v>6.45263113648026</v>
      </c>
      <c r="J20" s="31" t="n">
        <f aca="false">J19*Assumptions!$F$18</f>
        <v>6.22752536432909</v>
      </c>
      <c r="K20" s="31" t="n">
        <f aca="false">K19*Assumptions!$F$18</f>
        <v>5.56593960382878</v>
      </c>
      <c r="L20" s="31" t="n">
        <f aca="false">L19*Assumptions!$F$18</f>
        <v>5.77573511538879</v>
      </c>
      <c r="M20" s="31" t="n">
        <f aca="false">M19*Assumptions!$F$18</f>
        <v>6.09408573233488</v>
      </c>
      <c r="N20" s="31" t="n">
        <f aca="false">N19*Assumptions!$F$18</f>
        <v>6.95669682241497</v>
      </c>
      <c r="O20" s="43" t="n">
        <f aca="false">SUM(C20:N20)</f>
        <v>73.084071875657</v>
      </c>
      <c r="P20" s="31" t="n">
        <f aca="false">SUM(C20:E20)</f>
        <v>17.6199385913879</v>
      </c>
      <c r="Q20" s="31" t="n">
        <f aca="false">SUM(F20:H20)</f>
        <v>18.3915195094924</v>
      </c>
      <c r="R20" s="31" t="n">
        <f aca="false">SUM(I20:K20)</f>
        <v>18.2460961046381</v>
      </c>
      <c r="S20" s="31" t="n">
        <f aca="false">SUM(L20:N20)</f>
        <v>18.8265176701386</v>
      </c>
      <c r="V20" s="8" t="s">
        <v>683</v>
      </c>
      <c r="W20" s="8" t="s">
        <v>771</v>
      </c>
    </row>
    <row r="21" customFormat="false" ht="15" hidden="false" customHeight="false" outlineLevel="0" collapsed="false">
      <c r="A21" s="45" t="s">
        <v>421</v>
      </c>
      <c r="B21" s="46" t="s">
        <v>318</v>
      </c>
      <c r="C21" s="63" t="n">
        <f aca="false">C19-C20</f>
        <v>24.9398389390403</v>
      </c>
      <c r="D21" s="63" t="n">
        <f aca="false">D19-D20</f>
        <v>26.542856605329</v>
      </c>
      <c r="E21" s="63" t="n">
        <f aca="false">E19-E20</f>
        <v>28.7859135941753</v>
      </c>
      <c r="F21" s="63" t="n">
        <f aca="false">F19-F20</f>
        <v>26.4239982716301</v>
      </c>
      <c r="G21" s="63" t="n">
        <f aca="false">G19-G20</f>
        <v>27.4435322279202</v>
      </c>
      <c r="H21" s="63" t="n">
        <f aca="false">H19-H20</f>
        <v>29.9160583770262</v>
      </c>
      <c r="I21" s="63" t="n">
        <f aca="false">I19-I20</f>
        <v>29.3953196217434</v>
      </c>
      <c r="J21" s="63" t="n">
        <f aca="false">J19-J20</f>
        <v>28.3698377708325</v>
      </c>
      <c r="K21" s="63" t="n">
        <f aca="false">K19-K20</f>
        <v>25.3559470841089</v>
      </c>
      <c r="L21" s="63" t="n">
        <f aca="false">L19-L20</f>
        <v>26.3116821923267</v>
      </c>
      <c r="M21" s="63" t="n">
        <f aca="false">M19-M20</f>
        <v>27.76194611397</v>
      </c>
      <c r="N21" s="63" t="n">
        <f aca="false">N19-N20</f>
        <v>31.6916188576682</v>
      </c>
      <c r="O21" s="64" t="n">
        <f aca="false">SUM(C21:N21)</f>
        <v>332.938549655771</v>
      </c>
      <c r="P21" s="63" t="n">
        <f aca="false">SUM(C21:E21)</f>
        <v>80.2686091385447</v>
      </c>
      <c r="Q21" s="63" t="n">
        <f aca="false">SUM(F21:H21)</f>
        <v>83.7835888765765</v>
      </c>
      <c r="R21" s="63" t="n">
        <f aca="false">SUM(I21:K21)</f>
        <v>83.1211044766848</v>
      </c>
      <c r="S21" s="63" t="n">
        <f aca="false">SUM(L21:N21)</f>
        <v>85.7652471639649</v>
      </c>
      <c r="T21" s="66"/>
      <c r="U21" s="66"/>
      <c r="V21" s="8" t="s">
        <v>683</v>
      </c>
      <c r="W21" s="8" t="s">
        <v>772</v>
      </c>
    </row>
    <row r="22" customFormat="false" ht="15" hidden="false" customHeight="false" outlineLevel="0" collapsed="false">
      <c r="A22" s="8" t="s">
        <v>607</v>
      </c>
      <c r="B22" s="8" t="s">
        <v>285</v>
      </c>
      <c r="C22" s="36" t="n">
        <f aca="false">IFERROR(C21/C8,0)</f>
        <v>0.263112650766582</v>
      </c>
      <c r="D22" s="36" t="n">
        <f aca="false">IFERROR(D21/D8,0)</f>
        <v>0.274309534837789</v>
      </c>
      <c r="E22" s="36" t="n">
        <f aca="false">IFERROR(E21/E8,0)</f>
        <v>0.2858243103103</v>
      </c>
      <c r="F22" s="36" t="n">
        <f aca="false">IFERROR(F21/F8,0)</f>
        <v>0.275896452640943</v>
      </c>
      <c r="G22" s="36" t="n">
        <f aca="false">IFERROR(G21/G8,0)</f>
        <v>0.280752823203433</v>
      </c>
      <c r="H22" s="36" t="n">
        <f aca="false">IFERROR(H21/H8,0)</f>
        <v>0.291333449610112</v>
      </c>
      <c r="I22" s="36" t="n">
        <f aca="false">IFERROR(I21/I8,0)</f>
        <v>0.289041552038856</v>
      </c>
      <c r="J22" s="36" t="n">
        <f aca="false">IFERROR(J21/J8,0)</f>
        <v>0.284482002990441</v>
      </c>
      <c r="K22" s="36" t="n">
        <f aca="false">IFERROR(K21/K8,0)</f>
        <v>0.270318363771811</v>
      </c>
      <c r="L22" s="36" t="n">
        <f aca="false">IFERROR(L21/L8,0)</f>
        <v>0.274723745636659</v>
      </c>
      <c r="M22" s="36" t="n">
        <f aca="false">IFERROR(M21/M8,0)</f>
        <v>0.281170158328859</v>
      </c>
      <c r="N22" s="36" t="n">
        <f aca="false">IFERROR(N21/N8,0)</f>
        <v>0.297193965761873</v>
      </c>
      <c r="O22" s="59" t="n">
        <f aca="false">IFERROR(O21/O8,0)</f>
        <v>0.280997305736993</v>
      </c>
      <c r="P22" s="36" t="n">
        <f aca="false">IFERROR(P21/P8,0)</f>
        <v>0.274646042362655</v>
      </c>
      <c r="Q22" s="36" t="n">
        <f aca="false">IFERROR(Q21/Q8,0)</f>
        <v>0.28285054720921</v>
      </c>
      <c r="R22" s="36" t="n">
        <f aca="false">IFERROR(R21/R8,0)</f>
        <v>0.28155253083732</v>
      </c>
      <c r="S22" s="36" t="n">
        <f aca="false">IFERROR(S21/S8,0)</f>
        <v>0.28479399167844</v>
      </c>
      <c r="V22" s="8" t="s">
        <v>683</v>
      </c>
      <c r="W22" s="8" t="s">
        <v>773</v>
      </c>
    </row>
    <row r="24" customFormat="false" ht="15" hidden="false" customHeight="false" outlineLevel="0" collapsed="false">
      <c r="A24" s="16" t="s">
        <v>774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customFormat="false" ht="15" hidden="false" customHeight="false" outlineLevel="0" collapsed="false">
      <c r="A25" s="8" t="s">
        <v>775</v>
      </c>
      <c r="B25" s="8" t="s">
        <v>318</v>
      </c>
      <c r="C25" s="31" t="n">
        <f aca="false">FCF!C$11</f>
        <v>5.73</v>
      </c>
      <c r="D25" s="31" t="n">
        <f aca="false">FCF!D$11</f>
        <v>5.77739384226942</v>
      </c>
      <c r="E25" s="31" t="n">
        <f aca="false">FCF!E$11</f>
        <v>5.82577505625279</v>
      </c>
      <c r="F25" s="31" t="n">
        <f aca="false">FCF!F$11</f>
        <v>5.87613101366404</v>
      </c>
      <c r="G25" s="31" t="n">
        <f aca="false">FCF!G$11</f>
        <v>5.92401854179044</v>
      </c>
      <c r="H25" s="31" t="n">
        <f aca="false">FCF!H$11</f>
        <v>5.97289344163077</v>
      </c>
      <c r="I25" s="31" t="n">
        <f aca="false">FCF!I$11</f>
        <v>6.02423677075598</v>
      </c>
      <c r="J25" s="31" t="n">
        <f aca="false">FCF!J$11</f>
        <v>6.07508641402421</v>
      </c>
      <c r="K25" s="31" t="n">
        <f aca="false">FCF!K$11</f>
        <v>6.12494868557849</v>
      </c>
      <c r="L25" s="31" t="n">
        <f aca="false">FCF!L$11</f>
        <v>6.17184884199094</v>
      </c>
      <c r="M25" s="31" t="n">
        <f aca="false">FCF!M$11</f>
        <v>6.21973637011733</v>
      </c>
      <c r="N25" s="31" t="n">
        <f aca="false">FCF!N$11</f>
        <v>6.26910495581465</v>
      </c>
      <c r="O25" s="43" t="n">
        <f aca="false">SUM(C25:N25)</f>
        <v>71.9911739338891</v>
      </c>
      <c r="P25" s="31" t="n">
        <f aca="false">SUM(C25:E25)</f>
        <v>17.3331688985222</v>
      </c>
      <c r="Q25" s="31" t="n">
        <f aca="false">SUM(F25:H25)</f>
        <v>17.7730429970853</v>
      </c>
      <c r="R25" s="31" t="n">
        <f aca="false">SUM(I25:K25)</f>
        <v>18.2242718703587</v>
      </c>
      <c r="S25" s="31" t="n">
        <f aca="false">SUM(L25:N25)</f>
        <v>18.6606901679229</v>
      </c>
      <c r="V25" s="8" t="s">
        <v>683</v>
      </c>
      <c r="W25" s="8" t="s">
        <v>776</v>
      </c>
    </row>
    <row r="26" customFormat="false" ht="15" hidden="false" customHeight="false" outlineLevel="0" collapsed="false">
      <c r="A26" s="8" t="s">
        <v>777</v>
      </c>
      <c r="B26" s="8" t="s">
        <v>318</v>
      </c>
      <c r="C26" s="31" t="n">
        <f aca="false">C17+C25</f>
        <v>36.144437730537</v>
      </c>
      <c r="D26" s="31" t="n">
        <f aca="false">D17+D25</f>
        <v>38.1467311658414</v>
      </c>
      <c r="E26" s="31" t="n">
        <f aca="false">E17+E25</f>
        <v>40.9305477320763</v>
      </c>
      <c r="F26" s="31" t="n">
        <f aca="false">F17+F25</f>
        <v>38.1005191497983</v>
      </c>
      <c r="G26" s="31" t="n">
        <f aca="false">G17+G25</f>
        <v>39.3917407709614</v>
      </c>
      <c r="H26" s="31" t="n">
        <f aca="false">H17+H25</f>
        <v>42.4558914623944</v>
      </c>
      <c r="I26" s="31" t="n">
        <f aca="false">I17+I25</f>
        <v>41.8721875289796</v>
      </c>
      <c r="J26" s="31" t="n">
        <f aca="false">J17+J25</f>
        <v>40.6724495491858</v>
      </c>
      <c r="K26" s="31" t="n">
        <f aca="false">K17+K25</f>
        <v>37.0468353735162</v>
      </c>
      <c r="L26" s="31" t="n">
        <f aca="false">L17+L25</f>
        <v>38.2592661497065</v>
      </c>
      <c r="M26" s="31" t="n">
        <f aca="false">M17+M25</f>
        <v>40.0757682164222</v>
      </c>
      <c r="N26" s="31" t="n">
        <f aca="false">N17+N25</f>
        <v>44.9174206358978</v>
      </c>
      <c r="O26" s="43" t="n">
        <f aca="false">SUM(C26:N26)</f>
        <v>478.013795465317</v>
      </c>
      <c r="P26" s="31" t="n">
        <f aca="false">SUM(C26:E26)</f>
        <v>115.221716628455</v>
      </c>
      <c r="Q26" s="31" t="n">
        <f aca="false">SUM(F26:H26)</f>
        <v>119.948151383154</v>
      </c>
      <c r="R26" s="31" t="n">
        <f aca="false">SUM(I26:K26)</f>
        <v>119.591472451682</v>
      </c>
      <c r="S26" s="31" t="n">
        <f aca="false">SUM(L26:N26)</f>
        <v>123.252455002026</v>
      </c>
      <c r="V26" s="8" t="s">
        <v>683</v>
      </c>
      <c r="W26" s="8" t="s">
        <v>778</v>
      </c>
    </row>
    <row r="27" customFormat="false" ht="15" hidden="false" customHeight="false" outlineLevel="0" collapsed="false">
      <c r="A27" s="8" t="s">
        <v>779</v>
      </c>
      <c r="B27" s="8" t="s">
        <v>285</v>
      </c>
      <c r="C27" s="36" t="n">
        <f aca="false">IFERROR(C26/C8,0)</f>
        <v>0.381319977446301</v>
      </c>
      <c r="D27" s="36" t="n">
        <f aca="false">IFERROR(D26/D8,0)</f>
        <v>0.39423081838084</v>
      </c>
      <c r="E27" s="36" t="n">
        <f aca="false">IFERROR(E26/E8,0)</f>
        <v>0.40641216885021</v>
      </c>
      <c r="F27" s="36" t="n">
        <f aca="false">IFERROR(F26/F8,0)</f>
        <v>0.397812547864628</v>
      </c>
      <c r="G27" s="36" t="n">
        <f aca="false">IFERROR(G26/G8,0)</f>
        <v>0.402985386155714</v>
      </c>
      <c r="H27" s="36" t="n">
        <f aca="false">IFERROR(H26/H8,0)</f>
        <v>0.413450901857793</v>
      </c>
      <c r="I27" s="36" t="n">
        <f aca="false">IFERROR(I26/I8,0)</f>
        <v>0.411725479646971</v>
      </c>
      <c r="J27" s="36" t="n">
        <f aca="false">IFERROR(J26/J8,0)</f>
        <v>0.407847940751214</v>
      </c>
      <c r="K27" s="36" t="n">
        <f aca="false">IFERROR(K26/K8,0)</f>
        <v>0.39495428381647</v>
      </c>
      <c r="L27" s="36" t="n">
        <f aca="false">IFERROR(L26/L8,0)</f>
        <v>0.399470046237577</v>
      </c>
      <c r="M27" s="36" t="n">
        <f aca="false">IFERROR(M26/M8,0)</f>
        <v>0.405883292486182</v>
      </c>
      <c r="N27" s="36" t="n">
        <f aca="false">IFERROR(N26/N8,0)</f>
        <v>0.421221346581564</v>
      </c>
      <c r="O27" s="59" t="n">
        <f aca="false">IFERROR(O26/O8,0)</f>
        <v>0.403439579975776</v>
      </c>
      <c r="P27" s="36" t="n">
        <f aca="false">IFERROR(P26/P8,0)</f>
        <v>0.394241146144894</v>
      </c>
      <c r="Q27" s="36" t="n">
        <f aca="false">IFERROR(Q26/Q8,0)</f>
        <v>0.40494088055165</v>
      </c>
      <c r="R27" s="36" t="n">
        <f aca="false">IFERROR(R26/R8,0)</f>
        <v>0.40508703472266</v>
      </c>
      <c r="S27" s="36" t="n">
        <f aca="false">IFERROR(S26/S8,0)</f>
        <v>0.40927484971958</v>
      </c>
      <c r="V27" s="8" t="s">
        <v>683</v>
      </c>
      <c r="W27" s="8" t="s">
        <v>780</v>
      </c>
    </row>
    <row r="28" customFormat="false" ht="15" hidden="false" customHeight="false" outlineLevel="0" collapsed="false">
      <c r="A28" s="8" t="s">
        <v>781</v>
      </c>
      <c r="B28" s="8" t="s">
        <v>318</v>
      </c>
      <c r="C28" s="31" t="n">
        <f aca="false">Ops_Model!C$103</f>
        <v>76.1600015263708</v>
      </c>
      <c r="D28" s="31" t="n">
        <f aca="false">Ops_Model!D$103</f>
        <v>77.7466682248368</v>
      </c>
      <c r="E28" s="31" t="n">
        <f aca="false">Ops_Model!E$103</f>
        <v>80.9200016217689</v>
      </c>
      <c r="F28" s="31" t="n">
        <f aca="false">Ops_Model!F$103</f>
        <v>76.9533348756038</v>
      </c>
      <c r="G28" s="31" t="n">
        <f aca="false">Ops_Model!G$103</f>
        <v>78.5400015740698</v>
      </c>
      <c r="H28" s="31" t="n">
        <f aca="false">Ops_Model!H$103</f>
        <v>82.506668320235</v>
      </c>
      <c r="I28" s="31" t="n">
        <f aca="false">Ops_Model!I$103</f>
        <v>81.713334971002</v>
      </c>
      <c r="J28" s="31" t="n">
        <f aca="false">Ops_Model!J$103</f>
        <v>80.1266682725359</v>
      </c>
      <c r="K28" s="31" t="n">
        <f aca="false">Ops_Model!K$103</f>
        <v>75.3666681771377</v>
      </c>
      <c r="L28" s="31" t="n">
        <f aca="false">Ops_Model!L$103</f>
        <v>76.9533348756038</v>
      </c>
      <c r="M28" s="31" t="n">
        <f aca="false">Ops_Model!M$103</f>
        <v>79.3333349233029</v>
      </c>
      <c r="N28" s="31" t="n">
        <f aca="false">Ops_Model!N$103</f>
        <v>85.6800017171671</v>
      </c>
      <c r="O28" s="43" t="n">
        <f aca="false">SUM(C28:N28)</f>
        <v>952.000019079634</v>
      </c>
      <c r="P28" s="31" t="n">
        <f aca="false">SUM(C28:E28)</f>
        <v>234.826671372977</v>
      </c>
      <c r="Q28" s="31" t="n">
        <f aca="false">SUM(F28:H28)</f>
        <v>238.000004769909</v>
      </c>
      <c r="R28" s="31" t="n">
        <f aca="false">SUM(I28:K28)</f>
        <v>237.206671420676</v>
      </c>
      <c r="S28" s="31" t="n">
        <f aca="false">SUM(L28:N28)</f>
        <v>241.966671516074</v>
      </c>
      <c r="V28" s="8" t="s">
        <v>683</v>
      </c>
      <c r="W28" s="8" t="s">
        <v>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W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4" min="3" style="0" width="9.51"/>
    <col collapsed="false" customWidth="true" hidden="false" outlineLevel="0" max="15" min="15" style="0" width="11"/>
    <col collapsed="false" customWidth="true" hidden="false" outlineLevel="0" max="19" min="16" style="0" width="10"/>
    <col collapsed="false" customWidth="true" hidden="false" outlineLevel="0" max="20" min="20" style="0" width="11"/>
    <col collapsed="false" customWidth="true" hidden="false" outlineLevel="0" max="21" min="21" style="0" width="9"/>
    <col collapsed="false" customWidth="true" hidden="false" outlineLevel="0" max="22" min="22" style="0" width="24"/>
    <col collapsed="false" customWidth="true" hidden="false" outlineLevel="0" max="23" min="23" style="0" width="64"/>
  </cols>
  <sheetData>
    <row r="1" customFormat="false" ht="19.7" hidden="false" customHeight="false" outlineLevel="0" collapsed="false">
      <c r="A1" s="14" t="s">
        <v>783</v>
      </c>
    </row>
    <row r="2" customFormat="false" ht="15" hidden="false" customHeight="false" outlineLevel="0" collapsed="false">
      <c r="A2" s="4" t="s">
        <v>784</v>
      </c>
    </row>
    <row r="3" customFormat="false" ht="15" hidden="false" customHeight="false" outlineLevel="0" collapsed="false">
      <c r="A3" s="15" t="s">
        <v>2</v>
      </c>
    </row>
    <row r="4" customFormat="false" ht="15" hidden="false" customHeight="false" outlineLevel="0" collapsed="false">
      <c r="A4" s="7" t="s">
        <v>678</v>
      </c>
      <c r="B4" s="54" t="str">
        <f aca="false">Assumptions!$C$6</f>
        <v>Base</v>
      </c>
    </row>
    <row r="6" customFormat="false" ht="24.05" hidden="false" customHeight="false" outlineLevel="0" collapsed="false">
      <c r="A6" s="18" t="s">
        <v>427</v>
      </c>
      <c r="B6" s="19" t="s">
        <v>279</v>
      </c>
      <c r="C6" s="55" t="n">
        <f aca="false">Ops_Model!C$6</f>
        <v>46113</v>
      </c>
      <c r="D6" s="55" t="n">
        <f aca="false">Ops_Model!D$6</f>
        <v>46143</v>
      </c>
      <c r="E6" s="55" t="n">
        <f aca="false">Ops_Model!E$6</f>
        <v>46174</v>
      </c>
      <c r="F6" s="55" t="n">
        <f aca="false">Ops_Model!F$6</f>
        <v>46204</v>
      </c>
      <c r="G6" s="55" t="n">
        <f aca="false">Ops_Model!G$6</f>
        <v>46235</v>
      </c>
      <c r="H6" s="55" t="n">
        <f aca="false">Ops_Model!H$6</f>
        <v>46266</v>
      </c>
      <c r="I6" s="55" t="n">
        <f aca="false">Ops_Model!I$6</f>
        <v>46296</v>
      </c>
      <c r="J6" s="55" t="n">
        <f aca="false">Ops_Model!J$6</f>
        <v>46327</v>
      </c>
      <c r="K6" s="55" t="n">
        <f aca="false">Ops_Model!K$6</f>
        <v>46357</v>
      </c>
      <c r="L6" s="55" t="n">
        <f aca="false">Ops_Model!L$6</f>
        <v>46388</v>
      </c>
      <c r="M6" s="55" t="n">
        <f aca="false">Ops_Model!M$6</f>
        <v>46419</v>
      </c>
      <c r="N6" s="55" t="n">
        <f aca="false">Ops_Model!N$6</f>
        <v>46447</v>
      </c>
      <c r="O6" s="19" t="s">
        <v>679</v>
      </c>
      <c r="P6" s="19" t="s">
        <v>735</v>
      </c>
      <c r="Q6" s="19" t="s">
        <v>736</v>
      </c>
      <c r="R6" s="19" t="s">
        <v>737</v>
      </c>
      <c r="S6" s="19" t="s">
        <v>738</v>
      </c>
      <c r="T6" s="19" t="s">
        <v>739</v>
      </c>
      <c r="U6" s="19" t="s">
        <v>740</v>
      </c>
      <c r="V6" s="19" t="s">
        <v>100</v>
      </c>
      <c r="W6" s="19" t="s">
        <v>680</v>
      </c>
    </row>
    <row r="7" customFormat="false" ht="15" hidden="false" customHeight="false" outlineLevel="0" collapsed="false">
      <c r="A7" s="16" t="s">
        <v>785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customFormat="false" ht="15" hidden="false" customHeight="false" outlineLevel="0" collapsed="false">
      <c r="A8" s="8" t="s">
        <v>786</v>
      </c>
      <c r="B8" s="8" t="s">
        <v>318</v>
      </c>
      <c r="C8" s="31" t="n">
        <f aca="false">Revenue!C$23*Assumptions!$F$17</f>
        <v>2.84363053616516</v>
      </c>
      <c r="D8" s="31" t="n">
        <f aca="false">Revenue!D$23*Assumptions!$F$17</f>
        <v>2.90287283900193</v>
      </c>
      <c r="E8" s="31" t="n">
        <f aca="false">Revenue!E$23*Assumptions!$F$17</f>
        <v>3.02135744467548</v>
      </c>
      <c r="F8" s="31" t="n">
        <f aca="false">Revenue!F$23*Assumptions!$F$17</f>
        <v>2.87325168758354</v>
      </c>
      <c r="G8" s="31" t="n">
        <f aca="false">Revenue!G$23*Assumptions!$F$17</f>
        <v>2.93249399042032</v>
      </c>
      <c r="H8" s="31" t="n">
        <f aca="false">Revenue!H$23*Assumptions!$F$17</f>
        <v>3.08059974751225</v>
      </c>
      <c r="I8" s="31" t="n">
        <f aca="false">Revenue!I$23*Assumptions!$F$17</f>
        <v>3.05097859609387</v>
      </c>
      <c r="J8" s="31" t="n">
        <f aca="false">Revenue!J$23*Assumptions!$F$17</f>
        <v>2.99173629325709</v>
      </c>
      <c r="K8" s="31" t="n">
        <f aca="false">Revenue!K$23*Assumptions!$F$17</f>
        <v>2.81400938474677</v>
      </c>
      <c r="L8" s="31" t="n">
        <f aca="false">Revenue!L$23*Assumptions!$F$17</f>
        <v>2.87325168758354</v>
      </c>
      <c r="M8" s="31" t="n">
        <f aca="false">Revenue!M$23*Assumptions!$F$17</f>
        <v>2.9621151418387</v>
      </c>
      <c r="N8" s="31" t="n">
        <f aca="false">Revenue!N$23*Assumptions!$F$17</f>
        <v>3.1990843531858</v>
      </c>
      <c r="O8" s="43" t="n">
        <f aca="false">SUM(C8:N8)</f>
        <v>35.5453817020645</v>
      </c>
      <c r="P8" s="31" t="n">
        <f aca="false">SUM(C8:E8)</f>
        <v>8.76786081984256</v>
      </c>
      <c r="Q8" s="31" t="n">
        <f aca="false">SUM(F8:H8)</f>
        <v>8.88634542551611</v>
      </c>
      <c r="R8" s="31" t="n">
        <f aca="false">SUM(I8:K8)</f>
        <v>8.85672427409773</v>
      </c>
      <c r="S8" s="31" t="n">
        <f aca="false">SUM(L8:N8)</f>
        <v>9.03445118260805</v>
      </c>
      <c r="V8" s="8" t="s">
        <v>683</v>
      </c>
      <c r="W8" s="8" t="s">
        <v>787</v>
      </c>
    </row>
    <row r="9" customFormat="false" ht="15" hidden="false" customHeight="false" outlineLevel="0" collapsed="false">
      <c r="A9" s="8" t="s">
        <v>788</v>
      </c>
      <c r="B9" s="8" t="s">
        <v>318</v>
      </c>
      <c r="C9" s="31" t="n">
        <f aca="false">0</f>
        <v>0</v>
      </c>
      <c r="D9" s="31" t="n">
        <f aca="false">SUM($C$8:C8)/Assumptions!$F$85</f>
        <v>0.0473938422694193</v>
      </c>
      <c r="E9" s="31" t="n">
        <f aca="false">SUM($C$8:D8)/Assumptions!$F$85</f>
        <v>0.0957750562527848</v>
      </c>
      <c r="F9" s="31" t="n">
        <f aca="false">SUM($C$8:E8)/Assumptions!$F$85</f>
        <v>0.146131013664043</v>
      </c>
      <c r="G9" s="31" t="n">
        <f aca="false">SUM($C$8:F8)/Assumptions!$F$85</f>
        <v>0.194018541790435</v>
      </c>
      <c r="H9" s="31" t="n">
        <f aca="false">SUM($C$8:G8)/Assumptions!$F$85</f>
        <v>0.242893441630774</v>
      </c>
      <c r="I9" s="31" t="n">
        <f aca="false">SUM($C$8:H8)/Assumptions!$F$85</f>
        <v>0.294236770755978</v>
      </c>
      <c r="J9" s="31" t="n">
        <f aca="false">SUM($C$8:I8)/Assumptions!$F$85</f>
        <v>0.345086414024209</v>
      </c>
      <c r="K9" s="31" t="n">
        <f aca="false">SUM($C$8:J8)/Assumptions!$F$85</f>
        <v>0.394948685578494</v>
      </c>
      <c r="L9" s="31" t="n">
        <f aca="false">SUM($C$8:K8)/Assumptions!$F$85</f>
        <v>0.44184884199094</v>
      </c>
      <c r="M9" s="31" t="n">
        <f aca="false">SUM($C$8:L8)/Assumptions!$F$85</f>
        <v>0.489736370117332</v>
      </c>
      <c r="N9" s="31" t="n">
        <f aca="false">SUM($C$8:M8)/Assumptions!$F$85</f>
        <v>0.539104955814644</v>
      </c>
      <c r="O9" s="43" t="n">
        <f aca="false">SUM(C9:N9)</f>
        <v>3.23117393388905</v>
      </c>
      <c r="P9" s="31" t="n">
        <f aca="false">SUM(C9:E9)</f>
        <v>0.143168898522204</v>
      </c>
      <c r="Q9" s="31" t="n">
        <f aca="false">SUM(F9:H9)</f>
        <v>0.583042997085252</v>
      </c>
      <c r="R9" s="31" t="n">
        <f aca="false">SUM(I9:K9)</f>
        <v>1.03427187035868</v>
      </c>
      <c r="S9" s="31" t="n">
        <f aca="false">SUM(L9:N9)</f>
        <v>1.47069016792292</v>
      </c>
      <c r="V9" s="8" t="s">
        <v>683</v>
      </c>
      <c r="W9" s="8" t="s">
        <v>789</v>
      </c>
    </row>
    <row r="10" customFormat="false" ht="15" hidden="false" customHeight="false" outlineLevel="0" collapsed="false">
      <c r="A10" s="8" t="s">
        <v>790</v>
      </c>
      <c r="B10" s="8" t="s">
        <v>318</v>
      </c>
      <c r="C10" s="31" t="n">
        <f aca="false">Ops_Model!C$100*Assumptions!$F$84</f>
        <v>5.73</v>
      </c>
      <c r="D10" s="31" t="n">
        <f aca="false">Ops_Model!D$100*Assumptions!$F$84</f>
        <v>5.73</v>
      </c>
      <c r="E10" s="31" t="n">
        <f aca="false">Ops_Model!E$100*Assumptions!$F$84</f>
        <v>5.73</v>
      </c>
      <c r="F10" s="31" t="n">
        <f aca="false">Ops_Model!F$100*Assumptions!$F$84</f>
        <v>5.73</v>
      </c>
      <c r="G10" s="31" t="n">
        <f aca="false">Ops_Model!G$100*Assumptions!$F$84</f>
        <v>5.73</v>
      </c>
      <c r="H10" s="31" t="n">
        <f aca="false">Ops_Model!H$100*Assumptions!$F$84</f>
        <v>5.73</v>
      </c>
      <c r="I10" s="31" t="n">
        <f aca="false">Ops_Model!I$100*Assumptions!$F$84</f>
        <v>5.73</v>
      </c>
      <c r="J10" s="31" t="n">
        <f aca="false">Ops_Model!J$100*Assumptions!$F$84</f>
        <v>5.73</v>
      </c>
      <c r="K10" s="31" t="n">
        <f aca="false">Ops_Model!K$100*Assumptions!$F$84</f>
        <v>5.73</v>
      </c>
      <c r="L10" s="31" t="n">
        <f aca="false">Ops_Model!L$100*Assumptions!$F$84</f>
        <v>5.73</v>
      </c>
      <c r="M10" s="31" t="n">
        <f aca="false">Ops_Model!M$100*Assumptions!$F$84</f>
        <v>5.73</v>
      </c>
      <c r="N10" s="31" t="n">
        <f aca="false">Ops_Model!N$100*Assumptions!$F$84</f>
        <v>5.73</v>
      </c>
      <c r="O10" s="43" t="n">
        <f aca="false">SUM(C10:N10)</f>
        <v>68.76</v>
      </c>
      <c r="P10" s="31" t="n">
        <f aca="false">SUM(C10:E10)</f>
        <v>17.19</v>
      </c>
      <c r="Q10" s="31" t="n">
        <f aca="false">SUM(F10:H10)</f>
        <v>17.19</v>
      </c>
      <c r="R10" s="31" t="n">
        <f aca="false">SUM(I10:K10)</f>
        <v>17.19</v>
      </c>
      <c r="S10" s="31" t="n">
        <f aca="false">SUM(L10:N10)</f>
        <v>17.19</v>
      </c>
      <c r="V10" s="8" t="s">
        <v>683</v>
      </c>
      <c r="W10" s="8" t="s">
        <v>791</v>
      </c>
    </row>
    <row r="11" customFormat="false" ht="15" hidden="false" customHeight="false" outlineLevel="0" collapsed="false">
      <c r="A11" s="45" t="s">
        <v>792</v>
      </c>
      <c r="B11" s="46" t="s">
        <v>318</v>
      </c>
      <c r="C11" s="63" t="n">
        <f aca="false">C9+C10</f>
        <v>5.73</v>
      </c>
      <c r="D11" s="63" t="n">
        <f aca="false">D9+D10</f>
        <v>5.77739384226942</v>
      </c>
      <c r="E11" s="63" t="n">
        <f aca="false">E9+E10</f>
        <v>5.82577505625279</v>
      </c>
      <c r="F11" s="63" t="n">
        <f aca="false">F9+F10</f>
        <v>5.87613101366404</v>
      </c>
      <c r="G11" s="63" t="n">
        <f aca="false">G9+G10</f>
        <v>5.92401854179044</v>
      </c>
      <c r="H11" s="63" t="n">
        <f aca="false">H9+H10</f>
        <v>5.97289344163077</v>
      </c>
      <c r="I11" s="63" t="n">
        <f aca="false">I9+I10</f>
        <v>6.02423677075598</v>
      </c>
      <c r="J11" s="63" t="n">
        <f aca="false">J9+J10</f>
        <v>6.07508641402421</v>
      </c>
      <c r="K11" s="63" t="n">
        <f aca="false">K9+K10</f>
        <v>6.12494868557849</v>
      </c>
      <c r="L11" s="63" t="n">
        <f aca="false">L9+L10</f>
        <v>6.17184884199094</v>
      </c>
      <c r="M11" s="63" t="n">
        <f aca="false">M9+M10</f>
        <v>6.21973637011733</v>
      </c>
      <c r="N11" s="63" t="n">
        <f aca="false">N9+N10</f>
        <v>6.26910495581465</v>
      </c>
      <c r="O11" s="64" t="n">
        <f aca="false">SUM(C11:N11)</f>
        <v>71.9911739338891</v>
      </c>
      <c r="P11" s="63" t="n">
        <f aca="false">SUM(C11:E11)</f>
        <v>17.3331688985222</v>
      </c>
      <c r="Q11" s="63" t="n">
        <f aca="false">SUM(F11:H11)</f>
        <v>17.7730429970853</v>
      </c>
      <c r="R11" s="63" t="n">
        <f aca="false">SUM(I11:K11)</f>
        <v>18.2242718703587</v>
      </c>
      <c r="S11" s="63" t="n">
        <f aca="false">SUM(L11:N11)</f>
        <v>18.6606901679229</v>
      </c>
      <c r="T11" s="66"/>
      <c r="U11" s="66"/>
      <c r="V11" s="8" t="s">
        <v>683</v>
      </c>
      <c r="W11" s="8" t="s">
        <v>793</v>
      </c>
    </row>
    <row r="13" customFormat="false" ht="15" hidden="false" customHeight="false" outlineLevel="0" collapsed="false">
      <c r="A13" s="16" t="s">
        <v>794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customFormat="false" ht="15" hidden="false" customHeight="false" outlineLevel="0" collapsed="false">
      <c r="A14" s="8" t="s">
        <v>795</v>
      </c>
      <c r="B14" s="8" t="s">
        <v>318</v>
      </c>
      <c r="C14" s="31" t="n">
        <f aca="false">Revenue!C$23*12*Assumptions!$F$82/365</f>
        <v>186.978446213599</v>
      </c>
      <c r="D14" s="31" t="n">
        <f aca="false">Revenue!D$23*12*Assumptions!$F$82/365</f>
        <v>190.873830509716</v>
      </c>
      <c r="E14" s="31" t="n">
        <f aca="false">Revenue!E$23*12*Assumptions!$F$82/365</f>
        <v>198.664599101949</v>
      </c>
      <c r="F14" s="31" t="n">
        <f aca="false">Revenue!F$23*12*Assumptions!$F$82/365</f>
        <v>188.926138361658</v>
      </c>
      <c r="G14" s="31" t="n">
        <f aca="false">Revenue!G$23*12*Assumptions!$F$82/365</f>
        <v>192.821522657774</v>
      </c>
      <c r="H14" s="31" t="n">
        <f aca="false">Revenue!H$23*12*Assumptions!$F$82/365</f>
        <v>202.559983398066</v>
      </c>
      <c r="I14" s="31" t="n">
        <f aca="false">Revenue!I$23*12*Assumptions!$F$82/365</f>
        <v>200.612291250008</v>
      </c>
      <c r="J14" s="31" t="n">
        <f aca="false">Revenue!J$23*12*Assumptions!$F$82/365</f>
        <v>196.716906953891</v>
      </c>
      <c r="K14" s="31" t="n">
        <f aca="false">Revenue!K$23*12*Assumptions!$F$82/365</f>
        <v>185.030754065541</v>
      </c>
      <c r="L14" s="31" t="n">
        <f aca="false">Revenue!L$23*12*Assumptions!$F$82/365</f>
        <v>188.926138361658</v>
      </c>
      <c r="M14" s="31" t="n">
        <f aca="false">Revenue!M$23*12*Assumptions!$F$82/365</f>
        <v>194.769214805833</v>
      </c>
      <c r="N14" s="31" t="n">
        <f aca="false">Revenue!N$23*12*Assumptions!$F$82/365</f>
        <v>210.350751990299</v>
      </c>
      <c r="O14" s="43" t="n">
        <f aca="false">N14</f>
        <v>210.350751990299</v>
      </c>
      <c r="P14" s="31" t="n">
        <f aca="false">E14</f>
        <v>198.664599101949</v>
      </c>
      <c r="Q14" s="31" t="n">
        <f aca="false">H14</f>
        <v>202.559983398066</v>
      </c>
      <c r="R14" s="31" t="n">
        <f aca="false">K14</f>
        <v>185.030754065541</v>
      </c>
      <c r="S14" s="31" t="n">
        <f aca="false">N14</f>
        <v>210.350751990299</v>
      </c>
      <c r="V14" s="8" t="s">
        <v>683</v>
      </c>
      <c r="W14" s="8" t="s">
        <v>796</v>
      </c>
    </row>
    <row r="15" customFormat="false" ht="15" hidden="false" customHeight="false" outlineLevel="0" collapsed="false">
      <c r="A15" s="8" t="s">
        <v>797</v>
      </c>
      <c r="B15" s="8" t="s">
        <v>318</v>
      </c>
      <c r="C15" s="31" t="n">
        <f aca="false">Ops_Model!C$107</f>
        <v>35.3806343007469</v>
      </c>
      <c r="D15" s="31" t="n">
        <f aca="false">Ops_Model!D$107</f>
        <v>35.962244166524</v>
      </c>
      <c r="E15" s="31" t="n">
        <f aca="false">Ops_Model!E$107</f>
        <v>35.378183742751</v>
      </c>
      <c r="F15" s="31" t="n">
        <f aca="false">Ops_Model!F$107</f>
        <v>36.9009533064313</v>
      </c>
      <c r="G15" s="31" t="n">
        <f aca="false">Ops_Model!G$107</f>
        <v>37.7402010633821</v>
      </c>
      <c r="H15" s="31" t="n">
        <f aca="false">Ops_Model!H$107</f>
        <v>36.7067409420347</v>
      </c>
      <c r="I15" s="31" t="n">
        <f aca="false">Ops_Model!I$107</f>
        <v>36.0769486012188</v>
      </c>
      <c r="J15" s="31" t="n">
        <f aca="false">Ops_Model!J$107</f>
        <v>36.2221617085016</v>
      </c>
      <c r="K15" s="31" t="n">
        <f aca="false">Ops_Model!K$107</f>
        <v>38.6659909237921</v>
      </c>
      <c r="L15" s="31" t="n">
        <f aca="false">Ops_Model!L$107</f>
        <v>40.3475074873805</v>
      </c>
      <c r="M15" s="31" t="n">
        <f aca="false">Ops_Model!M$107</f>
        <v>40.8834109758459</v>
      </c>
      <c r="N15" s="31" t="n">
        <f aca="false">Ops_Model!N$107</f>
        <v>38.361993172217</v>
      </c>
      <c r="O15" s="43" t="n">
        <f aca="false">N15</f>
        <v>38.361993172217</v>
      </c>
      <c r="P15" s="31" t="n">
        <f aca="false">E15</f>
        <v>35.378183742751</v>
      </c>
      <c r="Q15" s="31" t="n">
        <f aca="false">H15</f>
        <v>36.7067409420347</v>
      </c>
      <c r="R15" s="31" t="n">
        <f aca="false">K15</f>
        <v>38.6659909237921</v>
      </c>
      <c r="S15" s="31" t="n">
        <f aca="false">N15</f>
        <v>38.361993172217</v>
      </c>
      <c r="V15" s="8" t="s">
        <v>683</v>
      </c>
      <c r="W15" s="8" t="s">
        <v>798</v>
      </c>
    </row>
    <row r="16" customFormat="false" ht="15" hidden="false" customHeight="false" outlineLevel="0" collapsed="false">
      <c r="A16" s="8" t="s">
        <v>542</v>
      </c>
      <c r="B16" s="8" t="s">
        <v>318</v>
      </c>
      <c r="C16" s="31" t="n">
        <f aca="false">Ops_Model!C$99*12*Assumptions!$F$83/365</f>
        <v>25.8550882191781</v>
      </c>
      <c r="D16" s="31" t="n">
        <f aca="false">Ops_Model!D$99*12*Assumptions!$F$83/365</f>
        <v>25.8550882191781</v>
      </c>
      <c r="E16" s="31" t="n">
        <f aca="false">Ops_Model!E$99*12*Assumptions!$F$83/365</f>
        <v>25.8550882191781</v>
      </c>
      <c r="F16" s="31" t="n">
        <f aca="false">Ops_Model!F$99*12*Assumptions!$F$83/365</f>
        <v>25.8550882191781</v>
      </c>
      <c r="G16" s="31" t="n">
        <f aca="false">Ops_Model!G$99*12*Assumptions!$F$83/365</f>
        <v>25.8550882191781</v>
      </c>
      <c r="H16" s="31" t="n">
        <f aca="false">Ops_Model!H$99*12*Assumptions!$F$83/365</f>
        <v>25.8550882191781</v>
      </c>
      <c r="I16" s="31" t="n">
        <f aca="false">Ops_Model!I$99*12*Assumptions!$F$83/365</f>
        <v>25.8550882191781</v>
      </c>
      <c r="J16" s="31" t="n">
        <f aca="false">Ops_Model!J$99*12*Assumptions!$F$83/365</f>
        <v>25.8550882191781</v>
      </c>
      <c r="K16" s="31" t="n">
        <f aca="false">Ops_Model!K$99*12*Assumptions!$F$83/365</f>
        <v>25.8550882191781</v>
      </c>
      <c r="L16" s="31" t="n">
        <f aca="false">Ops_Model!L$99*12*Assumptions!$F$83/365</f>
        <v>25.8550882191781</v>
      </c>
      <c r="M16" s="31" t="n">
        <f aca="false">Ops_Model!M$99*12*Assumptions!$F$83/365</f>
        <v>25.8550882191781</v>
      </c>
      <c r="N16" s="31" t="n">
        <f aca="false">Ops_Model!N$99*12*Assumptions!$F$83/365</f>
        <v>25.8550882191781</v>
      </c>
      <c r="O16" s="43" t="n">
        <f aca="false">N16</f>
        <v>25.8550882191781</v>
      </c>
      <c r="P16" s="31" t="n">
        <f aca="false">E16</f>
        <v>25.8550882191781</v>
      </c>
      <c r="Q16" s="31" t="n">
        <f aca="false">H16</f>
        <v>25.8550882191781</v>
      </c>
      <c r="R16" s="31" t="n">
        <f aca="false">K16</f>
        <v>25.8550882191781</v>
      </c>
      <c r="S16" s="31" t="n">
        <f aca="false">N16</f>
        <v>25.8550882191781</v>
      </c>
      <c r="V16" s="8" t="s">
        <v>683</v>
      </c>
      <c r="W16" s="8" t="s">
        <v>799</v>
      </c>
    </row>
    <row r="17" customFormat="false" ht="15" hidden="false" customHeight="false" outlineLevel="0" collapsed="false">
      <c r="A17" s="45" t="s">
        <v>662</v>
      </c>
      <c r="B17" s="46" t="s">
        <v>318</v>
      </c>
      <c r="C17" s="63" t="n">
        <f aca="false">C14+C15-C16</f>
        <v>196.503992295168</v>
      </c>
      <c r="D17" s="63" t="n">
        <f aca="false">D14+D15-D16</f>
        <v>200.980986457062</v>
      </c>
      <c r="E17" s="63" t="n">
        <f aca="false">E14+E15-E16</f>
        <v>208.187694625522</v>
      </c>
      <c r="F17" s="63" t="n">
        <f aca="false">F14+F15-F16</f>
        <v>199.972003448911</v>
      </c>
      <c r="G17" s="63" t="n">
        <f aca="false">G14+G15-G16</f>
        <v>204.706635501978</v>
      </c>
      <c r="H17" s="63" t="n">
        <f aca="false">H14+H15-H16</f>
        <v>213.411636120923</v>
      </c>
      <c r="I17" s="63" t="n">
        <f aca="false">I14+I15-I16</f>
        <v>210.834151632048</v>
      </c>
      <c r="J17" s="63" t="n">
        <f aca="false">J14+J15-J16</f>
        <v>207.083980443215</v>
      </c>
      <c r="K17" s="63" t="n">
        <f aca="false">K14+K15-K16</f>
        <v>197.841656770155</v>
      </c>
      <c r="L17" s="63" t="n">
        <f aca="false">L14+L15-L16</f>
        <v>203.41855762986</v>
      </c>
      <c r="M17" s="63" t="n">
        <f aca="false">M14+M15-M16</f>
        <v>209.7975375625</v>
      </c>
      <c r="N17" s="63" t="n">
        <f aca="false">N14+N15-N16</f>
        <v>222.857656943338</v>
      </c>
      <c r="O17" s="64" t="n">
        <f aca="false">N17</f>
        <v>222.857656943338</v>
      </c>
      <c r="P17" s="63" t="n">
        <f aca="false">E17</f>
        <v>208.187694625522</v>
      </c>
      <c r="Q17" s="63" t="n">
        <f aca="false">H17</f>
        <v>213.411636120923</v>
      </c>
      <c r="R17" s="63" t="n">
        <f aca="false">K17</f>
        <v>197.841656770155</v>
      </c>
      <c r="S17" s="63" t="n">
        <f aca="false">N17</f>
        <v>222.857656943338</v>
      </c>
      <c r="T17" s="66"/>
      <c r="U17" s="66"/>
      <c r="V17" s="8" t="s">
        <v>683</v>
      </c>
      <c r="W17" s="8" t="s">
        <v>417</v>
      </c>
    </row>
    <row r="18" customFormat="false" ht="15" hidden="false" customHeight="false" outlineLevel="0" collapsed="false">
      <c r="A18" s="8" t="s">
        <v>633</v>
      </c>
      <c r="B18" s="8" t="s">
        <v>318</v>
      </c>
      <c r="C18" s="31" t="n">
        <f aca="false">C17-Assumptions!$F$92</f>
        <v>17.9753787633158</v>
      </c>
      <c r="D18" s="31" t="n">
        <f aca="false">D17-C17</f>
        <v>4.47699416189374</v>
      </c>
      <c r="E18" s="31" t="n">
        <f aca="false">E17-D17</f>
        <v>7.20670816846035</v>
      </c>
      <c r="F18" s="31" t="n">
        <f aca="false">F17-E17</f>
        <v>-8.21569117661142</v>
      </c>
      <c r="G18" s="31" t="n">
        <f aca="false">G17-F17</f>
        <v>4.73463205306746</v>
      </c>
      <c r="H18" s="31" t="n">
        <f aca="false">H17-G17</f>
        <v>8.70500061894433</v>
      </c>
      <c r="I18" s="31" t="n">
        <f aca="false">I17-H17</f>
        <v>-2.57748448887421</v>
      </c>
      <c r="J18" s="31" t="n">
        <f aca="false">J17-I17</f>
        <v>-3.75017118883389</v>
      </c>
      <c r="K18" s="31" t="n">
        <f aca="false">K17-J17</f>
        <v>-9.2423236730595</v>
      </c>
      <c r="L18" s="31" t="n">
        <f aca="false">L17-K17</f>
        <v>5.57690085970501</v>
      </c>
      <c r="M18" s="31" t="n">
        <f aca="false">M17-L17</f>
        <v>6.37897993264039</v>
      </c>
      <c r="N18" s="31" t="n">
        <f aca="false">N17-M17</f>
        <v>13.0601193808378</v>
      </c>
      <c r="O18" s="43" t="n">
        <f aca="false">SUM(C18:N18)</f>
        <v>44.3290434114859</v>
      </c>
      <c r="P18" s="31" t="n">
        <f aca="false">SUM(C18:E18)</f>
        <v>29.6590810936699</v>
      </c>
      <c r="Q18" s="31" t="n">
        <f aca="false">SUM(F18:H18)</f>
        <v>5.22394149540037</v>
      </c>
      <c r="R18" s="31" t="n">
        <f aca="false">SUM(I18:K18)</f>
        <v>-15.5699793507676</v>
      </c>
      <c r="S18" s="31" t="n">
        <f aca="false">SUM(L18:N18)</f>
        <v>25.0160001731832</v>
      </c>
      <c r="V18" s="8" t="s">
        <v>683</v>
      </c>
      <c r="W18" s="8" t="s">
        <v>800</v>
      </c>
    </row>
    <row r="20" customFormat="false" ht="15" hidden="false" customHeight="false" outlineLevel="0" collapsed="false">
      <c r="A20" s="16" t="s">
        <v>801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customFormat="false" ht="15" hidden="false" customHeight="false" outlineLevel="0" collapsed="false">
      <c r="A21" s="8" t="s">
        <v>421</v>
      </c>
      <c r="B21" s="8" t="s">
        <v>318</v>
      </c>
      <c r="C21" s="31" t="n">
        <f aca="false">PnL!C$21</f>
        <v>24.9398389390403</v>
      </c>
      <c r="D21" s="31" t="n">
        <f aca="false">PnL!D$21</f>
        <v>26.542856605329</v>
      </c>
      <c r="E21" s="31" t="n">
        <f aca="false">PnL!E$21</f>
        <v>28.7859135941753</v>
      </c>
      <c r="F21" s="31" t="n">
        <f aca="false">PnL!F$21</f>
        <v>26.4239982716301</v>
      </c>
      <c r="G21" s="31" t="n">
        <f aca="false">PnL!G$21</f>
        <v>27.4435322279202</v>
      </c>
      <c r="H21" s="31" t="n">
        <f aca="false">PnL!H$21</f>
        <v>29.9160583770262</v>
      </c>
      <c r="I21" s="31" t="n">
        <f aca="false">PnL!I$21</f>
        <v>29.3953196217434</v>
      </c>
      <c r="J21" s="31" t="n">
        <f aca="false">PnL!J$21</f>
        <v>28.3698377708325</v>
      </c>
      <c r="K21" s="31" t="n">
        <f aca="false">PnL!K$21</f>
        <v>25.3559470841089</v>
      </c>
      <c r="L21" s="31" t="n">
        <f aca="false">PnL!L$21</f>
        <v>26.3116821923267</v>
      </c>
      <c r="M21" s="31" t="n">
        <f aca="false">PnL!M$21</f>
        <v>27.76194611397</v>
      </c>
      <c r="N21" s="31" t="n">
        <f aca="false">PnL!N$21</f>
        <v>31.6916188576682</v>
      </c>
      <c r="O21" s="43" t="n">
        <f aca="false">SUM(C21:N21)</f>
        <v>332.938549655771</v>
      </c>
      <c r="P21" s="31" t="n">
        <f aca="false">SUM(C21:E21)</f>
        <v>80.2686091385447</v>
      </c>
      <c r="Q21" s="31" t="n">
        <f aca="false">SUM(F21:H21)</f>
        <v>83.7835888765765</v>
      </c>
      <c r="R21" s="31" t="n">
        <f aca="false">SUM(I21:K21)</f>
        <v>83.1211044766848</v>
      </c>
      <c r="S21" s="31" t="n">
        <f aca="false">SUM(L21:N21)</f>
        <v>85.7652471639649</v>
      </c>
      <c r="V21" s="8" t="s">
        <v>683</v>
      </c>
      <c r="W21" s="8" t="s">
        <v>802</v>
      </c>
    </row>
    <row r="22" customFormat="false" ht="15" hidden="false" customHeight="false" outlineLevel="0" collapsed="false">
      <c r="A22" s="8" t="s">
        <v>803</v>
      </c>
      <c r="B22" s="8" t="s">
        <v>318</v>
      </c>
      <c r="C22" s="31" t="n">
        <f aca="false">C11</f>
        <v>5.73</v>
      </c>
      <c r="D22" s="31" t="n">
        <f aca="false">D11</f>
        <v>5.77739384226942</v>
      </c>
      <c r="E22" s="31" t="n">
        <f aca="false">E11</f>
        <v>5.82577505625279</v>
      </c>
      <c r="F22" s="31" t="n">
        <f aca="false">F11</f>
        <v>5.87613101366404</v>
      </c>
      <c r="G22" s="31" t="n">
        <f aca="false">G11</f>
        <v>5.92401854179044</v>
      </c>
      <c r="H22" s="31" t="n">
        <f aca="false">H11</f>
        <v>5.97289344163077</v>
      </c>
      <c r="I22" s="31" t="n">
        <f aca="false">I11</f>
        <v>6.02423677075598</v>
      </c>
      <c r="J22" s="31" t="n">
        <f aca="false">J11</f>
        <v>6.07508641402421</v>
      </c>
      <c r="K22" s="31" t="n">
        <f aca="false">K11</f>
        <v>6.12494868557849</v>
      </c>
      <c r="L22" s="31" t="n">
        <f aca="false">L11</f>
        <v>6.17184884199094</v>
      </c>
      <c r="M22" s="31" t="n">
        <f aca="false">M11</f>
        <v>6.21973637011733</v>
      </c>
      <c r="N22" s="31" t="n">
        <f aca="false">N11</f>
        <v>6.26910495581465</v>
      </c>
      <c r="O22" s="43" t="n">
        <f aca="false">SUM(C22:N22)</f>
        <v>71.9911739338891</v>
      </c>
      <c r="P22" s="31" t="n">
        <f aca="false">SUM(C22:E22)</f>
        <v>17.3331688985222</v>
      </c>
      <c r="Q22" s="31" t="n">
        <f aca="false">SUM(F22:H22)</f>
        <v>17.7730429970853</v>
      </c>
      <c r="R22" s="31" t="n">
        <f aca="false">SUM(I22:K22)</f>
        <v>18.2242718703587</v>
      </c>
      <c r="S22" s="31" t="n">
        <f aca="false">SUM(L22:N22)</f>
        <v>18.6606901679229</v>
      </c>
      <c r="V22" s="8" t="s">
        <v>683</v>
      </c>
      <c r="W22" s="8" t="s">
        <v>804</v>
      </c>
    </row>
    <row r="23" customFormat="false" ht="15" hidden="false" customHeight="false" outlineLevel="0" collapsed="false">
      <c r="A23" s="8" t="s">
        <v>805</v>
      </c>
      <c r="B23" s="8" t="s">
        <v>318</v>
      </c>
      <c r="C23" s="31" t="n">
        <f aca="false">-C8</f>
        <v>-2.84363053616516</v>
      </c>
      <c r="D23" s="31" t="n">
        <f aca="false">-D8</f>
        <v>-2.90287283900193</v>
      </c>
      <c r="E23" s="31" t="n">
        <f aca="false">-E8</f>
        <v>-3.02135744467548</v>
      </c>
      <c r="F23" s="31" t="n">
        <f aca="false">-F8</f>
        <v>-2.87325168758354</v>
      </c>
      <c r="G23" s="31" t="n">
        <f aca="false">-G8</f>
        <v>-2.93249399042032</v>
      </c>
      <c r="H23" s="31" t="n">
        <f aca="false">-H8</f>
        <v>-3.08059974751225</v>
      </c>
      <c r="I23" s="31" t="n">
        <f aca="false">-I8</f>
        <v>-3.05097859609387</v>
      </c>
      <c r="J23" s="31" t="n">
        <f aca="false">-J8</f>
        <v>-2.99173629325709</v>
      </c>
      <c r="K23" s="31" t="n">
        <f aca="false">-K8</f>
        <v>-2.81400938474677</v>
      </c>
      <c r="L23" s="31" t="n">
        <f aca="false">-L8</f>
        <v>-2.87325168758354</v>
      </c>
      <c r="M23" s="31" t="n">
        <f aca="false">-M8</f>
        <v>-2.9621151418387</v>
      </c>
      <c r="N23" s="31" t="n">
        <f aca="false">-N8</f>
        <v>-3.1990843531858</v>
      </c>
      <c r="O23" s="43" t="n">
        <f aca="false">SUM(C23:N23)</f>
        <v>-35.5453817020645</v>
      </c>
      <c r="P23" s="31" t="n">
        <f aca="false">SUM(C23:E23)</f>
        <v>-8.76786081984256</v>
      </c>
      <c r="Q23" s="31" t="n">
        <f aca="false">SUM(F23:H23)</f>
        <v>-8.88634542551611</v>
      </c>
      <c r="R23" s="31" t="n">
        <f aca="false">SUM(I23:K23)</f>
        <v>-8.85672427409773</v>
      </c>
      <c r="S23" s="31" t="n">
        <f aca="false">SUM(L23:N23)</f>
        <v>-9.03445118260805</v>
      </c>
      <c r="V23" s="8" t="s">
        <v>683</v>
      </c>
      <c r="W23" s="8" t="s">
        <v>804</v>
      </c>
    </row>
    <row r="24" customFormat="false" ht="15" hidden="false" customHeight="false" outlineLevel="0" collapsed="false">
      <c r="A24" s="8" t="s">
        <v>806</v>
      </c>
      <c r="B24" s="8" t="s">
        <v>318</v>
      </c>
      <c r="C24" s="31" t="n">
        <f aca="false">-C18</f>
        <v>-17.9753787633158</v>
      </c>
      <c r="D24" s="31" t="n">
        <f aca="false">-D18</f>
        <v>-4.47699416189374</v>
      </c>
      <c r="E24" s="31" t="n">
        <f aca="false">-E18</f>
        <v>-7.20670816846035</v>
      </c>
      <c r="F24" s="31" t="n">
        <f aca="false">-F18</f>
        <v>8.21569117661142</v>
      </c>
      <c r="G24" s="31" t="n">
        <f aca="false">-G18</f>
        <v>-4.73463205306746</v>
      </c>
      <c r="H24" s="31" t="n">
        <f aca="false">-H18</f>
        <v>-8.70500061894433</v>
      </c>
      <c r="I24" s="31" t="n">
        <f aca="false">-I18</f>
        <v>2.57748448887421</v>
      </c>
      <c r="J24" s="31" t="n">
        <f aca="false">-J18</f>
        <v>3.75017118883389</v>
      </c>
      <c r="K24" s="31" t="n">
        <f aca="false">-K18</f>
        <v>9.2423236730595</v>
      </c>
      <c r="L24" s="31" t="n">
        <f aca="false">-L18</f>
        <v>-5.57690085970501</v>
      </c>
      <c r="M24" s="31" t="n">
        <f aca="false">-M18</f>
        <v>-6.37897993264039</v>
      </c>
      <c r="N24" s="31" t="n">
        <f aca="false">-N18</f>
        <v>-13.0601193808378</v>
      </c>
      <c r="O24" s="43" t="n">
        <f aca="false">SUM(C24:N24)</f>
        <v>-44.3290434114859</v>
      </c>
      <c r="P24" s="31" t="n">
        <f aca="false">SUM(C24:E24)</f>
        <v>-29.6590810936699</v>
      </c>
      <c r="Q24" s="31" t="n">
        <f aca="false">SUM(F24:H24)</f>
        <v>-5.22394149540037</v>
      </c>
      <c r="R24" s="31" t="n">
        <f aca="false">SUM(I24:K24)</f>
        <v>15.5699793507676</v>
      </c>
      <c r="S24" s="31" t="n">
        <f aca="false">SUM(L24:N24)</f>
        <v>-25.0160001731832</v>
      </c>
      <c r="V24" s="8" t="s">
        <v>683</v>
      </c>
      <c r="W24" s="8" t="s">
        <v>807</v>
      </c>
    </row>
    <row r="25" customFormat="false" ht="15" hidden="false" customHeight="false" outlineLevel="0" collapsed="false">
      <c r="A25" s="45" t="s">
        <v>422</v>
      </c>
      <c r="B25" s="46" t="s">
        <v>318</v>
      </c>
      <c r="C25" s="63" t="n">
        <f aca="false">C21+C22+C23+C24</f>
        <v>9.85082963955935</v>
      </c>
      <c r="D25" s="63" t="n">
        <f aca="false">D21+D22+D23+D24</f>
        <v>24.9403834467028</v>
      </c>
      <c r="E25" s="63" t="n">
        <f aca="false">E21+E22+E23+E24</f>
        <v>24.3836230372923</v>
      </c>
      <c r="F25" s="63" t="n">
        <f aca="false">F21+F22+F23+F24</f>
        <v>37.642568774322</v>
      </c>
      <c r="G25" s="63" t="n">
        <f aca="false">G21+G22+G23+G24</f>
        <v>25.7004247262228</v>
      </c>
      <c r="H25" s="63" t="n">
        <f aca="false">H21+H22+H23+H24</f>
        <v>24.1033514522004</v>
      </c>
      <c r="I25" s="63" t="n">
        <f aca="false">I21+I22+I23+I24</f>
        <v>34.9460622852797</v>
      </c>
      <c r="J25" s="63" t="n">
        <f aca="false">J21+J22+J23+J24</f>
        <v>35.2033590804335</v>
      </c>
      <c r="K25" s="63" t="n">
        <f aca="false">K21+K22+K23+K24</f>
        <v>37.9092100580001</v>
      </c>
      <c r="L25" s="63" t="n">
        <f aca="false">L21+L22+L23+L24</f>
        <v>24.0333784870291</v>
      </c>
      <c r="M25" s="63" t="n">
        <f aca="false">M21+M22+M23+M24</f>
        <v>24.6405874096082</v>
      </c>
      <c r="N25" s="63" t="n">
        <f aca="false">N21+N22+N23+N24</f>
        <v>21.7015200794593</v>
      </c>
      <c r="O25" s="64" t="n">
        <f aca="false">SUM(C25:N25)</f>
        <v>325.05529847611</v>
      </c>
      <c r="P25" s="63" t="n">
        <f aca="false">SUM(C25:E25)</f>
        <v>59.1748361235544</v>
      </c>
      <c r="Q25" s="63" t="n">
        <f aca="false">SUM(F25:H25)</f>
        <v>87.4463449527452</v>
      </c>
      <c r="R25" s="63" t="n">
        <f aca="false">SUM(I25:K25)</f>
        <v>108.058631423713</v>
      </c>
      <c r="S25" s="63" t="n">
        <f aca="false">SUM(L25:N25)</f>
        <v>70.3754859760966</v>
      </c>
      <c r="T25" s="66"/>
      <c r="U25" s="66"/>
      <c r="V25" s="8" t="s">
        <v>683</v>
      </c>
      <c r="W25" s="8" t="s">
        <v>808</v>
      </c>
    </row>
    <row r="26" customFormat="false" ht="15" hidden="false" customHeight="false" outlineLevel="0" collapsed="false">
      <c r="A26" s="8" t="s">
        <v>423</v>
      </c>
      <c r="B26" s="8" t="s">
        <v>285</v>
      </c>
      <c r="C26" s="36" t="n">
        <f aca="false">IFERROR(C25/Revenue!C$23,0)</f>
        <v>0.103925205974654</v>
      </c>
      <c r="D26" s="36" t="n">
        <f aca="false">IFERROR(D25/Revenue!D$23,0)</f>
        <v>0.257748632095898</v>
      </c>
      <c r="E26" s="36" t="n">
        <f aca="false">IFERROR(E25/Revenue!E$23,0)</f>
        <v>0.242112594922491</v>
      </c>
      <c r="F26" s="36" t="n">
        <f aca="false">IFERROR(F25/Revenue!F$23,0)</f>
        <v>0.393031027567029</v>
      </c>
      <c r="G26" s="36" t="n">
        <f aca="false">IFERROR(G25/Revenue!G$23,0)</f>
        <v>0.262920484851932</v>
      </c>
      <c r="H26" s="36" t="n">
        <f aca="false">IFERROR(H25/Revenue!H$23,0)</f>
        <v>0.23472719692</v>
      </c>
      <c r="I26" s="36" t="n">
        <f aca="false">IFERROR(I25/Revenue!I$23,0)</f>
        <v>0.34362150881708</v>
      </c>
      <c r="J26" s="36" t="n">
        <f aca="false">IFERROR(J25/Revenue!J$23,0)</f>
        <v>0.35300597007607</v>
      </c>
      <c r="K26" s="36" t="n">
        <f aca="false">IFERROR(K25/Revenue!K$23,0)</f>
        <v>0.404148013117713</v>
      </c>
      <c r="L26" s="36" t="n">
        <f aca="false">IFERROR(L25/Revenue!L$23,0)</f>
        <v>0.250935676023999</v>
      </c>
      <c r="M26" s="36" t="n">
        <f aca="false">IFERROR(M25/Revenue!M$23,0)</f>
        <v>0.249557355771587</v>
      </c>
      <c r="N26" s="36" t="n">
        <f aca="false">IFERROR(N25/Revenue!N$23,0)</f>
        <v>0.203509983016058</v>
      </c>
      <c r="O26" s="59" t="n">
        <f aca="false">IFERROR(O25/Revenue!O$23,0)</f>
        <v>0.274343908753607</v>
      </c>
      <c r="P26" s="36" t="n">
        <f aca="false">IFERROR(P25/Revenue!P$23,0)</f>
        <v>0.202471859463037</v>
      </c>
      <c r="Q26" s="36" t="n">
        <f aca="false">IFERROR(Q25/Revenue!Q$23,0)</f>
        <v>0.295215887180077</v>
      </c>
      <c r="R26" s="36" t="n">
        <f aca="false">IFERROR(R25/Revenue!R$23,0)</f>
        <v>0.366022339906438</v>
      </c>
      <c r="S26" s="36" t="n">
        <f aca="false">IFERROR(S25/Revenue!S$23,0)</f>
        <v>0.233690407597446</v>
      </c>
      <c r="V26" s="8" t="s">
        <v>683</v>
      </c>
      <c r="W26" s="8" t="s">
        <v>809</v>
      </c>
    </row>
    <row r="27" customFormat="false" ht="15" hidden="false" customHeight="false" outlineLevel="0" collapsed="false">
      <c r="A27" s="8" t="s">
        <v>810</v>
      </c>
      <c r="B27" s="8" t="s">
        <v>644</v>
      </c>
      <c r="C27" s="51" t="n">
        <f aca="false">IFERROR(C25/C21,0)</f>
        <v>0.394983691099105</v>
      </c>
      <c r="D27" s="51" t="n">
        <f aca="false">IFERROR(D25/D21,0)</f>
        <v>0.939626951896936</v>
      </c>
      <c r="E27" s="51" t="n">
        <f aca="false">IFERROR(E25/E21,0)</f>
        <v>0.847067888171045</v>
      </c>
      <c r="F27" s="51" t="n">
        <f aca="false">IFERROR(F25/F21,0)</f>
        <v>1.42455991660946</v>
      </c>
      <c r="G27" s="51" t="n">
        <f aca="false">IFERROR(G25/G21,0)</f>
        <v>0.936483850284988</v>
      </c>
      <c r="H27" s="51" t="n">
        <f aca="false">IFERROR(H25/H21,0)</f>
        <v>0.805699439024707</v>
      </c>
      <c r="I27" s="51" t="n">
        <f aca="false">IFERROR(I25/I21,0)</f>
        <v>1.18883083208357</v>
      </c>
      <c r="J27" s="51" t="n">
        <f aca="false">IFERROR(J25/J21,0)</f>
        <v>1.2408727665206</v>
      </c>
      <c r="K27" s="51" t="n">
        <f aca="false">IFERROR(K25/K21,0)</f>
        <v>1.49508160481052</v>
      </c>
      <c r="L27" s="51" t="n">
        <f aca="false">IFERROR(L25/L21,0)</f>
        <v>0.913410944665407</v>
      </c>
      <c r="M27" s="51" t="n">
        <f aca="false">IFERROR(M25/M21,0)</f>
        <v>0.887567006594286</v>
      </c>
      <c r="N27" s="51" t="n">
        <f aca="false">IFERROR(N25/N21,0)</f>
        <v>0.684771585097121</v>
      </c>
      <c r="O27" s="67" t="n">
        <f aca="false">IFERROR(O25/O21,0)</f>
        <v>0.976322203638444</v>
      </c>
      <c r="P27" s="51" t="n">
        <f aca="false">IFERROR(P25/P21,0)</f>
        <v>0.737210184138333</v>
      </c>
      <c r="Q27" s="51" t="n">
        <f aca="false">IFERROR(Q25/Q21,0)</f>
        <v>1.04371686776947</v>
      </c>
      <c r="R27" s="51" t="n">
        <f aca="false">IFERROR(R25/R21,0)</f>
        <v>1.30001438388037</v>
      </c>
      <c r="S27" s="51" t="n">
        <f aca="false">IFERROR(S25/S21,0)</f>
        <v>0.82055947255132</v>
      </c>
      <c r="V27" s="8" t="s">
        <v>683</v>
      </c>
      <c r="W27" s="8" t="s">
        <v>811</v>
      </c>
    </row>
    <row r="28" customFormat="false" ht="15" hidden="false" customHeight="false" outlineLevel="0" collapsed="false">
      <c r="A28" s="8" t="s">
        <v>812</v>
      </c>
      <c r="B28" s="8" t="s">
        <v>318</v>
      </c>
      <c r="C28" s="31" t="n">
        <f aca="false">C25</f>
        <v>9.85082963955935</v>
      </c>
      <c r="D28" s="31" t="n">
        <f aca="false">C28+D25</f>
        <v>34.7912130862621</v>
      </c>
      <c r="E28" s="31" t="n">
        <f aca="false">D28+E25</f>
        <v>59.1748361235544</v>
      </c>
      <c r="F28" s="31" t="n">
        <f aca="false">E28+F25</f>
        <v>96.8174048978764</v>
      </c>
      <c r="G28" s="31" t="n">
        <f aca="false">F28+G25</f>
        <v>122.517829624099</v>
      </c>
      <c r="H28" s="31" t="n">
        <f aca="false">G28+H25</f>
        <v>146.6211810763</v>
      </c>
      <c r="I28" s="31" t="n">
        <f aca="false">H28+I25</f>
        <v>181.567243361579</v>
      </c>
      <c r="J28" s="31" t="n">
        <f aca="false">I28+J25</f>
        <v>216.770602442013</v>
      </c>
      <c r="K28" s="31" t="n">
        <f aca="false">J28+K25</f>
        <v>254.679812500013</v>
      </c>
      <c r="L28" s="31" t="n">
        <f aca="false">K28+L25</f>
        <v>278.713190987042</v>
      </c>
      <c r="M28" s="31" t="n">
        <f aca="false">L28+M25</f>
        <v>303.35377839665</v>
      </c>
      <c r="N28" s="31" t="n">
        <f aca="false">M28+N25</f>
        <v>325.05529847611</v>
      </c>
      <c r="O28" s="43" t="n">
        <f aca="false">N28</f>
        <v>325.05529847611</v>
      </c>
      <c r="P28" s="31" t="n">
        <f aca="false">E28</f>
        <v>59.1748361235544</v>
      </c>
      <c r="Q28" s="31" t="n">
        <f aca="false">H28</f>
        <v>146.6211810763</v>
      </c>
      <c r="R28" s="31" t="n">
        <f aca="false">K28</f>
        <v>254.679812500013</v>
      </c>
      <c r="S28" s="31" t="n">
        <f aca="false">N28</f>
        <v>325.05529847611</v>
      </c>
      <c r="V28" s="8" t="s">
        <v>683</v>
      </c>
      <c r="W28" s="8" t="s">
        <v>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R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4" min="3" style="0" width="9.51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18" min="18" style="0" width="50"/>
  </cols>
  <sheetData>
    <row r="1" customFormat="false" ht="19.7" hidden="false" customHeight="false" outlineLevel="0" collapsed="false">
      <c r="A1" s="14" t="s">
        <v>814</v>
      </c>
    </row>
    <row r="2" customFormat="false" ht="15" hidden="false" customHeight="false" outlineLevel="0" collapsed="false">
      <c r="A2" s="4" t="s">
        <v>815</v>
      </c>
    </row>
    <row r="3" customFormat="false" ht="15" hidden="false" customHeight="false" outlineLevel="0" collapsed="false">
      <c r="A3" s="15" t="s">
        <v>2</v>
      </c>
    </row>
    <row r="6" customFormat="false" ht="15" hidden="false" customHeight="false" outlineLevel="0" collapsed="false">
      <c r="A6" s="18" t="s">
        <v>427</v>
      </c>
      <c r="B6" s="19" t="s">
        <v>279</v>
      </c>
      <c r="C6" s="55" t="n">
        <f aca="false">Ops_Model!C$6</f>
        <v>46113</v>
      </c>
      <c r="D6" s="55" t="n">
        <f aca="false">Ops_Model!D$6</f>
        <v>46143</v>
      </c>
      <c r="E6" s="55" t="n">
        <f aca="false">Ops_Model!E$6</f>
        <v>46174</v>
      </c>
      <c r="F6" s="55" t="n">
        <f aca="false">Ops_Model!F$6</f>
        <v>46204</v>
      </c>
      <c r="G6" s="55" t="n">
        <f aca="false">Ops_Model!G$6</f>
        <v>46235</v>
      </c>
      <c r="H6" s="55" t="n">
        <f aca="false">Ops_Model!H$6</f>
        <v>46266</v>
      </c>
      <c r="I6" s="55" t="n">
        <f aca="false">Ops_Model!I$6</f>
        <v>46296</v>
      </c>
      <c r="J6" s="55" t="n">
        <f aca="false">Ops_Model!J$6</f>
        <v>46327</v>
      </c>
      <c r="K6" s="55" t="n">
        <f aca="false">Ops_Model!K$6</f>
        <v>46357</v>
      </c>
      <c r="L6" s="55" t="n">
        <f aca="false">Ops_Model!L$6</f>
        <v>46388</v>
      </c>
      <c r="M6" s="55" t="n">
        <f aca="false">Ops_Model!M$6</f>
        <v>46419</v>
      </c>
      <c r="N6" s="55" t="n">
        <f aca="false">Ops_Model!N$6</f>
        <v>46447</v>
      </c>
      <c r="O6" s="19" t="s">
        <v>679</v>
      </c>
      <c r="P6" s="19" t="s">
        <v>816</v>
      </c>
      <c r="Q6" s="19" t="s">
        <v>100</v>
      </c>
      <c r="R6" s="19" t="s">
        <v>680</v>
      </c>
    </row>
    <row r="8" customFormat="false" ht="15" hidden="false" customHeight="false" outlineLevel="0" collapsed="false">
      <c r="A8" s="16" t="s">
        <v>817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customFormat="false" ht="15" hidden="false" customHeight="false" outlineLevel="0" collapsed="false">
      <c r="A9" s="8" t="s">
        <v>284</v>
      </c>
      <c r="C9" s="25" t="n">
        <f aca="false">Assumptions!$D$10</f>
        <v>0.2</v>
      </c>
      <c r="Q9" s="8" t="s">
        <v>818</v>
      </c>
    </row>
    <row r="10" customFormat="false" ht="15" hidden="false" customHeight="false" outlineLevel="0" collapsed="false">
      <c r="A10" s="8" t="s">
        <v>287</v>
      </c>
      <c r="C10" s="25" t="n">
        <f aca="false">Assumptions!$D$11</f>
        <v>-0.01</v>
      </c>
      <c r="Q10" s="8" t="s">
        <v>818</v>
      </c>
    </row>
    <row r="11" customFormat="false" ht="15" hidden="false" customHeight="false" outlineLevel="0" collapsed="false">
      <c r="A11" s="8" t="s">
        <v>289</v>
      </c>
      <c r="C11" s="25" t="n">
        <f aca="false">Assumptions!$D$12</f>
        <v>0</v>
      </c>
      <c r="Q11" s="8" t="s">
        <v>818</v>
      </c>
    </row>
    <row r="12" customFormat="false" ht="15" hidden="false" customHeight="false" outlineLevel="0" collapsed="false">
      <c r="A12" s="8" t="s">
        <v>292</v>
      </c>
      <c r="C12" s="25" t="n">
        <f aca="false">Assumptions!$D$13</f>
        <v>0.8</v>
      </c>
      <c r="Q12" s="8" t="s">
        <v>818</v>
      </c>
    </row>
    <row r="13" customFormat="false" ht="15" hidden="false" customHeight="false" outlineLevel="0" collapsed="false">
      <c r="A13" s="8" t="s">
        <v>294</v>
      </c>
      <c r="C13" s="25" t="n">
        <f aca="false">Assumptions!$D$14</f>
        <v>0.03</v>
      </c>
      <c r="Q13" s="8" t="s">
        <v>818</v>
      </c>
    </row>
    <row r="14" customFormat="false" ht="15" hidden="false" customHeight="false" outlineLevel="0" collapsed="false">
      <c r="A14" s="8" t="s">
        <v>296</v>
      </c>
      <c r="C14" s="25" t="n">
        <f aca="false">Assumptions!$D$15</f>
        <v>0.05</v>
      </c>
      <c r="Q14" s="8" t="s">
        <v>818</v>
      </c>
    </row>
    <row r="15" customFormat="false" ht="15" hidden="false" customHeight="false" outlineLevel="0" collapsed="false">
      <c r="A15" s="8" t="s">
        <v>298</v>
      </c>
      <c r="C15" s="25" t="n">
        <f aca="false">Assumptions!$D$16</f>
        <v>0.04</v>
      </c>
      <c r="Q15" s="8" t="s">
        <v>818</v>
      </c>
    </row>
    <row r="16" customFormat="false" ht="15" hidden="false" customHeight="false" outlineLevel="0" collapsed="false">
      <c r="A16" s="8" t="s">
        <v>300</v>
      </c>
      <c r="C16" s="25" t="n">
        <f aca="false">Assumptions!$D$17</f>
        <v>0.03</v>
      </c>
      <c r="Q16" s="8" t="s">
        <v>818</v>
      </c>
    </row>
    <row r="18" customFormat="false" ht="15" hidden="false" customHeight="false" outlineLevel="0" collapsed="false">
      <c r="A18" s="16" t="s">
        <v>819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customFormat="false" ht="15" hidden="false" customHeight="false" outlineLevel="0" collapsed="false">
      <c r="A19" s="8" t="s">
        <v>685</v>
      </c>
      <c r="B19" s="8" t="s">
        <v>355</v>
      </c>
      <c r="C19" s="35" t="n">
        <f aca="false">Assumptions!$C$51*(1+$C$9+Assumptions!$C$47)*Assumptions!C$72/12</f>
        <v>23.9882879633362</v>
      </c>
      <c r="D19" s="35" t="n">
        <f aca="false">Assumptions!$C$51*(1+$C$9+Assumptions!$C$47)*Assumptions!D$72/12</f>
        <v>24.4880439625724</v>
      </c>
      <c r="E19" s="35" t="n">
        <f aca="false">Assumptions!$C$51*(1+$C$9+Assumptions!$C$47)*Assumptions!E$72/12</f>
        <v>25.4875559610447</v>
      </c>
      <c r="F19" s="35" t="n">
        <f aca="false">Assumptions!$C$51*(1+$C$9+Assumptions!$C$47)*Assumptions!F$72/12</f>
        <v>24.2381659629543</v>
      </c>
      <c r="G19" s="35" t="n">
        <f aca="false">Assumptions!$C$51*(1+$C$9+Assumptions!$C$47)*Assumptions!G$72/12</f>
        <v>24.7379219621905</v>
      </c>
      <c r="H19" s="35" t="n">
        <f aca="false">Assumptions!$C$51*(1+$C$9+Assumptions!$C$47)*Assumptions!H$72/12</f>
        <v>25.9873119602809</v>
      </c>
      <c r="I19" s="35" t="n">
        <f aca="false">Assumptions!$C$51*(1+$C$9+Assumptions!$C$47)*Assumptions!I$72/12</f>
        <v>25.7374339606628</v>
      </c>
      <c r="J19" s="35" t="n">
        <f aca="false">Assumptions!$C$51*(1+$C$9+Assumptions!$C$47)*Assumptions!J$72/12</f>
        <v>25.2376779614267</v>
      </c>
      <c r="K19" s="35" t="n">
        <f aca="false">Assumptions!$C$51*(1+$C$9+Assumptions!$C$47)*Assumptions!K$72/12</f>
        <v>23.7384099637181</v>
      </c>
      <c r="L19" s="35" t="n">
        <f aca="false">Assumptions!$C$51*(1+$C$9+Assumptions!$C$47)*Assumptions!L$72/12</f>
        <v>24.2381659629543</v>
      </c>
      <c r="M19" s="35" t="n">
        <f aca="false">Assumptions!$C$51*(1+$C$9+Assumptions!$C$47)*Assumptions!M$72/12</f>
        <v>24.9877999618086</v>
      </c>
      <c r="N19" s="35" t="n">
        <f aca="false">Assumptions!$C$51*(1+$C$9+Assumptions!$C$47)*Assumptions!N$72/12</f>
        <v>26.9868239587533</v>
      </c>
      <c r="O19" s="58" t="n">
        <f aca="false">SUM(C19:N19)</f>
        <v>299.853599541703</v>
      </c>
      <c r="P19" s="58" t="n">
        <f aca="false">SUM(C19:G19)</f>
        <v>122.939975812098</v>
      </c>
      <c r="Q19" s="8" t="s">
        <v>820</v>
      </c>
      <c r="R19" s="8"/>
    </row>
    <row r="20" customFormat="false" ht="15" hidden="false" customHeight="false" outlineLevel="0" collapsed="false">
      <c r="A20" s="8" t="s">
        <v>345</v>
      </c>
      <c r="B20" s="8" t="s">
        <v>355</v>
      </c>
      <c r="C20" s="35" t="n">
        <f aca="false">Assumptions!$C$46</f>
        <v>35</v>
      </c>
      <c r="D20" s="35" t="n">
        <f aca="false">Assumptions!$C$46</f>
        <v>35</v>
      </c>
      <c r="E20" s="35" t="n">
        <f aca="false">Assumptions!$C$46</f>
        <v>35</v>
      </c>
      <c r="F20" s="35" t="n">
        <f aca="false">Assumptions!$C$46</f>
        <v>35</v>
      </c>
      <c r="G20" s="35" t="n">
        <f aca="false">Assumptions!$C$46</f>
        <v>35</v>
      </c>
      <c r="H20" s="35" t="n">
        <f aca="false">Assumptions!$C$46</f>
        <v>35</v>
      </c>
      <c r="I20" s="35" t="n">
        <f aca="false">Assumptions!$C$46</f>
        <v>35</v>
      </c>
      <c r="J20" s="35" t="n">
        <f aca="false">Assumptions!$C$46</f>
        <v>35</v>
      </c>
      <c r="K20" s="35" t="n">
        <f aca="false">Assumptions!$C$46</f>
        <v>35</v>
      </c>
      <c r="L20" s="35" t="n">
        <f aca="false">Assumptions!$C$46</f>
        <v>35</v>
      </c>
      <c r="M20" s="35" t="n">
        <f aca="false">Assumptions!$C$46</f>
        <v>35</v>
      </c>
      <c r="N20" s="35" t="n">
        <f aca="false">Assumptions!$C$46</f>
        <v>35</v>
      </c>
      <c r="O20" s="58" t="n">
        <f aca="false">SUM(C20:N20)</f>
        <v>420</v>
      </c>
      <c r="P20" s="58" t="n">
        <f aca="false">SUM(C20:G20)</f>
        <v>175</v>
      </c>
      <c r="Q20" s="8" t="s">
        <v>820</v>
      </c>
      <c r="R20" s="8"/>
    </row>
    <row r="21" customFormat="false" ht="15" hidden="false" customHeight="false" outlineLevel="0" collapsed="false">
      <c r="A21" s="8" t="s">
        <v>688</v>
      </c>
      <c r="B21" s="8" t="s">
        <v>285</v>
      </c>
      <c r="C21" s="36" t="n">
        <f aca="false">$C$12</f>
        <v>0.8</v>
      </c>
      <c r="D21" s="36" t="n">
        <f aca="false">$C$12</f>
        <v>0.8</v>
      </c>
      <c r="E21" s="36" t="n">
        <f aca="false">$C$12</f>
        <v>0.8</v>
      </c>
      <c r="F21" s="36" t="n">
        <f aca="false">$C$12</f>
        <v>0.8</v>
      </c>
      <c r="G21" s="36" t="n">
        <f aca="false">$C$12</f>
        <v>0.8</v>
      </c>
      <c r="H21" s="36" t="n">
        <f aca="false">$C$12</f>
        <v>0.8</v>
      </c>
      <c r="I21" s="36" t="n">
        <f aca="false">$C$12</f>
        <v>0.8</v>
      </c>
      <c r="J21" s="36" t="n">
        <f aca="false">$C$12</f>
        <v>0.8</v>
      </c>
      <c r="K21" s="36" t="n">
        <f aca="false">$C$12</f>
        <v>0.8</v>
      </c>
      <c r="L21" s="36" t="n">
        <f aca="false">$C$12</f>
        <v>0.8</v>
      </c>
      <c r="M21" s="36" t="n">
        <f aca="false">$C$12</f>
        <v>0.8</v>
      </c>
      <c r="N21" s="36" t="n">
        <f aca="false">$C$12</f>
        <v>0.8</v>
      </c>
      <c r="O21" s="59" t="n">
        <f aca="false">IFERROR(O22/O20,0)</f>
        <v>0.8</v>
      </c>
      <c r="P21" s="59" t="n">
        <f aca="false">IFERROR(P22/P20,0)</f>
        <v>0.8</v>
      </c>
      <c r="Q21" s="8" t="s">
        <v>820</v>
      </c>
      <c r="R21" s="8"/>
    </row>
    <row r="22" customFormat="false" ht="15" hidden="false" customHeight="false" outlineLevel="0" collapsed="false">
      <c r="A22" s="8" t="s">
        <v>357</v>
      </c>
      <c r="B22" s="8" t="s">
        <v>355</v>
      </c>
      <c r="C22" s="35" t="n">
        <f aca="false">C20*C21</f>
        <v>28</v>
      </c>
      <c r="D22" s="35" t="n">
        <f aca="false">D20*D21</f>
        <v>28</v>
      </c>
      <c r="E22" s="35" t="n">
        <f aca="false">E20*E21</f>
        <v>28</v>
      </c>
      <c r="F22" s="35" t="n">
        <f aca="false">F20*F21</f>
        <v>28</v>
      </c>
      <c r="G22" s="35" t="n">
        <f aca="false">G20*G21</f>
        <v>28</v>
      </c>
      <c r="H22" s="35" t="n">
        <f aca="false">H20*H21</f>
        <v>28</v>
      </c>
      <c r="I22" s="35" t="n">
        <f aca="false">I20*I21</f>
        <v>28</v>
      </c>
      <c r="J22" s="35" t="n">
        <f aca="false">J20*J21</f>
        <v>28</v>
      </c>
      <c r="K22" s="35" t="n">
        <f aca="false">K20*K21</f>
        <v>28</v>
      </c>
      <c r="L22" s="35" t="n">
        <f aca="false">L20*L21</f>
        <v>28</v>
      </c>
      <c r="M22" s="35" t="n">
        <f aca="false">M20*M21</f>
        <v>28</v>
      </c>
      <c r="N22" s="35" t="n">
        <f aca="false">N20*N21</f>
        <v>28</v>
      </c>
      <c r="O22" s="58" t="n">
        <f aca="false">SUM(C22:N22)</f>
        <v>336</v>
      </c>
      <c r="P22" s="58" t="n">
        <f aca="false">SUM(C22:G22)</f>
        <v>140</v>
      </c>
      <c r="Q22" s="8" t="s">
        <v>820</v>
      </c>
      <c r="R22" s="8" t="s">
        <v>690</v>
      </c>
    </row>
    <row r="23" customFormat="false" ht="15" hidden="false" customHeight="false" outlineLevel="0" collapsed="false">
      <c r="A23" s="8" t="s">
        <v>691</v>
      </c>
      <c r="B23" s="8" t="s">
        <v>285</v>
      </c>
      <c r="C23" s="36" t="n">
        <f aca="false">MIN(1,MAX(0,Assumptions!$C$43+$C$11))</f>
        <v>0.92</v>
      </c>
      <c r="D23" s="36" t="n">
        <f aca="false">MIN(1,MAX(0,Assumptions!$C$43+$C$11))</f>
        <v>0.92</v>
      </c>
      <c r="E23" s="36" t="n">
        <f aca="false">MIN(1,MAX(0,Assumptions!$C$43+$C$11))</f>
        <v>0.92</v>
      </c>
      <c r="F23" s="36" t="n">
        <f aca="false">MIN(1,MAX(0,Assumptions!$C$43+$C$11))</f>
        <v>0.92</v>
      </c>
      <c r="G23" s="36" t="n">
        <f aca="false">MIN(1,MAX(0,Assumptions!$C$43+$C$11))</f>
        <v>0.92</v>
      </c>
      <c r="H23" s="36" t="n">
        <f aca="false">MIN(1,MAX(0,Assumptions!$C$43+$C$11))</f>
        <v>0.92</v>
      </c>
      <c r="I23" s="36" t="n">
        <f aca="false">MIN(1,MAX(0,Assumptions!$C$43+$C$11))</f>
        <v>0.92</v>
      </c>
      <c r="J23" s="36" t="n">
        <f aca="false">MIN(1,MAX(0,Assumptions!$C$43+$C$11))</f>
        <v>0.92</v>
      </c>
      <c r="K23" s="36" t="n">
        <f aca="false">MIN(1,MAX(0,Assumptions!$C$43+$C$11))</f>
        <v>0.92</v>
      </c>
      <c r="L23" s="36" t="n">
        <f aca="false">MIN(1,MAX(0,Assumptions!$C$43+$C$11))</f>
        <v>0.92</v>
      </c>
      <c r="M23" s="36" t="n">
        <f aca="false">MIN(1,MAX(0,Assumptions!$C$43+$C$11))</f>
        <v>0.92</v>
      </c>
      <c r="N23" s="36" t="n">
        <f aca="false">MIN(1,MAX(0,Assumptions!$C$43+$C$11))</f>
        <v>0.92</v>
      </c>
      <c r="O23" s="59" t="n">
        <f aca="false">IFERROR(O24/O22,0)</f>
        <v>0.92</v>
      </c>
      <c r="P23" s="59" t="n">
        <f aca="false">IFERROR(P24/P22,0)</f>
        <v>0.92</v>
      </c>
      <c r="Q23" s="8" t="s">
        <v>820</v>
      </c>
      <c r="R23" s="8"/>
    </row>
    <row r="24" customFormat="false" ht="15" hidden="false" customHeight="false" outlineLevel="0" collapsed="false">
      <c r="A24" s="8" t="s">
        <v>693</v>
      </c>
      <c r="B24" s="8" t="s">
        <v>355</v>
      </c>
      <c r="C24" s="35" t="n">
        <f aca="false">C22*C23</f>
        <v>25.76</v>
      </c>
      <c r="D24" s="35" t="n">
        <f aca="false">D22*D23</f>
        <v>25.76</v>
      </c>
      <c r="E24" s="35" t="n">
        <f aca="false">E22*E23</f>
        <v>25.76</v>
      </c>
      <c r="F24" s="35" t="n">
        <f aca="false">F22*F23</f>
        <v>25.76</v>
      </c>
      <c r="G24" s="35" t="n">
        <f aca="false">G22*G23</f>
        <v>25.76</v>
      </c>
      <c r="H24" s="35" t="n">
        <f aca="false">H22*H23</f>
        <v>25.76</v>
      </c>
      <c r="I24" s="35" t="n">
        <f aca="false">I22*I23</f>
        <v>25.76</v>
      </c>
      <c r="J24" s="35" t="n">
        <f aca="false">J22*J23</f>
        <v>25.76</v>
      </c>
      <c r="K24" s="35" t="n">
        <f aca="false">K22*K23</f>
        <v>25.76</v>
      </c>
      <c r="L24" s="35" t="n">
        <f aca="false">L22*L23</f>
        <v>25.76</v>
      </c>
      <c r="M24" s="35" t="n">
        <f aca="false">M22*M23</f>
        <v>25.76</v>
      </c>
      <c r="N24" s="35" t="n">
        <f aca="false">N22*N23</f>
        <v>25.76</v>
      </c>
      <c r="O24" s="58" t="n">
        <f aca="false">SUM(C24:N24)</f>
        <v>309.12</v>
      </c>
      <c r="P24" s="58" t="n">
        <f aca="false">SUM(C24:G24)</f>
        <v>128.8</v>
      </c>
      <c r="Q24" s="8" t="s">
        <v>820</v>
      </c>
      <c r="R24" s="8" t="s">
        <v>694</v>
      </c>
    </row>
    <row r="25" customFormat="false" ht="15" hidden="false" customHeight="false" outlineLevel="0" collapsed="false">
      <c r="A25" s="8" t="s">
        <v>412</v>
      </c>
      <c r="B25" s="8" t="s">
        <v>355</v>
      </c>
      <c r="C25" s="35" t="n">
        <f aca="false">Assumptions!$C$67</f>
        <v>20.8231666348405</v>
      </c>
      <c r="D25" s="35" t="n">
        <f aca="false">C28</f>
        <v>22.5948786715043</v>
      </c>
      <c r="E25" s="35" t="n">
        <f aca="false">D28</f>
        <v>23.8668347089319</v>
      </c>
      <c r="F25" s="35" t="n">
        <f aca="false">E28</f>
        <v>24.1392787478871</v>
      </c>
      <c r="G25" s="35" t="n">
        <f aca="false">F28</f>
        <v>25.6611127849328</v>
      </c>
      <c r="H25" s="35" t="n">
        <f aca="false">G28</f>
        <v>26.6831908227423</v>
      </c>
      <c r="I25" s="35" t="n">
        <f aca="false">H28</f>
        <v>26.4558788624614</v>
      </c>
      <c r="J25" s="35" t="n">
        <f aca="false">I28</f>
        <v>26.4784449017986</v>
      </c>
      <c r="K25" s="35" t="n">
        <f aca="false">J28</f>
        <v>27.0007669403719</v>
      </c>
      <c r="L25" s="35" t="n">
        <f aca="false">K28</f>
        <v>29.0223569766538</v>
      </c>
      <c r="M25" s="35" t="n">
        <f aca="false">L28</f>
        <v>30.5441910136995</v>
      </c>
      <c r="N25" s="35" t="n">
        <f aca="false">M28</f>
        <v>31.3163910518909</v>
      </c>
      <c r="O25" s="58" t="n">
        <f aca="false">C25</f>
        <v>20.8231666348405</v>
      </c>
      <c r="P25" s="58" t="n">
        <f aca="false">C25</f>
        <v>20.8231666348405</v>
      </c>
      <c r="Q25" s="8" t="s">
        <v>820</v>
      </c>
      <c r="R25" s="8"/>
    </row>
    <row r="26" customFormat="false" ht="15" hidden="false" customHeight="false" outlineLevel="0" collapsed="false">
      <c r="A26" s="8" t="s">
        <v>696</v>
      </c>
      <c r="B26" s="8" t="s">
        <v>355</v>
      </c>
      <c r="C26" s="35" t="n">
        <f aca="false">C25+C24</f>
        <v>46.5831666348405</v>
      </c>
      <c r="D26" s="35" t="n">
        <f aca="false">D25+D24</f>
        <v>48.3548786715043</v>
      </c>
      <c r="E26" s="35" t="n">
        <f aca="false">E25+E24</f>
        <v>49.6268347089319</v>
      </c>
      <c r="F26" s="35" t="n">
        <f aca="false">F25+F24</f>
        <v>49.8992787478871</v>
      </c>
      <c r="G26" s="35" t="n">
        <f aca="false">G25+G24</f>
        <v>51.4211127849328</v>
      </c>
      <c r="H26" s="35" t="n">
        <f aca="false">H25+H24</f>
        <v>52.4431908227423</v>
      </c>
      <c r="I26" s="35" t="n">
        <f aca="false">I25+I24</f>
        <v>52.2158788624614</v>
      </c>
      <c r="J26" s="35" t="n">
        <f aca="false">J25+J24</f>
        <v>52.2384449017986</v>
      </c>
      <c r="K26" s="35" t="n">
        <f aca="false">K25+K24</f>
        <v>52.7607669403719</v>
      </c>
      <c r="L26" s="35" t="n">
        <f aca="false">L25+L24</f>
        <v>54.7823569766538</v>
      </c>
      <c r="M26" s="35" t="n">
        <f aca="false">M25+M24</f>
        <v>56.3041910136995</v>
      </c>
      <c r="N26" s="35" t="n">
        <f aca="false">N25+N24</f>
        <v>57.0763910518909</v>
      </c>
      <c r="Q26" s="8" t="s">
        <v>820</v>
      </c>
      <c r="R26" s="8"/>
    </row>
    <row r="27" customFormat="false" ht="15" hidden="false" customHeight="false" outlineLevel="0" collapsed="false">
      <c r="A27" s="7" t="s">
        <v>354</v>
      </c>
      <c r="B27" s="8" t="s">
        <v>355</v>
      </c>
      <c r="C27" s="35" t="n">
        <f aca="false">MIN(C19,C26)</f>
        <v>23.9882879633362</v>
      </c>
      <c r="D27" s="35" t="n">
        <f aca="false">MIN(D19,D26)</f>
        <v>24.4880439625724</v>
      </c>
      <c r="E27" s="35" t="n">
        <f aca="false">MIN(E19,E26)</f>
        <v>25.4875559610447</v>
      </c>
      <c r="F27" s="35" t="n">
        <f aca="false">MIN(F19,F26)</f>
        <v>24.2381659629543</v>
      </c>
      <c r="G27" s="35" t="n">
        <f aca="false">MIN(G19,G26)</f>
        <v>24.7379219621905</v>
      </c>
      <c r="H27" s="35" t="n">
        <f aca="false">MIN(H19,H26)</f>
        <v>25.9873119602809</v>
      </c>
      <c r="I27" s="35" t="n">
        <f aca="false">MIN(I19,I26)</f>
        <v>25.7374339606628</v>
      </c>
      <c r="J27" s="35" t="n">
        <f aca="false">MIN(J19,J26)</f>
        <v>25.2376779614267</v>
      </c>
      <c r="K27" s="35" t="n">
        <f aca="false">MIN(K19,K26)</f>
        <v>23.7384099637181</v>
      </c>
      <c r="L27" s="35" t="n">
        <f aca="false">MIN(L19,L26)</f>
        <v>24.2381659629543</v>
      </c>
      <c r="M27" s="35" t="n">
        <f aca="false">MIN(M19,M26)</f>
        <v>24.9877999618086</v>
      </c>
      <c r="N27" s="35" t="n">
        <f aca="false">MIN(N19,N26)</f>
        <v>26.9868239587533</v>
      </c>
      <c r="O27" s="58" t="n">
        <f aca="false">SUM(C27:N27)</f>
        <v>299.853599541703</v>
      </c>
      <c r="P27" s="58" t="n">
        <f aca="false">SUM(C27:G27)</f>
        <v>122.939975812098</v>
      </c>
      <c r="Q27" s="8" t="s">
        <v>820</v>
      </c>
      <c r="R27" s="8" t="s">
        <v>821</v>
      </c>
    </row>
    <row r="28" customFormat="false" ht="15" hidden="false" customHeight="false" outlineLevel="0" collapsed="false">
      <c r="A28" s="8" t="s">
        <v>699</v>
      </c>
      <c r="B28" s="8" t="s">
        <v>355</v>
      </c>
      <c r="C28" s="35" t="n">
        <f aca="false">C26-C27</f>
        <v>22.5948786715043</v>
      </c>
      <c r="D28" s="35" t="n">
        <f aca="false">D26-D27</f>
        <v>23.8668347089319</v>
      </c>
      <c r="E28" s="35" t="n">
        <f aca="false">E26-E27</f>
        <v>24.1392787478871</v>
      </c>
      <c r="F28" s="35" t="n">
        <f aca="false">F26-F27</f>
        <v>25.6611127849328</v>
      </c>
      <c r="G28" s="35" t="n">
        <f aca="false">G26-G27</f>
        <v>26.6831908227423</v>
      </c>
      <c r="H28" s="35" t="n">
        <f aca="false">H26-H27</f>
        <v>26.4558788624614</v>
      </c>
      <c r="I28" s="35" t="n">
        <f aca="false">I26-I27</f>
        <v>26.4784449017986</v>
      </c>
      <c r="J28" s="35" t="n">
        <f aca="false">J26-J27</f>
        <v>27.0007669403719</v>
      </c>
      <c r="K28" s="35" t="n">
        <f aca="false">K26-K27</f>
        <v>29.0223569766538</v>
      </c>
      <c r="L28" s="35" t="n">
        <f aca="false">L26-L27</f>
        <v>30.5441910136995</v>
      </c>
      <c r="M28" s="35" t="n">
        <f aca="false">M26-M27</f>
        <v>31.3163910518909</v>
      </c>
      <c r="N28" s="35" t="n">
        <f aca="false">N26-N27</f>
        <v>30.0895670931377</v>
      </c>
      <c r="O28" s="58" t="n">
        <f aca="false">N28</f>
        <v>30.0895670931377</v>
      </c>
      <c r="P28" s="58" t="n">
        <f aca="false">G28</f>
        <v>26.6831908227423</v>
      </c>
      <c r="Q28" s="8" t="s">
        <v>820</v>
      </c>
      <c r="R28" s="8" t="s">
        <v>822</v>
      </c>
    </row>
    <row r="29" customFormat="false" ht="15" hidden="false" customHeight="false" outlineLevel="0" collapsed="false">
      <c r="A29" s="8" t="s">
        <v>823</v>
      </c>
      <c r="B29" s="8" t="s">
        <v>355</v>
      </c>
      <c r="C29" s="35" t="n">
        <f aca="false">C19-C27</f>
        <v>0</v>
      </c>
      <c r="D29" s="35" t="n">
        <f aca="false">D19-D27</f>
        <v>0</v>
      </c>
      <c r="E29" s="35" t="n">
        <f aca="false">E19-E27</f>
        <v>0</v>
      </c>
      <c r="F29" s="35" t="n">
        <f aca="false">F19-F27</f>
        <v>0</v>
      </c>
      <c r="G29" s="35" t="n">
        <f aca="false">G19-G27</f>
        <v>0</v>
      </c>
      <c r="H29" s="35" t="n">
        <f aca="false">H19-H27</f>
        <v>0</v>
      </c>
      <c r="I29" s="35" t="n">
        <f aca="false">I19-I27</f>
        <v>0</v>
      </c>
      <c r="J29" s="35" t="n">
        <f aca="false">J19-J27</f>
        <v>0</v>
      </c>
      <c r="K29" s="35" t="n">
        <f aca="false">K19-K27</f>
        <v>0</v>
      </c>
      <c r="L29" s="35" t="n">
        <f aca="false">L19-L27</f>
        <v>0</v>
      </c>
      <c r="M29" s="35" t="n">
        <f aca="false">M19-M27</f>
        <v>0</v>
      </c>
      <c r="N29" s="35" t="n">
        <f aca="false">N19-N27</f>
        <v>0</v>
      </c>
      <c r="O29" s="58" t="n">
        <f aca="false">SUM(C29:N29)</f>
        <v>0</v>
      </c>
      <c r="P29" s="58" t="n">
        <f aca="false">SUM(C29:G29)</f>
        <v>0</v>
      </c>
      <c r="Q29" s="8" t="s">
        <v>820</v>
      </c>
      <c r="R29" s="8"/>
    </row>
    <row r="30" customFormat="false" ht="15" hidden="false" customHeight="false" outlineLevel="0" collapsed="false">
      <c r="A30" s="8" t="s">
        <v>705</v>
      </c>
      <c r="B30" s="8" t="s">
        <v>336</v>
      </c>
      <c r="C30" s="37" t="n">
        <f aca="false">Assumptions!$C$42*(1+$C$10)</f>
        <v>1.98</v>
      </c>
      <c r="D30" s="37" t="n">
        <f aca="false">Assumptions!$C$42*(1+$C$10)</f>
        <v>1.98</v>
      </c>
      <c r="E30" s="37" t="n">
        <f aca="false">Assumptions!$C$42*(1+$C$10)</f>
        <v>1.98</v>
      </c>
      <c r="F30" s="37" t="n">
        <f aca="false">Assumptions!$C$42*(1+$C$10)</f>
        <v>1.98</v>
      </c>
      <c r="G30" s="37" t="n">
        <f aca="false">Assumptions!$C$42*(1+$C$10)</f>
        <v>1.98</v>
      </c>
      <c r="H30" s="37" t="n">
        <f aca="false">Assumptions!$C$42*(1+$C$10)</f>
        <v>1.98</v>
      </c>
      <c r="I30" s="37" t="n">
        <f aca="false">Assumptions!$C$42*(1+$C$10)</f>
        <v>1.98</v>
      </c>
      <c r="J30" s="37" t="n">
        <f aca="false">Assumptions!$C$42*(1+$C$10)</f>
        <v>1.98</v>
      </c>
      <c r="K30" s="37" t="n">
        <f aca="false">Assumptions!$C$42*(1+$C$10)</f>
        <v>1.98</v>
      </c>
      <c r="L30" s="37" t="n">
        <f aca="false">Assumptions!$C$42*(1+$C$10)</f>
        <v>1.98</v>
      </c>
      <c r="M30" s="37" t="n">
        <f aca="false">Assumptions!$C$42*(1+$C$10)</f>
        <v>1.98</v>
      </c>
      <c r="N30" s="37" t="n">
        <f aca="false">Assumptions!$C$42*(1+$C$10)</f>
        <v>1.98</v>
      </c>
      <c r="O30" s="62" t="n">
        <f aca="false">IFERROR(O31/O27,0)</f>
        <v>1.98</v>
      </c>
      <c r="P30" s="62" t="n">
        <f aca="false">IFERROR(P31/P27,0)</f>
        <v>1.98</v>
      </c>
      <c r="Q30" s="8" t="s">
        <v>820</v>
      </c>
      <c r="R30" s="8"/>
    </row>
    <row r="31" customFormat="false" ht="15" hidden="false" customHeight="false" outlineLevel="0" collapsed="false">
      <c r="A31" s="7" t="s">
        <v>22</v>
      </c>
      <c r="B31" s="8" t="s">
        <v>318</v>
      </c>
      <c r="C31" s="31" t="n">
        <f aca="false">C27*C30</f>
        <v>47.4968101674057</v>
      </c>
      <c r="D31" s="31" t="n">
        <f aca="false">D27*D30</f>
        <v>48.4863270458934</v>
      </c>
      <c r="E31" s="31" t="n">
        <f aca="false">E27*E30</f>
        <v>50.4653608028686</v>
      </c>
      <c r="F31" s="31" t="n">
        <f aca="false">F27*F30</f>
        <v>47.9915686066495</v>
      </c>
      <c r="G31" s="31" t="n">
        <f aca="false">G27*G30</f>
        <v>48.9810854851372</v>
      </c>
      <c r="H31" s="31" t="n">
        <f aca="false">H27*H30</f>
        <v>51.4548776813562</v>
      </c>
      <c r="I31" s="31" t="n">
        <f aca="false">I27*I30</f>
        <v>50.9601192421124</v>
      </c>
      <c r="J31" s="31" t="n">
        <f aca="false">J27*J30</f>
        <v>49.9706023636248</v>
      </c>
      <c r="K31" s="31" t="n">
        <f aca="false">K27*K30</f>
        <v>47.0020517281619</v>
      </c>
      <c r="L31" s="31" t="n">
        <f aca="false">L27*L30</f>
        <v>47.9915686066495</v>
      </c>
      <c r="M31" s="31" t="n">
        <f aca="false">M27*M30</f>
        <v>49.475843924381</v>
      </c>
      <c r="N31" s="31" t="n">
        <f aca="false">N27*N30</f>
        <v>53.4339114383315</v>
      </c>
      <c r="O31" s="43" t="n">
        <f aca="false">SUM(C31:N31)</f>
        <v>593.710127092572</v>
      </c>
      <c r="P31" s="43" t="n">
        <f aca="false">SUM(C31:G31)</f>
        <v>243.421152107954</v>
      </c>
      <c r="Q31" s="8" t="s">
        <v>820</v>
      </c>
      <c r="R31" s="8" t="s">
        <v>707</v>
      </c>
    </row>
    <row r="32" customFormat="false" ht="15" hidden="false" customHeight="false" outlineLevel="0" collapsed="false">
      <c r="A32" s="8" t="s">
        <v>708</v>
      </c>
      <c r="B32" s="8" t="s">
        <v>336</v>
      </c>
      <c r="C32" s="37" t="n">
        <f aca="false">Assumptions!$C$44*(1+$C$13)</f>
        <v>0.3193</v>
      </c>
      <c r="D32" s="37" t="n">
        <f aca="false">Assumptions!$C$44*(1+$C$13)</f>
        <v>0.3193</v>
      </c>
      <c r="E32" s="37" t="n">
        <f aca="false">Assumptions!$C$44*(1+$C$13)</f>
        <v>0.3193</v>
      </c>
      <c r="F32" s="37" t="n">
        <f aca="false">Assumptions!$C$44*(1+$C$13)</f>
        <v>0.3193</v>
      </c>
      <c r="G32" s="37" t="n">
        <f aca="false">Assumptions!$C$44*(1+$C$13)</f>
        <v>0.3193</v>
      </c>
      <c r="H32" s="37" t="n">
        <f aca="false">Assumptions!$C$44*(1+$C$13)</f>
        <v>0.3193</v>
      </c>
      <c r="I32" s="37" t="n">
        <f aca="false">Assumptions!$C$44*(1+$C$13)</f>
        <v>0.3193</v>
      </c>
      <c r="J32" s="37" t="n">
        <f aca="false">Assumptions!$C$44*(1+$C$13)</f>
        <v>0.3193</v>
      </c>
      <c r="K32" s="37" t="n">
        <f aca="false">Assumptions!$C$44*(1+$C$13)</f>
        <v>0.3193</v>
      </c>
      <c r="L32" s="37" t="n">
        <f aca="false">Assumptions!$C$44*(1+$C$13)</f>
        <v>0.3193</v>
      </c>
      <c r="M32" s="37" t="n">
        <f aca="false">Assumptions!$C$44*(1+$C$13)</f>
        <v>0.3193</v>
      </c>
      <c r="N32" s="37" t="n">
        <f aca="false">Assumptions!$C$44*(1+$C$13)</f>
        <v>0.3193</v>
      </c>
      <c r="O32" s="62" t="n">
        <f aca="false">IFERROR(O33/O22,0)</f>
        <v>0.3193</v>
      </c>
      <c r="P32" s="62" t="n">
        <f aca="false">IFERROR(P33/P22,0)</f>
        <v>0.3193</v>
      </c>
      <c r="Q32" s="8" t="s">
        <v>820</v>
      </c>
      <c r="R32" s="8"/>
    </row>
    <row r="33" customFormat="false" ht="15" hidden="false" customHeight="false" outlineLevel="0" collapsed="false">
      <c r="A33" s="8" t="s">
        <v>361</v>
      </c>
      <c r="B33" s="8" t="s">
        <v>318</v>
      </c>
      <c r="C33" s="31" t="n">
        <f aca="false">C22*C32</f>
        <v>8.9404</v>
      </c>
      <c r="D33" s="31" t="n">
        <f aca="false">D22*D32</f>
        <v>8.9404</v>
      </c>
      <c r="E33" s="31" t="n">
        <f aca="false">E22*E32</f>
        <v>8.9404</v>
      </c>
      <c r="F33" s="31" t="n">
        <f aca="false">F22*F32</f>
        <v>8.9404</v>
      </c>
      <c r="G33" s="31" t="n">
        <f aca="false">G22*G32</f>
        <v>8.9404</v>
      </c>
      <c r="H33" s="31" t="n">
        <f aca="false">H22*H32</f>
        <v>8.9404</v>
      </c>
      <c r="I33" s="31" t="n">
        <f aca="false">I22*I32</f>
        <v>8.9404</v>
      </c>
      <c r="J33" s="31" t="n">
        <f aca="false">J22*J32</f>
        <v>8.9404</v>
      </c>
      <c r="K33" s="31" t="n">
        <f aca="false">K22*K32</f>
        <v>8.9404</v>
      </c>
      <c r="L33" s="31" t="n">
        <f aca="false">L22*L32</f>
        <v>8.9404</v>
      </c>
      <c r="M33" s="31" t="n">
        <f aca="false">M22*M32</f>
        <v>8.9404</v>
      </c>
      <c r="N33" s="31" t="n">
        <f aca="false">N22*N32</f>
        <v>8.9404</v>
      </c>
      <c r="O33" s="43" t="n">
        <f aca="false">SUM(C33:N33)</f>
        <v>107.2848</v>
      </c>
      <c r="P33" s="43" t="n">
        <f aca="false">SUM(C33:G33)</f>
        <v>44.702</v>
      </c>
      <c r="Q33" s="8" t="s">
        <v>820</v>
      </c>
      <c r="R33" s="8" t="s">
        <v>824</v>
      </c>
    </row>
    <row r="34" customFormat="false" ht="15" hidden="false" customHeight="false" outlineLevel="0" collapsed="false">
      <c r="A34" s="8" t="s">
        <v>363</v>
      </c>
      <c r="B34" s="8" t="s">
        <v>318</v>
      </c>
      <c r="C34" s="31" t="n">
        <f aca="false">Assumptions!$C$45</f>
        <v>9.5</v>
      </c>
      <c r="D34" s="31" t="n">
        <f aca="false">Assumptions!$C$45</f>
        <v>9.5</v>
      </c>
      <c r="E34" s="31" t="n">
        <f aca="false">Assumptions!$C$45</f>
        <v>9.5</v>
      </c>
      <c r="F34" s="31" t="n">
        <f aca="false">Assumptions!$C$45</f>
        <v>9.5</v>
      </c>
      <c r="G34" s="31" t="n">
        <f aca="false">Assumptions!$C$45</f>
        <v>9.5</v>
      </c>
      <c r="H34" s="31" t="n">
        <f aca="false">Assumptions!$C$45</f>
        <v>9.5</v>
      </c>
      <c r="I34" s="31" t="n">
        <f aca="false">Assumptions!$C$45</f>
        <v>9.5</v>
      </c>
      <c r="J34" s="31" t="n">
        <f aca="false">Assumptions!$C$45</f>
        <v>9.5</v>
      </c>
      <c r="K34" s="31" t="n">
        <f aca="false">Assumptions!$C$45</f>
        <v>9.5</v>
      </c>
      <c r="L34" s="31" t="n">
        <f aca="false">Assumptions!$C$45</f>
        <v>9.5</v>
      </c>
      <c r="M34" s="31" t="n">
        <f aca="false">Assumptions!$C$45</f>
        <v>9.5</v>
      </c>
      <c r="N34" s="31" t="n">
        <f aca="false">Assumptions!$C$45</f>
        <v>9.5</v>
      </c>
      <c r="O34" s="43" t="n">
        <f aca="false">SUM(C34:N34)</f>
        <v>114</v>
      </c>
      <c r="P34" s="43" t="n">
        <f aca="false">SUM(C34:G34)</f>
        <v>47.5</v>
      </c>
      <c r="Q34" s="8" t="s">
        <v>820</v>
      </c>
      <c r="R34" s="8"/>
    </row>
    <row r="35" customFormat="false" ht="15" hidden="false" customHeight="false" outlineLevel="0" collapsed="false">
      <c r="A35" s="8" t="s">
        <v>711</v>
      </c>
      <c r="B35" s="8" t="s">
        <v>318</v>
      </c>
      <c r="C35" s="31" t="n">
        <f aca="false">C33+C34</f>
        <v>18.4404</v>
      </c>
      <c r="D35" s="31" t="n">
        <f aca="false">D33+D34</f>
        <v>18.4404</v>
      </c>
      <c r="E35" s="31" t="n">
        <f aca="false">E33+E34</f>
        <v>18.4404</v>
      </c>
      <c r="F35" s="31" t="n">
        <f aca="false">F33+F34</f>
        <v>18.4404</v>
      </c>
      <c r="G35" s="31" t="n">
        <f aca="false">G33+G34</f>
        <v>18.4404</v>
      </c>
      <c r="H35" s="31" t="n">
        <f aca="false">H33+H34</f>
        <v>18.4404</v>
      </c>
      <c r="I35" s="31" t="n">
        <f aca="false">I33+I34</f>
        <v>18.4404</v>
      </c>
      <c r="J35" s="31" t="n">
        <f aca="false">J33+J34</f>
        <v>18.4404</v>
      </c>
      <c r="K35" s="31" t="n">
        <f aca="false">K33+K34</f>
        <v>18.4404</v>
      </c>
      <c r="L35" s="31" t="n">
        <f aca="false">L33+L34</f>
        <v>18.4404</v>
      </c>
      <c r="M35" s="31" t="n">
        <f aca="false">M33+M34</f>
        <v>18.4404</v>
      </c>
      <c r="N35" s="31" t="n">
        <f aca="false">N33+N34</f>
        <v>18.4404</v>
      </c>
      <c r="O35" s="43" t="n">
        <f aca="false">SUM(C35:N35)</f>
        <v>221.2848</v>
      </c>
      <c r="P35" s="43" t="n">
        <f aca="false">SUM(C35:G35)</f>
        <v>92.202</v>
      </c>
      <c r="Q35" s="8" t="s">
        <v>820</v>
      </c>
      <c r="R35" s="8" t="s">
        <v>825</v>
      </c>
    </row>
    <row r="36" customFormat="false" ht="15" hidden="false" customHeight="false" outlineLevel="0" collapsed="false">
      <c r="A36" s="8" t="s">
        <v>371</v>
      </c>
      <c r="B36" s="8" t="s">
        <v>336</v>
      </c>
      <c r="C36" s="37" t="n">
        <f aca="false">IFERROR(C35/C24,0)</f>
        <v>0.715854037267081</v>
      </c>
      <c r="D36" s="37" t="n">
        <f aca="false">IFERROR(D35/D24,0)</f>
        <v>0.715854037267081</v>
      </c>
      <c r="E36" s="37" t="n">
        <f aca="false">IFERROR(E35/E24,0)</f>
        <v>0.715854037267081</v>
      </c>
      <c r="F36" s="37" t="n">
        <f aca="false">IFERROR(F35/F24,0)</f>
        <v>0.715854037267081</v>
      </c>
      <c r="G36" s="37" t="n">
        <f aca="false">IFERROR(G35/G24,0)</f>
        <v>0.715854037267081</v>
      </c>
      <c r="H36" s="37" t="n">
        <f aca="false">IFERROR(H35/H24,0)</f>
        <v>0.715854037267081</v>
      </c>
      <c r="I36" s="37" t="n">
        <f aca="false">IFERROR(I35/I24,0)</f>
        <v>0.715854037267081</v>
      </c>
      <c r="J36" s="37" t="n">
        <f aca="false">IFERROR(J35/J24,0)</f>
        <v>0.715854037267081</v>
      </c>
      <c r="K36" s="37" t="n">
        <f aca="false">IFERROR(K35/K24,0)</f>
        <v>0.715854037267081</v>
      </c>
      <c r="L36" s="37" t="n">
        <f aca="false">IFERROR(L35/L24,0)</f>
        <v>0.715854037267081</v>
      </c>
      <c r="M36" s="37" t="n">
        <f aca="false">IFERROR(M35/M24,0)</f>
        <v>0.715854037267081</v>
      </c>
      <c r="N36" s="37" t="n">
        <f aca="false">IFERROR(N35/N24,0)</f>
        <v>0.715854037267081</v>
      </c>
      <c r="O36" s="62" t="n">
        <f aca="false">IFERROR(O35/O24,0)</f>
        <v>0.715854037267081</v>
      </c>
      <c r="P36" s="62" t="n">
        <f aca="false">IFERROR(P35/P24,0)</f>
        <v>0.715854037267081</v>
      </c>
      <c r="Q36" s="8" t="s">
        <v>820</v>
      </c>
      <c r="R36" s="8"/>
    </row>
    <row r="37" customFormat="false" ht="15" hidden="false" customHeight="false" outlineLevel="0" collapsed="false">
      <c r="A37" s="8" t="s">
        <v>713</v>
      </c>
      <c r="B37" s="8" t="s">
        <v>318</v>
      </c>
      <c r="C37" s="31" t="n">
        <f aca="false">Assumptions!$C$68</f>
        <v>16.5165018008702</v>
      </c>
      <c r="D37" s="31" t="n">
        <f aca="false">C40</f>
        <v>16.9556303699544</v>
      </c>
      <c r="E37" s="31" t="n">
        <f aca="false">D40</f>
        <v>17.4706509333023</v>
      </c>
      <c r="F37" s="31" t="n">
        <f aca="false">E40</f>
        <v>17.4677041905422</v>
      </c>
      <c r="G37" s="31" t="n">
        <f aca="false">F40</f>
        <v>18.4660366772463</v>
      </c>
      <c r="H37" s="31" t="n">
        <f aca="false">G40</f>
        <v>19.1513065181074</v>
      </c>
      <c r="I37" s="31" t="n">
        <f aca="false">H40</f>
        <v>18.9637895458674</v>
      </c>
      <c r="J37" s="31" t="n">
        <f aca="false">I40</f>
        <v>18.9675017171586</v>
      </c>
      <c r="K37" s="31" t="n">
        <f aca="false">J40</f>
        <v>19.3352240460466</v>
      </c>
      <c r="L37" s="31" t="n">
        <f aca="false">K40</f>
        <v>20.7794107185604</v>
      </c>
      <c r="M37" s="31" t="n">
        <f aca="false">L40</f>
        <v>21.8672115662961</v>
      </c>
      <c r="N37" s="31" t="n">
        <f aca="false">M40</f>
        <v>22.4190935603838</v>
      </c>
      <c r="O37" s="43" t="n">
        <f aca="false">C37</f>
        <v>16.5165018008702</v>
      </c>
      <c r="P37" s="43" t="n">
        <f aca="false">C37</f>
        <v>16.5165018008702</v>
      </c>
      <c r="Q37" s="8" t="s">
        <v>820</v>
      </c>
      <c r="R37" s="8"/>
    </row>
    <row r="38" customFormat="false" ht="15" hidden="false" customHeight="false" outlineLevel="0" collapsed="false">
      <c r="A38" s="8" t="s">
        <v>715</v>
      </c>
      <c r="B38" s="8" t="s">
        <v>336</v>
      </c>
      <c r="C38" s="37" t="n">
        <f aca="false">IFERROR((C37+C35)/C26,0)</f>
        <v>0.750419181995352</v>
      </c>
      <c r="D38" s="37" t="n">
        <f aca="false">IFERROR((D37+D35)/D26,0)</f>
        <v>0.732005360005453</v>
      </c>
      <c r="E38" s="37" t="n">
        <f aca="false">IFERROR((E37+E35)/E26,0)</f>
        <v>0.723621628176076</v>
      </c>
      <c r="F38" s="37" t="n">
        <f aca="false">IFERROR((F37+F35)/F26,0)</f>
        <v>0.719611687615078</v>
      </c>
      <c r="G38" s="37" t="n">
        <f aca="false">IFERROR((G37+G35)/G26,0)</f>
        <v>0.717729249298948</v>
      </c>
      <c r="H38" s="37" t="n">
        <f aca="false">IFERROR((H37+H35)/H26,0)</f>
        <v>0.716808148557687</v>
      </c>
      <c r="I38" s="37" t="n">
        <f aca="false">IFERROR((I37+I35)/I26,0)</f>
        <v>0.716337450613279</v>
      </c>
      <c r="J38" s="37" t="n">
        <f aca="false">IFERROR((J37+J35)/J26,0)</f>
        <v>0.716099068176331</v>
      </c>
      <c r="K38" s="37" t="n">
        <f aca="false">IFERROR((K37+K35)/K26,0)</f>
        <v>0.715979433899039</v>
      </c>
      <c r="L38" s="37" t="n">
        <f aca="false">IFERROR((L37+L35)/L26,0)</f>
        <v>0.715920469345166</v>
      </c>
      <c r="M38" s="37" t="n">
        <f aca="false">IFERROR((M37+M35)/M26,0)</f>
        <v>0.715890075687062</v>
      </c>
      <c r="N38" s="37" t="n">
        <f aca="false">IFERROR((N37+N35)/N26,0)</f>
        <v>0.715873810648548</v>
      </c>
      <c r="Q38" s="8" t="s">
        <v>820</v>
      </c>
      <c r="R38" s="8" t="s">
        <v>826</v>
      </c>
    </row>
    <row r="39" customFormat="false" ht="15" hidden="false" customHeight="false" outlineLevel="0" collapsed="false">
      <c r="A39" s="8" t="s">
        <v>827</v>
      </c>
      <c r="B39" s="8" t="s">
        <v>318</v>
      </c>
      <c r="C39" s="31" t="n">
        <f aca="false">C27*C38</f>
        <v>18.0012714309157</v>
      </c>
      <c r="D39" s="31" t="n">
        <f aca="false">D27*D38</f>
        <v>17.9253794366522</v>
      </c>
      <c r="E39" s="31" t="n">
        <f aca="false">E27*E38</f>
        <v>18.4433467427601</v>
      </c>
      <c r="F39" s="31" t="n">
        <f aca="false">F27*F38</f>
        <v>17.4420675132959</v>
      </c>
      <c r="G39" s="31" t="n">
        <f aca="false">G27*G38</f>
        <v>17.7551301591389</v>
      </c>
      <c r="H39" s="31" t="n">
        <f aca="false">H27*H38</f>
        <v>18.62791697224</v>
      </c>
      <c r="I39" s="31" t="n">
        <f aca="false">I27*I38</f>
        <v>18.4366878287088</v>
      </c>
      <c r="J39" s="31" t="n">
        <f aca="false">J27*J38</f>
        <v>18.072677671112</v>
      </c>
      <c r="K39" s="31" t="n">
        <f aca="false">K27*K38</f>
        <v>16.9962133274862</v>
      </c>
      <c r="L39" s="31" t="n">
        <f aca="false">L27*L38</f>
        <v>17.3525991522643</v>
      </c>
      <c r="M39" s="31" t="n">
        <f aca="false">M27*M38</f>
        <v>17.8885180059123</v>
      </c>
      <c r="N39" s="31" t="n">
        <f aca="false">N27*N38</f>
        <v>19.3191605046542</v>
      </c>
      <c r="O39" s="43" t="n">
        <f aca="false">SUM(C39:N39)</f>
        <v>216.260968745141</v>
      </c>
      <c r="P39" s="43" t="n">
        <f aca="false">SUM(C39:G39)</f>
        <v>89.5671952827628</v>
      </c>
      <c r="Q39" s="8" t="s">
        <v>820</v>
      </c>
      <c r="R39" s="8" t="s">
        <v>717</v>
      </c>
    </row>
    <row r="40" customFormat="false" ht="15" hidden="false" customHeight="false" outlineLevel="0" collapsed="false">
      <c r="A40" s="8" t="s">
        <v>718</v>
      </c>
      <c r="B40" s="8" t="s">
        <v>318</v>
      </c>
      <c r="C40" s="31" t="n">
        <f aca="false">C37+C35-C39</f>
        <v>16.9556303699544</v>
      </c>
      <c r="D40" s="31" t="n">
        <f aca="false">D37+D35-D39</f>
        <v>17.4706509333023</v>
      </c>
      <c r="E40" s="31" t="n">
        <f aca="false">E37+E35-E39</f>
        <v>17.4677041905422</v>
      </c>
      <c r="F40" s="31" t="n">
        <f aca="false">F37+F35-F39</f>
        <v>18.4660366772463</v>
      </c>
      <c r="G40" s="31" t="n">
        <f aca="false">G37+G35-G39</f>
        <v>19.1513065181074</v>
      </c>
      <c r="H40" s="31" t="n">
        <f aca="false">H37+H35-H39</f>
        <v>18.9637895458674</v>
      </c>
      <c r="I40" s="31" t="n">
        <f aca="false">I37+I35-I39</f>
        <v>18.9675017171586</v>
      </c>
      <c r="J40" s="31" t="n">
        <f aca="false">J37+J35-J39</f>
        <v>19.3352240460466</v>
      </c>
      <c r="K40" s="31" t="n">
        <f aca="false">K37+K35-K39</f>
        <v>20.7794107185604</v>
      </c>
      <c r="L40" s="31" t="n">
        <f aca="false">L37+L35-L39</f>
        <v>21.8672115662961</v>
      </c>
      <c r="M40" s="31" t="n">
        <f aca="false">M37+M35-M39</f>
        <v>22.4190935603838</v>
      </c>
      <c r="N40" s="31" t="n">
        <f aca="false">N37+N35-N39</f>
        <v>21.5403330557296</v>
      </c>
      <c r="O40" s="43" t="n">
        <f aca="false">N40</f>
        <v>21.5403330557296</v>
      </c>
      <c r="P40" s="43" t="n">
        <f aca="false">G40</f>
        <v>19.1513065181074</v>
      </c>
      <c r="Q40" s="8" t="s">
        <v>820</v>
      </c>
      <c r="R40" s="8" t="s">
        <v>828</v>
      </c>
    </row>
    <row r="41" customFormat="false" ht="15" hidden="false" customHeight="false" outlineLevel="0" collapsed="false">
      <c r="A41" s="7" t="s">
        <v>829</v>
      </c>
      <c r="B41" s="8" t="s">
        <v>318</v>
      </c>
      <c r="C41" s="31" t="n">
        <f aca="false">C31-C39</f>
        <v>29.49553873649</v>
      </c>
      <c r="D41" s="31" t="n">
        <f aca="false">D31-D39</f>
        <v>30.5609476092412</v>
      </c>
      <c r="E41" s="31" t="n">
        <f aca="false">E31-E39</f>
        <v>32.0220140601085</v>
      </c>
      <c r="F41" s="31" t="n">
        <f aca="false">F31-F39</f>
        <v>30.5495010933536</v>
      </c>
      <c r="G41" s="31" t="n">
        <f aca="false">G31-G39</f>
        <v>31.2259553259982</v>
      </c>
      <c r="H41" s="31" t="n">
        <f aca="false">H31-H39</f>
        <v>32.8269607091162</v>
      </c>
      <c r="I41" s="31" t="n">
        <f aca="false">I31-I39</f>
        <v>32.5234314134036</v>
      </c>
      <c r="J41" s="31" t="n">
        <f aca="false">J31-J39</f>
        <v>31.8979246925128</v>
      </c>
      <c r="K41" s="31" t="n">
        <f aca="false">K31-K39</f>
        <v>30.0058384006757</v>
      </c>
      <c r="L41" s="31" t="n">
        <f aca="false">L31-L39</f>
        <v>30.6389694543853</v>
      </c>
      <c r="M41" s="31" t="n">
        <f aca="false">M31-M39</f>
        <v>31.5873259184687</v>
      </c>
      <c r="N41" s="31" t="n">
        <f aca="false">N31-N39</f>
        <v>34.1147509336772</v>
      </c>
      <c r="O41" s="43" t="n">
        <f aca="false">SUM(C41:N41)</f>
        <v>377.449158347431</v>
      </c>
      <c r="P41" s="43" t="n">
        <f aca="false">SUM(C41:G41)</f>
        <v>153.853956825192</v>
      </c>
      <c r="Q41" s="8" t="s">
        <v>820</v>
      </c>
      <c r="R41" s="8" t="s">
        <v>368</v>
      </c>
    </row>
    <row r="42" customFormat="false" ht="15" hidden="false" customHeight="false" outlineLevel="0" collapsed="false">
      <c r="A42" s="8" t="s">
        <v>369</v>
      </c>
      <c r="B42" s="8" t="s">
        <v>285</v>
      </c>
      <c r="C42" s="36" t="n">
        <f aca="false">IFERROR(C41/C31,0)</f>
        <v>0.621000413133661</v>
      </c>
      <c r="D42" s="36" t="n">
        <f aca="false">IFERROR(D41/D31,0)</f>
        <v>0.630300323229569</v>
      </c>
      <c r="E42" s="36" t="n">
        <f aca="false">IFERROR(E41/E31,0)</f>
        <v>0.634534531224204</v>
      </c>
      <c r="F42" s="36" t="n">
        <f aca="false">IFERROR(F41/F31,0)</f>
        <v>0.636559753729759</v>
      </c>
      <c r="G42" s="36" t="n">
        <f aca="false">IFERROR(G41/G31,0)</f>
        <v>0.637510480152047</v>
      </c>
      <c r="H42" s="36" t="n">
        <f aca="false">IFERROR(H41/H31,0)</f>
        <v>0.637975682546623</v>
      </c>
      <c r="I42" s="36" t="n">
        <f aca="false">IFERROR(I41/I31,0)</f>
        <v>0.638213408781172</v>
      </c>
      <c r="J42" s="36" t="n">
        <f aca="false">IFERROR(J41/J31,0)</f>
        <v>0.638333803951348</v>
      </c>
      <c r="K42" s="36" t="n">
        <f aca="false">IFERROR(K41/K31,0)</f>
        <v>0.638394225303516</v>
      </c>
      <c r="L42" s="36" t="n">
        <f aca="false">IFERROR(L41/L31,0)</f>
        <v>0.63842400538123</v>
      </c>
      <c r="M42" s="36" t="n">
        <f aca="false">IFERROR(M41/M31,0)</f>
        <v>0.638439355713605</v>
      </c>
      <c r="N42" s="36" t="n">
        <f aca="false">IFERROR(N41/N31,0)</f>
        <v>0.638447570379521</v>
      </c>
      <c r="O42" s="59" t="n">
        <f aca="false">IFERROR(O41/O31,0)</f>
        <v>0.635746538796329</v>
      </c>
      <c r="P42" s="59" t="n">
        <f aca="false">IFERROR(P41/P31,0)</f>
        <v>0.63204842920536</v>
      </c>
      <c r="Q42" s="8" t="s">
        <v>820</v>
      </c>
      <c r="R42" s="8"/>
    </row>
    <row r="44" customFormat="false" ht="15" hidden="false" customHeight="false" outlineLevel="0" collapsed="false">
      <c r="A44" s="16" t="s">
        <v>830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</row>
    <row r="45" customFormat="false" ht="15" hidden="false" customHeight="false" outlineLevel="0" collapsed="false">
      <c r="A45" s="8" t="s">
        <v>685</v>
      </c>
      <c r="B45" s="8" t="s">
        <v>355</v>
      </c>
      <c r="C45" s="35" t="n">
        <f aca="false">Assumptions!$D$51*(1+$C$9+Assumptions!$D$47)*Assumptions!C$72/12</f>
        <v>32.4277015128047</v>
      </c>
      <c r="D45" s="35" t="n">
        <f aca="false">Assumptions!$D$51*(1+$C$9+Assumptions!$D$47)*Assumptions!D$72/12</f>
        <v>33.1032786276548</v>
      </c>
      <c r="E45" s="35" t="n">
        <f aca="false">Assumptions!$D$51*(1+$C$9+Assumptions!$D$47)*Assumptions!E$72/12</f>
        <v>34.454432857355</v>
      </c>
      <c r="F45" s="35" t="n">
        <f aca="false">Assumptions!$D$51*(1+$C$9+Assumptions!$D$47)*Assumptions!F$72/12</f>
        <v>32.7654900702298</v>
      </c>
      <c r="G45" s="35" t="n">
        <f aca="false">Assumptions!$D$51*(1+$C$9+Assumptions!$D$47)*Assumptions!G$72/12</f>
        <v>33.4410671850799</v>
      </c>
      <c r="H45" s="35" t="n">
        <f aca="false">Assumptions!$D$51*(1+$C$9+Assumptions!$D$47)*Assumptions!H$72/12</f>
        <v>35.1300099722051</v>
      </c>
      <c r="I45" s="35" t="n">
        <f aca="false">Assumptions!$D$51*(1+$C$9+Assumptions!$D$47)*Assumptions!I$72/12</f>
        <v>34.7922214147801</v>
      </c>
      <c r="J45" s="35" t="n">
        <f aca="false">Assumptions!$D$51*(1+$C$9+Assumptions!$D$47)*Assumptions!J$72/12</f>
        <v>34.11664429993</v>
      </c>
      <c r="K45" s="35" t="n">
        <f aca="false">Assumptions!$D$51*(1+$C$9+Assumptions!$D$47)*Assumptions!K$72/12</f>
        <v>32.0899129553797</v>
      </c>
      <c r="L45" s="35" t="n">
        <f aca="false">Assumptions!$D$51*(1+$C$9+Assumptions!$D$47)*Assumptions!L$72/12</f>
        <v>32.7654900702298</v>
      </c>
      <c r="M45" s="35" t="n">
        <f aca="false">Assumptions!$D$51*(1+$C$9+Assumptions!$D$47)*Assumptions!M$72/12</f>
        <v>33.7788557425049</v>
      </c>
      <c r="N45" s="35" t="n">
        <f aca="false">Assumptions!$D$51*(1+$C$9+Assumptions!$D$47)*Assumptions!N$72/12</f>
        <v>36.4811642019053</v>
      </c>
      <c r="O45" s="58" t="n">
        <f aca="false">SUM(C45:N45)</f>
        <v>405.346268910059</v>
      </c>
      <c r="P45" s="58" t="n">
        <f aca="false">SUM(C45:G45)</f>
        <v>166.191970253124</v>
      </c>
      <c r="Q45" s="8" t="s">
        <v>820</v>
      </c>
      <c r="R45" s="8"/>
    </row>
    <row r="46" customFormat="false" ht="15" hidden="false" customHeight="false" outlineLevel="0" collapsed="false">
      <c r="A46" s="8" t="s">
        <v>345</v>
      </c>
      <c r="B46" s="8" t="s">
        <v>355</v>
      </c>
      <c r="C46" s="35" t="n">
        <f aca="false">Assumptions!$D$46</f>
        <v>46</v>
      </c>
      <c r="D46" s="35" t="n">
        <f aca="false">Assumptions!$D$46</f>
        <v>46</v>
      </c>
      <c r="E46" s="35" t="n">
        <f aca="false">Assumptions!$D$46</f>
        <v>46</v>
      </c>
      <c r="F46" s="35" t="n">
        <f aca="false">Assumptions!$D$46</f>
        <v>46</v>
      </c>
      <c r="G46" s="35" t="n">
        <f aca="false">Assumptions!$D$46</f>
        <v>46</v>
      </c>
      <c r="H46" s="35" t="n">
        <f aca="false">Assumptions!$D$46</f>
        <v>46</v>
      </c>
      <c r="I46" s="35" t="n">
        <f aca="false">Assumptions!$D$46</f>
        <v>46</v>
      </c>
      <c r="J46" s="35" t="n">
        <f aca="false">Assumptions!$D$46</f>
        <v>46</v>
      </c>
      <c r="K46" s="35" t="n">
        <f aca="false">Assumptions!$D$46</f>
        <v>46</v>
      </c>
      <c r="L46" s="35" t="n">
        <f aca="false">Assumptions!$D$46</f>
        <v>46</v>
      </c>
      <c r="M46" s="35" t="n">
        <f aca="false">Assumptions!$D$46</f>
        <v>46</v>
      </c>
      <c r="N46" s="35" t="n">
        <f aca="false">Assumptions!$D$46</f>
        <v>46</v>
      </c>
      <c r="O46" s="58" t="n">
        <f aca="false">SUM(C46:N46)</f>
        <v>552</v>
      </c>
      <c r="P46" s="58" t="n">
        <f aca="false">SUM(C46:G46)</f>
        <v>230</v>
      </c>
      <c r="Q46" s="8" t="s">
        <v>820</v>
      </c>
      <c r="R46" s="8"/>
    </row>
    <row r="47" customFormat="false" ht="15" hidden="false" customHeight="false" outlineLevel="0" collapsed="false">
      <c r="A47" s="8" t="s">
        <v>688</v>
      </c>
      <c r="B47" s="8" t="s">
        <v>285</v>
      </c>
      <c r="C47" s="36" t="n">
        <f aca="false">$C$12</f>
        <v>0.8</v>
      </c>
      <c r="D47" s="36" t="n">
        <f aca="false">$C$12</f>
        <v>0.8</v>
      </c>
      <c r="E47" s="36" t="n">
        <f aca="false">$C$12</f>
        <v>0.8</v>
      </c>
      <c r="F47" s="36" t="n">
        <f aca="false">$C$12</f>
        <v>0.8</v>
      </c>
      <c r="G47" s="36" t="n">
        <f aca="false">$C$12</f>
        <v>0.8</v>
      </c>
      <c r="H47" s="36" t="n">
        <f aca="false">$C$12</f>
        <v>0.8</v>
      </c>
      <c r="I47" s="36" t="n">
        <f aca="false">$C$12</f>
        <v>0.8</v>
      </c>
      <c r="J47" s="36" t="n">
        <f aca="false">$C$12</f>
        <v>0.8</v>
      </c>
      <c r="K47" s="36" t="n">
        <f aca="false">$C$12</f>
        <v>0.8</v>
      </c>
      <c r="L47" s="36" t="n">
        <f aca="false">$C$12</f>
        <v>0.8</v>
      </c>
      <c r="M47" s="36" t="n">
        <f aca="false">$C$12</f>
        <v>0.8</v>
      </c>
      <c r="N47" s="36" t="n">
        <f aca="false">$C$12</f>
        <v>0.8</v>
      </c>
      <c r="O47" s="59" t="n">
        <f aca="false">IFERROR(O48/O46,0)</f>
        <v>0.8</v>
      </c>
      <c r="P47" s="59" t="n">
        <f aca="false">IFERROR(P48/P46,0)</f>
        <v>0.8</v>
      </c>
      <c r="Q47" s="8" t="s">
        <v>820</v>
      </c>
      <c r="R47" s="8"/>
    </row>
    <row r="48" customFormat="false" ht="15" hidden="false" customHeight="false" outlineLevel="0" collapsed="false">
      <c r="A48" s="8" t="s">
        <v>357</v>
      </c>
      <c r="B48" s="8" t="s">
        <v>355</v>
      </c>
      <c r="C48" s="35" t="n">
        <f aca="false">C46*C47</f>
        <v>36.8</v>
      </c>
      <c r="D48" s="35" t="n">
        <f aca="false">D46*D47</f>
        <v>36.8</v>
      </c>
      <c r="E48" s="35" t="n">
        <f aca="false">E46*E47</f>
        <v>36.8</v>
      </c>
      <c r="F48" s="35" t="n">
        <f aca="false">F46*F47</f>
        <v>36.8</v>
      </c>
      <c r="G48" s="35" t="n">
        <f aca="false">G46*G47</f>
        <v>36.8</v>
      </c>
      <c r="H48" s="35" t="n">
        <f aca="false">H46*H47</f>
        <v>36.8</v>
      </c>
      <c r="I48" s="35" t="n">
        <f aca="false">I46*I47</f>
        <v>36.8</v>
      </c>
      <c r="J48" s="35" t="n">
        <f aca="false">J46*J47</f>
        <v>36.8</v>
      </c>
      <c r="K48" s="35" t="n">
        <f aca="false">K46*K47</f>
        <v>36.8</v>
      </c>
      <c r="L48" s="35" t="n">
        <f aca="false">L46*L47</f>
        <v>36.8</v>
      </c>
      <c r="M48" s="35" t="n">
        <f aca="false">M46*M47</f>
        <v>36.8</v>
      </c>
      <c r="N48" s="35" t="n">
        <f aca="false">N46*N47</f>
        <v>36.8</v>
      </c>
      <c r="O48" s="58" t="n">
        <f aca="false">SUM(C48:N48)</f>
        <v>441.6</v>
      </c>
      <c r="P48" s="58" t="n">
        <f aca="false">SUM(C48:G48)</f>
        <v>184</v>
      </c>
      <c r="Q48" s="8" t="s">
        <v>820</v>
      </c>
      <c r="R48" s="8" t="s">
        <v>690</v>
      </c>
    </row>
    <row r="49" customFormat="false" ht="15" hidden="false" customHeight="false" outlineLevel="0" collapsed="false">
      <c r="A49" s="8" t="s">
        <v>691</v>
      </c>
      <c r="B49" s="8" t="s">
        <v>285</v>
      </c>
      <c r="C49" s="36" t="n">
        <f aca="false">MIN(1,MAX(0,Assumptions!$D$43+$C$11))</f>
        <v>0.94</v>
      </c>
      <c r="D49" s="36" t="n">
        <f aca="false">MIN(1,MAX(0,Assumptions!$D$43+$C$11))</f>
        <v>0.94</v>
      </c>
      <c r="E49" s="36" t="n">
        <f aca="false">MIN(1,MAX(0,Assumptions!$D$43+$C$11))</f>
        <v>0.94</v>
      </c>
      <c r="F49" s="36" t="n">
        <f aca="false">MIN(1,MAX(0,Assumptions!$D$43+$C$11))</f>
        <v>0.94</v>
      </c>
      <c r="G49" s="36" t="n">
        <f aca="false">MIN(1,MAX(0,Assumptions!$D$43+$C$11))</f>
        <v>0.94</v>
      </c>
      <c r="H49" s="36" t="n">
        <f aca="false">MIN(1,MAX(0,Assumptions!$D$43+$C$11))</f>
        <v>0.94</v>
      </c>
      <c r="I49" s="36" t="n">
        <f aca="false">MIN(1,MAX(0,Assumptions!$D$43+$C$11))</f>
        <v>0.94</v>
      </c>
      <c r="J49" s="36" t="n">
        <f aca="false">MIN(1,MAX(0,Assumptions!$D$43+$C$11))</f>
        <v>0.94</v>
      </c>
      <c r="K49" s="36" t="n">
        <f aca="false">MIN(1,MAX(0,Assumptions!$D$43+$C$11))</f>
        <v>0.94</v>
      </c>
      <c r="L49" s="36" t="n">
        <f aca="false">MIN(1,MAX(0,Assumptions!$D$43+$C$11))</f>
        <v>0.94</v>
      </c>
      <c r="M49" s="36" t="n">
        <f aca="false">MIN(1,MAX(0,Assumptions!$D$43+$C$11))</f>
        <v>0.94</v>
      </c>
      <c r="N49" s="36" t="n">
        <f aca="false">MIN(1,MAX(0,Assumptions!$D$43+$C$11))</f>
        <v>0.94</v>
      </c>
      <c r="O49" s="59" t="n">
        <f aca="false">IFERROR(O50/O48,0)</f>
        <v>0.94</v>
      </c>
      <c r="P49" s="59" t="n">
        <f aca="false">IFERROR(P50/P48,0)</f>
        <v>0.94</v>
      </c>
      <c r="Q49" s="8" t="s">
        <v>820</v>
      </c>
      <c r="R49" s="8"/>
    </row>
    <row r="50" customFormat="false" ht="15" hidden="false" customHeight="false" outlineLevel="0" collapsed="false">
      <c r="A50" s="8" t="s">
        <v>693</v>
      </c>
      <c r="B50" s="8" t="s">
        <v>355</v>
      </c>
      <c r="C50" s="35" t="n">
        <f aca="false">C48*C49</f>
        <v>34.592</v>
      </c>
      <c r="D50" s="35" t="n">
        <f aca="false">D48*D49</f>
        <v>34.592</v>
      </c>
      <c r="E50" s="35" t="n">
        <f aca="false">E48*E49</f>
        <v>34.592</v>
      </c>
      <c r="F50" s="35" t="n">
        <f aca="false">F48*F49</f>
        <v>34.592</v>
      </c>
      <c r="G50" s="35" t="n">
        <f aca="false">G48*G49</f>
        <v>34.592</v>
      </c>
      <c r="H50" s="35" t="n">
        <f aca="false">H48*H49</f>
        <v>34.592</v>
      </c>
      <c r="I50" s="35" t="n">
        <f aca="false">I48*I49</f>
        <v>34.592</v>
      </c>
      <c r="J50" s="35" t="n">
        <f aca="false">J48*J49</f>
        <v>34.592</v>
      </c>
      <c r="K50" s="35" t="n">
        <f aca="false">K48*K49</f>
        <v>34.592</v>
      </c>
      <c r="L50" s="35" t="n">
        <f aca="false">L48*L49</f>
        <v>34.592</v>
      </c>
      <c r="M50" s="35" t="n">
        <f aca="false">M48*M49</f>
        <v>34.592</v>
      </c>
      <c r="N50" s="35" t="n">
        <f aca="false">N48*N49</f>
        <v>34.592</v>
      </c>
      <c r="O50" s="58" t="n">
        <f aca="false">SUM(C50:N50)</f>
        <v>415.104</v>
      </c>
      <c r="P50" s="58" t="n">
        <f aca="false">SUM(C50:G50)</f>
        <v>172.96</v>
      </c>
      <c r="Q50" s="8" t="s">
        <v>820</v>
      </c>
      <c r="R50" s="8" t="s">
        <v>694</v>
      </c>
    </row>
    <row r="51" customFormat="false" ht="15" hidden="false" customHeight="false" outlineLevel="0" collapsed="false">
      <c r="A51" s="8" t="s">
        <v>412</v>
      </c>
      <c r="B51" s="8" t="s">
        <v>355</v>
      </c>
      <c r="C51" s="35" t="n">
        <f aca="false">Assumptions!$D$67</f>
        <v>29.3729180369608</v>
      </c>
      <c r="D51" s="35" t="n">
        <f aca="false">C54</f>
        <v>31.5372165241561</v>
      </c>
      <c r="E51" s="35" t="n">
        <f aca="false">D54</f>
        <v>33.0259378965013</v>
      </c>
      <c r="F51" s="35" t="n">
        <f aca="false">E54</f>
        <v>33.1635050391462</v>
      </c>
      <c r="G51" s="35" t="n">
        <f aca="false">F54</f>
        <v>34.9900149689164</v>
      </c>
      <c r="H51" s="35" t="n">
        <f aca="false">G54</f>
        <v>36.1409477838366</v>
      </c>
      <c r="I51" s="35" t="n">
        <f aca="false">H54</f>
        <v>35.6029378116314</v>
      </c>
      <c r="J51" s="35" t="n">
        <f aca="false">I54</f>
        <v>35.4027163968514</v>
      </c>
      <c r="K51" s="35" t="n">
        <f aca="false">J54</f>
        <v>35.8780720969214</v>
      </c>
      <c r="L51" s="35" t="n">
        <f aca="false">K54</f>
        <v>38.3801591415417</v>
      </c>
      <c r="M51" s="35" t="n">
        <f aca="false">L54</f>
        <v>40.2066690713119</v>
      </c>
      <c r="N51" s="35" t="n">
        <f aca="false">M54</f>
        <v>41.019813328807</v>
      </c>
      <c r="O51" s="58" t="n">
        <f aca="false">C51</f>
        <v>29.3729180369608</v>
      </c>
      <c r="P51" s="58" t="n">
        <f aca="false">C51</f>
        <v>29.3729180369608</v>
      </c>
      <c r="Q51" s="8" t="s">
        <v>820</v>
      </c>
      <c r="R51" s="8"/>
    </row>
    <row r="52" customFormat="false" ht="15" hidden="false" customHeight="false" outlineLevel="0" collapsed="false">
      <c r="A52" s="8" t="s">
        <v>696</v>
      </c>
      <c r="B52" s="8" t="s">
        <v>355</v>
      </c>
      <c r="C52" s="35" t="n">
        <f aca="false">C51+C50</f>
        <v>63.9649180369608</v>
      </c>
      <c r="D52" s="35" t="n">
        <f aca="false">D51+D50</f>
        <v>66.1292165241561</v>
      </c>
      <c r="E52" s="35" t="n">
        <f aca="false">E51+E50</f>
        <v>67.6179378965013</v>
      </c>
      <c r="F52" s="35" t="n">
        <f aca="false">F51+F50</f>
        <v>67.7555050391462</v>
      </c>
      <c r="G52" s="35" t="n">
        <f aca="false">G51+G50</f>
        <v>69.5820149689164</v>
      </c>
      <c r="H52" s="35" t="n">
        <f aca="false">H51+H50</f>
        <v>70.7329477838366</v>
      </c>
      <c r="I52" s="35" t="n">
        <f aca="false">I51+I50</f>
        <v>70.1949378116314</v>
      </c>
      <c r="J52" s="35" t="n">
        <f aca="false">J51+J50</f>
        <v>69.9947163968514</v>
      </c>
      <c r="K52" s="35" t="n">
        <f aca="false">K51+K50</f>
        <v>70.4700720969214</v>
      </c>
      <c r="L52" s="35" t="n">
        <f aca="false">L51+L50</f>
        <v>72.9721591415417</v>
      </c>
      <c r="M52" s="35" t="n">
        <f aca="false">M51+M50</f>
        <v>74.7986690713119</v>
      </c>
      <c r="N52" s="35" t="n">
        <f aca="false">N51+N50</f>
        <v>75.611813328807</v>
      </c>
      <c r="Q52" s="8" t="s">
        <v>820</v>
      </c>
      <c r="R52" s="8"/>
    </row>
    <row r="53" customFormat="false" ht="15" hidden="false" customHeight="false" outlineLevel="0" collapsed="false">
      <c r="A53" s="7" t="s">
        <v>354</v>
      </c>
      <c r="B53" s="8" t="s">
        <v>355</v>
      </c>
      <c r="C53" s="35" t="n">
        <f aca="false">MIN(C45,C52)</f>
        <v>32.4277015128047</v>
      </c>
      <c r="D53" s="35" t="n">
        <f aca="false">MIN(D45,D52)</f>
        <v>33.1032786276548</v>
      </c>
      <c r="E53" s="35" t="n">
        <f aca="false">MIN(E45,E52)</f>
        <v>34.454432857355</v>
      </c>
      <c r="F53" s="35" t="n">
        <f aca="false">MIN(F45,F52)</f>
        <v>32.7654900702298</v>
      </c>
      <c r="G53" s="35" t="n">
        <f aca="false">MIN(G45,G52)</f>
        <v>33.4410671850799</v>
      </c>
      <c r="H53" s="35" t="n">
        <f aca="false">MIN(H45,H52)</f>
        <v>35.1300099722051</v>
      </c>
      <c r="I53" s="35" t="n">
        <f aca="false">MIN(I45,I52)</f>
        <v>34.7922214147801</v>
      </c>
      <c r="J53" s="35" t="n">
        <f aca="false">MIN(J45,J52)</f>
        <v>34.11664429993</v>
      </c>
      <c r="K53" s="35" t="n">
        <f aca="false">MIN(K45,K52)</f>
        <v>32.0899129553797</v>
      </c>
      <c r="L53" s="35" t="n">
        <f aca="false">MIN(L45,L52)</f>
        <v>32.7654900702298</v>
      </c>
      <c r="M53" s="35" t="n">
        <f aca="false">MIN(M45,M52)</f>
        <v>33.7788557425049</v>
      </c>
      <c r="N53" s="35" t="n">
        <f aca="false">MIN(N45,N52)</f>
        <v>36.4811642019053</v>
      </c>
      <c r="O53" s="58" t="n">
        <f aca="false">SUM(C53:N53)</f>
        <v>405.346268910059</v>
      </c>
      <c r="P53" s="58" t="n">
        <f aca="false">SUM(C53:G53)</f>
        <v>166.191970253124</v>
      </c>
      <c r="Q53" s="8" t="s">
        <v>820</v>
      </c>
      <c r="R53" s="8" t="s">
        <v>821</v>
      </c>
    </row>
    <row r="54" customFormat="false" ht="15" hidden="false" customHeight="false" outlineLevel="0" collapsed="false">
      <c r="A54" s="8" t="s">
        <v>699</v>
      </c>
      <c r="B54" s="8" t="s">
        <v>355</v>
      </c>
      <c r="C54" s="35" t="n">
        <f aca="false">C52-C53</f>
        <v>31.5372165241561</v>
      </c>
      <c r="D54" s="35" t="n">
        <f aca="false">D52-D53</f>
        <v>33.0259378965013</v>
      </c>
      <c r="E54" s="35" t="n">
        <f aca="false">E52-E53</f>
        <v>33.1635050391462</v>
      </c>
      <c r="F54" s="35" t="n">
        <f aca="false">F52-F53</f>
        <v>34.9900149689164</v>
      </c>
      <c r="G54" s="35" t="n">
        <f aca="false">G52-G53</f>
        <v>36.1409477838366</v>
      </c>
      <c r="H54" s="35" t="n">
        <f aca="false">H52-H53</f>
        <v>35.6029378116314</v>
      </c>
      <c r="I54" s="35" t="n">
        <f aca="false">I52-I53</f>
        <v>35.4027163968514</v>
      </c>
      <c r="J54" s="35" t="n">
        <f aca="false">J52-J53</f>
        <v>35.8780720969214</v>
      </c>
      <c r="K54" s="35" t="n">
        <f aca="false">K52-K53</f>
        <v>38.3801591415417</v>
      </c>
      <c r="L54" s="35" t="n">
        <f aca="false">L52-L53</f>
        <v>40.2066690713119</v>
      </c>
      <c r="M54" s="35" t="n">
        <f aca="false">M52-M53</f>
        <v>41.019813328807</v>
      </c>
      <c r="N54" s="35" t="n">
        <f aca="false">N52-N53</f>
        <v>39.1306491269017</v>
      </c>
      <c r="O54" s="58" t="n">
        <f aca="false">N54</f>
        <v>39.1306491269017</v>
      </c>
      <c r="P54" s="58" t="n">
        <f aca="false">G54</f>
        <v>36.1409477838366</v>
      </c>
      <c r="Q54" s="8" t="s">
        <v>820</v>
      </c>
      <c r="R54" s="8" t="s">
        <v>822</v>
      </c>
    </row>
    <row r="55" customFormat="false" ht="15" hidden="false" customHeight="false" outlineLevel="0" collapsed="false">
      <c r="A55" s="8" t="s">
        <v>823</v>
      </c>
      <c r="B55" s="8" t="s">
        <v>355</v>
      </c>
      <c r="C55" s="35" t="n">
        <f aca="false">C45-C53</f>
        <v>0</v>
      </c>
      <c r="D55" s="35" t="n">
        <f aca="false">D45-D53</f>
        <v>0</v>
      </c>
      <c r="E55" s="35" t="n">
        <f aca="false">E45-E53</f>
        <v>0</v>
      </c>
      <c r="F55" s="35" t="n">
        <f aca="false">F45-F53</f>
        <v>0</v>
      </c>
      <c r="G55" s="35" t="n">
        <f aca="false">G45-G53</f>
        <v>0</v>
      </c>
      <c r="H55" s="35" t="n">
        <f aca="false">H45-H53</f>
        <v>0</v>
      </c>
      <c r="I55" s="35" t="n">
        <f aca="false">I45-I53</f>
        <v>0</v>
      </c>
      <c r="J55" s="35" t="n">
        <f aca="false">J45-J53</f>
        <v>0</v>
      </c>
      <c r="K55" s="35" t="n">
        <f aca="false">K45-K53</f>
        <v>0</v>
      </c>
      <c r="L55" s="35" t="n">
        <f aca="false">L45-L53</f>
        <v>0</v>
      </c>
      <c r="M55" s="35" t="n">
        <f aca="false">M45-M53</f>
        <v>0</v>
      </c>
      <c r="N55" s="35" t="n">
        <f aca="false">N45-N53</f>
        <v>0</v>
      </c>
      <c r="O55" s="58" t="n">
        <f aca="false">SUM(C55:N55)</f>
        <v>0</v>
      </c>
      <c r="P55" s="58" t="n">
        <f aca="false">SUM(C55:G55)</f>
        <v>0</v>
      </c>
      <c r="Q55" s="8" t="s">
        <v>820</v>
      </c>
      <c r="R55" s="8"/>
    </row>
    <row r="56" customFormat="false" ht="15" hidden="false" customHeight="false" outlineLevel="0" collapsed="false">
      <c r="A56" s="8" t="s">
        <v>705</v>
      </c>
      <c r="B56" s="8" t="s">
        <v>336</v>
      </c>
      <c r="C56" s="37" t="n">
        <f aca="false">Assumptions!$D$42*(1+$C$10)</f>
        <v>0.792</v>
      </c>
      <c r="D56" s="37" t="n">
        <f aca="false">Assumptions!$D$42*(1+$C$10)</f>
        <v>0.792</v>
      </c>
      <c r="E56" s="37" t="n">
        <f aca="false">Assumptions!$D$42*(1+$C$10)</f>
        <v>0.792</v>
      </c>
      <c r="F56" s="37" t="n">
        <f aca="false">Assumptions!$D$42*(1+$C$10)</f>
        <v>0.792</v>
      </c>
      <c r="G56" s="37" t="n">
        <f aca="false">Assumptions!$D$42*(1+$C$10)</f>
        <v>0.792</v>
      </c>
      <c r="H56" s="37" t="n">
        <f aca="false">Assumptions!$D$42*(1+$C$10)</f>
        <v>0.792</v>
      </c>
      <c r="I56" s="37" t="n">
        <f aca="false">Assumptions!$D$42*(1+$C$10)</f>
        <v>0.792</v>
      </c>
      <c r="J56" s="37" t="n">
        <f aca="false">Assumptions!$D$42*(1+$C$10)</f>
        <v>0.792</v>
      </c>
      <c r="K56" s="37" t="n">
        <f aca="false">Assumptions!$D$42*(1+$C$10)</f>
        <v>0.792</v>
      </c>
      <c r="L56" s="37" t="n">
        <f aca="false">Assumptions!$D$42*(1+$C$10)</f>
        <v>0.792</v>
      </c>
      <c r="M56" s="37" t="n">
        <f aca="false">Assumptions!$D$42*(1+$C$10)</f>
        <v>0.792</v>
      </c>
      <c r="N56" s="37" t="n">
        <f aca="false">Assumptions!$D$42*(1+$C$10)</f>
        <v>0.792</v>
      </c>
      <c r="O56" s="62" t="n">
        <f aca="false">IFERROR(O57/O53,0)</f>
        <v>0.792</v>
      </c>
      <c r="P56" s="62" t="n">
        <f aca="false">IFERROR(P57/P53,0)</f>
        <v>0.792</v>
      </c>
      <c r="Q56" s="8" t="s">
        <v>820</v>
      </c>
      <c r="R56" s="8"/>
    </row>
    <row r="57" customFormat="false" ht="15" hidden="false" customHeight="false" outlineLevel="0" collapsed="false">
      <c r="A57" s="7" t="s">
        <v>22</v>
      </c>
      <c r="B57" s="8" t="s">
        <v>318</v>
      </c>
      <c r="C57" s="31" t="n">
        <f aca="false">C53*C56</f>
        <v>25.6827395981413</v>
      </c>
      <c r="D57" s="31" t="n">
        <f aca="false">D53*D56</f>
        <v>26.2177966731026</v>
      </c>
      <c r="E57" s="31" t="n">
        <f aca="false">E53*E56</f>
        <v>27.2879108230252</v>
      </c>
      <c r="F57" s="31" t="n">
        <f aca="false">F53*F56</f>
        <v>25.950268135622</v>
      </c>
      <c r="G57" s="31" t="n">
        <f aca="false">G53*G56</f>
        <v>26.4853252105833</v>
      </c>
      <c r="H57" s="31" t="n">
        <f aca="false">H53*H56</f>
        <v>27.8229678979865</v>
      </c>
      <c r="I57" s="31" t="n">
        <f aca="false">I53*I56</f>
        <v>27.5554393605058</v>
      </c>
      <c r="J57" s="31" t="n">
        <f aca="false">J53*J56</f>
        <v>27.0203822855445</v>
      </c>
      <c r="K57" s="31" t="n">
        <f aca="false">K53*K56</f>
        <v>25.4152110606607</v>
      </c>
      <c r="L57" s="31" t="n">
        <f aca="false">L53*L56</f>
        <v>25.950268135622</v>
      </c>
      <c r="M57" s="31" t="n">
        <f aca="false">M53*M56</f>
        <v>26.7528537480639</v>
      </c>
      <c r="N57" s="31" t="n">
        <f aca="false">N53*N56</f>
        <v>28.893082047909</v>
      </c>
      <c r="O57" s="43" t="n">
        <f aca="false">SUM(C57:N57)</f>
        <v>321.034244976767</v>
      </c>
      <c r="P57" s="43" t="n">
        <f aca="false">SUM(C57:G57)</f>
        <v>131.624040440474</v>
      </c>
      <c r="Q57" s="8" t="s">
        <v>820</v>
      </c>
      <c r="R57" s="8" t="s">
        <v>707</v>
      </c>
    </row>
    <row r="58" customFormat="false" ht="15" hidden="false" customHeight="false" outlineLevel="0" collapsed="false">
      <c r="A58" s="8" t="s">
        <v>708</v>
      </c>
      <c r="B58" s="8" t="s">
        <v>336</v>
      </c>
      <c r="C58" s="37" t="n">
        <f aca="false">Assumptions!$D$44*(1+$C$13)</f>
        <v>0.1545</v>
      </c>
      <c r="D58" s="37" t="n">
        <f aca="false">Assumptions!$D$44*(1+$C$13)</f>
        <v>0.1545</v>
      </c>
      <c r="E58" s="37" t="n">
        <f aca="false">Assumptions!$D$44*(1+$C$13)</f>
        <v>0.1545</v>
      </c>
      <c r="F58" s="37" t="n">
        <f aca="false">Assumptions!$D$44*(1+$C$13)</f>
        <v>0.1545</v>
      </c>
      <c r="G58" s="37" t="n">
        <f aca="false">Assumptions!$D$44*(1+$C$13)</f>
        <v>0.1545</v>
      </c>
      <c r="H58" s="37" t="n">
        <f aca="false">Assumptions!$D$44*(1+$C$13)</f>
        <v>0.1545</v>
      </c>
      <c r="I58" s="37" t="n">
        <f aca="false">Assumptions!$D$44*(1+$C$13)</f>
        <v>0.1545</v>
      </c>
      <c r="J58" s="37" t="n">
        <f aca="false">Assumptions!$D$44*(1+$C$13)</f>
        <v>0.1545</v>
      </c>
      <c r="K58" s="37" t="n">
        <f aca="false">Assumptions!$D$44*(1+$C$13)</f>
        <v>0.1545</v>
      </c>
      <c r="L58" s="37" t="n">
        <f aca="false">Assumptions!$D$44*(1+$C$13)</f>
        <v>0.1545</v>
      </c>
      <c r="M58" s="37" t="n">
        <f aca="false">Assumptions!$D$44*(1+$C$13)</f>
        <v>0.1545</v>
      </c>
      <c r="N58" s="37" t="n">
        <f aca="false">Assumptions!$D$44*(1+$C$13)</f>
        <v>0.1545</v>
      </c>
      <c r="O58" s="62" t="n">
        <f aca="false">IFERROR(O59/O48,0)</f>
        <v>0.1545</v>
      </c>
      <c r="P58" s="62" t="n">
        <f aca="false">IFERROR(P59/P48,0)</f>
        <v>0.1545</v>
      </c>
      <c r="Q58" s="8" t="s">
        <v>820</v>
      </c>
      <c r="R58" s="8"/>
    </row>
    <row r="59" customFormat="false" ht="15" hidden="false" customHeight="false" outlineLevel="0" collapsed="false">
      <c r="A59" s="8" t="s">
        <v>361</v>
      </c>
      <c r="B59" s="8" t="s">
        <v>318</v>
      </c>
      <c r="C59" s="31" t="n">
        <f aca="false">C48*C58</f>
        <v>5.6856</v>
      </c>
      <c r="D59" s="31" t="n">
        <f aca="false">D48*D58</f>
        <v>5.6856</v>
      </c>
      <c r="E59" s="31" t="n">
        <f aca="false">E48*E58</f>
        <v>5.6856</v>
      </c>
      <c r="F59" s="31" t="n">
        <f aca="false">F48*F58</f>
        <v>5.6856</v>
      </c>
      <c r="G59" s="31" t="n">
        <f aca="false">G48*G58</f>
        <v>5.6856</v>
      </c>
      <c r="H59" s="31" t="n">
        <f aca="false">H48*H58</f>
        <v>5.6856</v>
      </c>
      <c r="I59" s="31" t="n">
        <f aca="false">I48*I58</f>
        <v>5.6856</v>
      </c>
      <c r="J59" s="31" t="n">
        <f aca="false">J48*J58</f>
        <v>5.6856</v>
      </c>
      <c r="K59" s="31" t="n">
        <f aca="false">K48*K58</f>
        <v>5.6856</v>
      </c>
      <c r="L59" s="31" t="n">
        <f aca="false">L48*L58</f>
        <v>5.6856</v>
      </c>
      <c r="M59" s="31" t="n">
        <f aca="false">M48*M58</f>
        <v>5.6856</v>
      </c>
      <c r="N59" s="31" t="n">
        <f aca="false">N48*N58</f>
        <v>5.6856</v>
      </c>
      <c r="O59" s="43" t="n">
        <f aca="false">SUM(C59:N59)</f>
        <v>68.2272</v>
      </c>
      <c r="P59" s="43" t="n">
        <f aca="false">SUM(C59:G59)</f>
        <v>28.428</v>
      </c>
      <c r="Q59" s="8" t="s">
        <v>820</v>
      </c>
      <c r="R59" s="8" t="s">
        <v>824</v>
      </c>
    </row>
    <row r="60" customFormat="false" ht="15" hidden="false" customHeight="false" outlineLevel="0" collapsed="false">
      <c r="A60" s="8" t="s">
        <v>363</v>
      </c>
      <c r="B60" s="8" t="s">
        <v>318</v>
      </c>
      <c r="C60" s="31" t="n">
        <f aca="false">Assumptions!$D$45</f>
        <v>5.2</v>
      </c>
      <c r="D60" s="31" t="n">
        <f aca="false">Assumptions!$D$45</f>
        <v>5.2</v>
      </c>
      <c r="E60" s="31" t="n">
        <f aca="false">Assumptions!$D$45</f>
        <v>5.2</v>
      </c>
      <c r="F60" s="31" t="n">
        <f aca="false">Assumptions!$D$45</f>
        <v>5.2</v>
      </c>
      <c r="G60" s="31" t="n">
        <f aca="false">Assumptions!$D$45</f>
        <v>5.2</v>
      </c>
      <c r="H60" s="31" t="n">
        <f aca="false">Assumptions!$D$45</f>
        <v>5.2</v>
      </c>
      <c r="I60" s="31" t="n">
        <f aca="false">Assumptions!$D$45</f>
        <v>5.2</v>
      </c>
      <c r="J60" s="31" t="n">
        <f aca="false">Assumptions!$D$45</f>
        <v>5.2</v>
      </c>
      <c r="K60" s="31" t="n">
        <f aca="false">Assumptions!$D$45</f>
        <v>5.2</v>
      </c>
      <c r="L60" s="31" t="n">
        <f aca="false">Assumptions!$D$45</f>
        <v>5.2</v>
      </c>
      <c r="M60" s="31" t="n">
        <f aca="false">Assumptions!$D$45</f>
        <v>5.2</v>
      </c>
      <c r="N60" s="31" t="n">
        <f aca="false">Assumptions!$D$45</f>
        <v>5.2</v>
      </c>
      <c r="O60" s="43" t="n">
        <f aca="false">SUM(C60:N60)</f>
        <v>62.4</v>
      </c>
      <c r="P60" s="43" t="n">
        <f aca="false">SUM(C60:G60)</f>
        <v>26</v>
      </c>
      <c r="Q60" s="8" t="s">
        <v>820</v>
      </c>
      <c r="R60" s="8"/>
    </row>
    <row r="61" customFormat="false" ht="15" hidden="false" customHeight="false" outlineLevel="0" collapsed="false">
      <c r="A61" s="8" t="s">
        <v>711</v>
      </c>
      <c r="B61" s="8" t="s">
        <v>318</v>
      </c>
      <c r="C61" s="31" t="n">
        <f aca="false">C59+C60</f>
        <v>10.8856</v>
      </c>
      <c r="D61" s="31" t="n">
        <f aca="false">D59+D60</f>
        <v>10.8856</v>
      </c>
      <c r="E61" s="31" t="n">
        <f aca="false">E59+E60</f>
        <v>10.8856</v>
      </c>
      <c r="F61" s="31" t="n">
        <f aca="false">F59+F60</f>
        <v>10.8856</v>
      </c>
      <c r="G61" s="31" t="n">
        <f aca="false">G59+G60</f>
        <v>10.8856</v>
      </c>
      <c r="H61" s="31" t="n">
        <f aca="false">H59+H60</f>
        <v>10.8856</v>
      </c>
      <c r="I61" s="31" t="n">
        <f aca="false">I59+I60</f>
        <v>10.8856</v>
      </c>
      <c r="J61" s="31" t="n">
        <f aca="false">J59+J60</f>
        <v>10.8856</v>
      </c>
      <c r="K61" s="31" t="n">
        <f aca="false">K59+K60</f>
        <v>10.8856</v>
      </c>
      <c r="L61" s="31" t="n">
        <f aca="false">L59+L60</f>
        <v>10.8856</v>
      </c>
      <c r="M61" s="31" t="n">
        <f aca="false">M59+M60</f>
        <v>10.8856</v>
      </c>
      <c r="N61" s="31" t="n">
        <f aca="false">N59+N60</f>
        <v>10.8856</v>
      </c>
      <c r="O61" s="43" t="n">
        <f aca="false">SUM(C61:N61)</f>
        <v>130.6272</v>
      </c>
      <c r="P61" s="43" t="n">
        <f aca="false">SUM(C61:G61)</f>
        <v>54.428</v>
      </c>
      <c r="Q61" s="8" t="s">
        <v>820</v>
      </c>
      <c r="R61" s="8" t="s">
        <v>825</v>
      </c>
    </row>
    <row r="62" customFormat="false" ht="15" hidden="false" customHeight="false" outlineLevel="0" collapsed="false">
      <c r="A62" s="8" t="s">
        <v>371</v>
      </c>
      <c r="B62" s="8" t="s">
        <v>336</v>
      </c>
      <c r="C62" s="37" t="n">
        <f aca="false">IFERROR(C61/C50,0)</f>
        <v>0.314685476410731</v>
      </c>
      <c r="D62" s="37" t="n">
        <f aca="false">IFERROR(D61/D50,0)</f>
        <v>0.314685476410731</v>
      </c>
      <c r="E62" s="37" t="n">
        <f aca="false">IFERROR(E61/E50,0)</f>
        <v>0.314685476410731</v>
      </c>
      <c r="F62" s="37" t="n">
        <f aca="false">IFERROR(F61/F50,0)</f>
        <v>0.314685476410731</v>
      </c>
      <c r="G62" s="37" t="n">
        <f aca="false">IFERROR(G61/G50,0)</f>
        <v>0.314685476410731</v>
      </c>
      <c r="H62" s="37" t="n">
        <f aca="false">IFERROR(H61/H50,0)</f>
        <v>0.314685476410731</v>
      </c>
      <c r="I62" s="37" t="n">
        <f aca="false">IFERROR(I61/I50,0)</f>
        <v>0.314685476410731</v>
      </c>
      <c r="J62" s="37" t="n">
        <f aca="false">IFERROR(J61/J50,0)</f>
        <v>0.314685476410731</v>
      </c>
      <c r="K62" s="37" t="n">
        <f aca="false">IFERROR(K61/K50,0)</f>
        <v>0.314685476410731</v>
      </c>
      <c r="L62" s="37" t="n">
        <f aca="false">IFERROR(L61/L50,0)</f>
        <v>0.314685476410731</v>
      </c>
      <c r="M62" s="37" t="n">
        <f aca="false">IFERROR(M61/M50,0)</f>
        <v>0.314685476410731</v>
      </c>
      <c r="N62" s="37" t="n">
        <f aca="false">IFERROR(N61/N50,0)</f>
        <v>0.314685476410731</v>
      </c>
      <c r="O62" s="62" t="n">
        <f aca="false">IFERROR(O61/O50,0)</f>
        <v>0.314685476410731</v>
      </c>
      <c r="P62" s="62" t="n">
        <f aca="false">IFERROR(P61/P50,0)</f>
        <v>0.314685476410731</v>
      </c>
      <c r="Q62" s="8" t="s">
        <v>820</v>
      </c>
      <c r="R62" s="8"/>
    </row>
    <row r="63" customFormat="false" ht="15" hidden="false" customHeight="false" outlineLevel="0" collapsed="false">
      <c r="A63" s="8" t="s">
        <v>713</v>
      </c>
      <c r="B63" s="8" t="s">
        <v>318</v>
      </c>
      <c r="C63" s="31" t="n">
        <f aca="false">Assumptions!$D$68</f>
        <v>9.88716777185545</v>
      </c>
      <c r="D63" s="31" t="n">
        <f aca="false">C66</f>
        <v>10.2417902677288</v>
      </c>
      <c r="E63" s="31" t="n">
        <f aca="false">D66</f>
        <v>10.5513404750876</v>
      </c>
      <c r="F63" s="31" t="n">
        <f aca="false">E66</f>
        <v>10.5138385698424</v>
      </c>
      <c r="G63" s="31" t="n">
        <f aca="false">F66</f>
        <v>11.0510087033163</v>
      </c>
      <c r="H63" s="31" t="n">
        <f aca="false">G66</f>
        <v>11.3938900742551</v>
      </c>
      <c r="I63" s="31" t="n">
        <f aca="false">H66</f>
        <v>11.2142265300843</v>
      </c>
      <c r="J63" s="31" t="n">
        <f aca="false">I66</f>
        <v>11.1460158731637</v>
      </c>
      <c r="K63" s="31" t="n">
        <f aca="false">J66</f>
        <v>11.2930224365421</v>
      </c>
      <c r="L63" s="31" t="n">
        <f aca="false">K66</f>
        <v>12.0791569147812</v>
      </c>
      <c r="M63" s="31" t="n">
        <f aca="false">L66</f>
        <v>12.6532693076104</v>
      </c>
      <c r="N63" s="31" t="n">
        <f aca="false">M66</f>
        <v>12.9087861717006</v>
      </c>
      <c r="O63" s="43" t="n">
        <f aca="false">C63</f>
        <v>9.88716777185545</v>
      </c>
      <c r="P63" s="43" t="n">
        <f aca="false">C63</f>
        <v>9.88716777185545</v>
      </c>
      <c r="Q63" s="8" t="s">
        <v>820</v>
      </c>
      <c r="R63" s="8"/>
    </row>
    <row r="64" customFormat="false" ht="15" hidden="false" customHeight="false" outlineLevel="0" collapsed="false">
      <c r="A64" s="8" t="s">
        <v>715</v>
      </c>
      <c r="B64" s="8" t="s">
        <v>336</v>
      </c>
      <c r="C64" s="37" t="n">
        <f aca="false">IFERROR((C63+C61)/C52,0)</f>
        <v>0.324752511366501</v>
      </c>
      <c r="D64" s="37" t="n">
        <f aca="false">IFERROR((D63+D61)/D52,0)</f>
        <v>0.319486474786999</v>
      </c>
      <c r="E64" s="37" t="n">
        <f aca="false">IFERROR((E63+E61)/E52,0)</f>
        <v>0.317030378949145</v>
      </c>
      <c r="F64" s="37" t="n">
        <f aca="false">IFERROR((F63+F61)/F52,0)</f>
        <v>0.315833208792094</v>
      </c>
      <c r="G64" s="37" t="n">
        <f aca="false">IFERROR((G63+G61)/G52,0)</f>
        <v>0.315262625164214</v>
      </c>
      <c r="H64" s="37" t="n">
        <f aca="false">IFERROR((H63+H61)/H52,0)</f>
        <v>0.314980370142955</v>
      </c>
      <c r="I64" s="37" t="n">
        <f aca="false">IFERROR((I63+I61)/I52,0)</f>
        <v>0.31483504678627</v>
      </c>
      <c r="J64" s="37" t="n">
        <f aca="false">IFERROR((J63+J61)/J52,0)</f>
        <v>0.314761127800709</v>
      </c>
      <c r="K64" s="37" t="n">
        <f aca="false">IFERROR((K63+K61)/K52,0)</f>
        <v>0.314723992421047</v>
      </c>
      <c r="L64" s="37" t="n">
        <f aca="false">IFERROR((L63+L61)/L52,0)</f>
        <v>0.314705734144952</v>
      </c>
      <c r="M64" s="37" t="n">
        <f aca="false">IFERROR((M63+M61)/M52,0)</f>
        <v>0.314696365588654</v>
      </c>
      <c r="N64" s="37" t="n">
        <f aca="false">IFERROR((N63+N61)/N52,0)</f>
        <v>0.314691383848022</v>
      </c>
      <c r="Q64" s="8" t="s">
        <v>820</v>
      </c>
      <c r="R64" s="8" t="s">
        <v>826</v>
      </c>
    </row>
    <row r="65" customFormat="false" ht="15" hidden="false" customHeight="false" outlineLevel="0" collapsed="false">
      <c r="A65" s="8" t="s">
        <v>827</v>
      </c>
      <c r="B65" s="8" t="s">
        <v>318</v>
      </c>
      <c r="C65" s="31" t="n">
        <f aca="false">C53*C64</f>
        <v>10.5309775041266</v>
      </c>
      <c r="D65" s="31" t="n">
        <f aca="false">D53*D64</f>
        <v>10.5760497926413</v>
      </c>
      <c r="E65" s="31" t="n">
        <f aca="false">E53*E64</f>
        <v>10.9231019052451</v>
      </c>
      <c r="F65" s="31" t="n">
        <f aca="false">F53*F64</f>
        <v>10.3484298665262</v>
      </c>
      <c r="G65" s="31" t="n">
        <f aca="false">G53*G64</f>
        <v>10.5427186290612</v>
      </c>
      <c r="H65" s="31" t="n">
        <f aca="false">H53*H64</f>
        <v>11.0652635441709</v>
      </c>
      <c r="I65" s="31" t="n">
        <f aca="false">I53*I64</f>
        <v>10.9538106569205</v>
      </c>
      <c r="J65" s="31" t="n">
        <f aca="false">J53*J64</f>
        <v>10.7385934366216</v>
      </c>
      <c r="K65" s="31" t="n">
        <f aca="false">K53*K64</f>
        <v>10.099465521761</v>
      </c>
      <c r="L65" s="31" t="n">
        <f aca="false">L53*L64</f>
        <v>10.3114876071708</v>
      </c>
      <c r="M65" s="31" t="n">
        <f aca="false">M53*M64</f>
        <v>10.6300831359097</v>
      </c>
      <c r="N65" s="31" t="n">
        <f aca="false">N53*N64</f>
        <v>11.4803080470845</v>
      </c>
      <c r="O65" s="43" t="n">
        <f aca="false">SUM(C65:N65)</f>
        <v>128.200289647239</v>
      </c>
      <c r="P65" s="43" t="n">
        <f aca="false">SUM(C65:G65)</f>
        <v>52.9212776976003</v>
      </c>
      <c r="Q65" s="8" t="s">
        <v>820</v>
      </c>
      <c r="R65" s="8" t="s">
        <v>717</v>
      </c>
    </row>
    <row r="66" customFormat="false" ht="15" hidden="false" customHeight="false" outlineLevel="0" collapsed="false">
      <c r="A66" s="8" t="s">
        <v>718</v>
      </c>
      <c r="B66" s="8" t="s">
        <v>318</v>
      </c>
      <c r="C66" s="31" t="n">
        <f aca="false">C63+C61-C65</f>
        <v>10.2417902677288</v>
      </c>
      <c r="D66" s="31" t="n">
        <f aca="false">D63+D61-D65</f>
        <v>10.5513404750876</v>
      </c>
      <c r="E66" s="31" t="n">
        <f aca="false">E63+E61-E65</f>
        <v>10.5138385698424</v>
      </c>
      <c r="F66" s="31" t="n">
        <f aca="false">F63+F61-F65</f>
        <v>11.0510087033163</v>
      </c>
      <c r="G66" s="31" t="n">
        <f aca="false">G63+G61-G65</f>
        <v>11.3938900742551</v>
      </c>
      <c r="H66" s="31" t="n">
        <f aca="false">H63+H61-H65</f>
        <v>11.2142265300843</v>
      </c>
      <c r="I66" s="31" t="n">
        <f aca="false">I63+I61-I65</f>
        <v>11.1460158731637</v>
      </c>
      <c r="J66" s="31" t="n">
        <f aca="false">J63+J61-J65</f>
        <v>11.2930224365421</v>
      </c>
      <c r="K66" s="31" t="n">
        <f aca="false">K63+K61-K65</f>
        <v>12.0791569147812</v>
      </c>
      <c r="L66" s="31" t="n">
        <f aca="false">L63+L61-L65</f>
        <v>12.6532693076104</v>
      </c>
      <c r="M66" s="31" t="n">
        <f aca="false">M63+M61-M65</f>
        <v>12.9087861717006</v>
      </c>
      <c r="N66" s="31" t="n">
        <f aca="false">N63+N61-N65</f>
        <v>12.3140781246161</v>
      </c>
      <c r="O66" s="43" t="n">
        <f aca="false">N66</f>
        <v>12.3140781246161</v>
      </c>
      <c r="P66" s="43" t="n">
        <f aca="false">G66</f>
        <v>11.3938900742551</v>
      </c>
      <c r="Q66" s="8" t="s">
        <v>820</v>
      </c>
      <c r="R66" s="8" t="s">
        <v>828</v>
      </c>
    </row>
    <row r="67" customFormat="false" ht="15" hidden="false" customHeight="false" outlineLevel="0" collapsed="false">
      <c r="A67" s="7" t="s">
        <v>829</v>
      </c>
      <c r="B67" s="8" t="s">
        <v>318</v>
      </c>
      <c r="C67" s="31" t="n">
        <f aca="false">C57-C65</f>
        <v>15.1517620940147</v>
      </c>
      <c r="D67" s="31" t="n">
        <f aca="false">D57-D65</f>
        <v>15.6417468804614</v>
      </c>
      <c r="E67" s="31" t="n">
        <f aca="false">E57-E65</f>
        <v>16.36480891778</v>
      </c>
      <c r="F67" s="31" t="n">
        <f aca="false">F57-F65</f>
        <v>15.6018382690958</v>
      </c>
      <c r="G67" s="31" t="n">
        <f aca="false">G57-G65</f>
        <v>15.9426065815221</v>
      </c>
      <c r="H67" s="31" t="n">
        <f aca="false">H57-H65</f>
        <v>16.7577043538156</v>
      </c>
      <c r="I67" s="31" t="n">
        <f aca="false">I57-I65</f>
        <v>16.6016287035853</v>
      </c>
      <c r="J67" s="31" t="n">
        <f aca="false">J57-J65</f>
        <v>16.2817888489229</v>
      </c>
      <c r="K67" s="31" t="n">
        <f aca="false">K57-K65</f>
        <v>15.3157455388997</v>
      </c>
      <c r="L67" s="31" t="n">
        <f aca="false">L57-L65</f>
        <v>15.6387805284512</v>
      </c>
      <c r="M67" s="31" t="n">
        <f aca="false">M57-M65</f>
        <v>16.1227706121542</v>
      </c>
      <c r="N67" s="31" t="n">
        <f aca="false">N57-N65</f>
        <v>17.4127740008245</v>
      </c>
      <c r="O67" s="43" t="n">
        <f aca="false">SUM(C67:N67)</f>
        <v>192.833955329527</v>
      </c>
      <c r="P67" s="43" t="n">
        <f aca="false">SUM(C67:G67)</f>
        <v>78.7027627428741</v>
      </c>
      <c r="Q67" s="8" t="s">
        <v>820</v>
      </c>
      <c r="R67" s="8" t="s">
        <v>368</v>
      </c>
    </row>
    <row r="68" customFormat="false" ht="15" hidden="false" customHeight="false" outlineLevel="0" collapsed="false">
      <c r="A68" s="8" t="s">
        <v>369</v>
      </c>
      <c r="B68" s="8" t="s">
        <v>285</v>
      </c>
      <c r="C68" s="36" t="n">
        <f aca="false">IFERROR(C67/C57,0)</f>
        <v>0.589958950294822</v>
      </c>
      <c r="D68" s="36" t="n">
        <f aca="false">IFERROR(D67/D57,0)</f>
        <v>0.596607986380051</v>
      </c>
      <c r="E68" s="36" t="n">
        <f aca="false">IFERROR(E67/E57,0)</f>
        <v>0.599709117488453</v>
      </c>
      <c r="F68" s="36" t="n">
        <f aca="false">IFERROR(F67/F57,0)</f>
        <v>0.601220695969579</v>
      </c>
      <c r="G68" s="36" t="n">
        <f aca="false">IFERROR(G67/G57,0)</f>
        <v>0.601941129843164</v>
      </c>
      <c r="H68" s="36" t="n">
        <f aca="false">IFERROR(H67/H57,0)</f>
        <v>0.602297512445765</v>
      </c>
      <c r="I68" s="36" t="n">
        <f aca="false">IFERROR(I67/I57,0)</f>
        <v>0.602481001532488</v>
      </c>
      <c r="J68" s="36" t="n">
        <f aca="false">IFERROR(J67/J57,0)</f>
        <v>0.602574333584963</v>
      </c>
      <c r="K68" s="36" t="n">
        <f aca="false">IFERROR(K67/K57,0)</f>
        <v>0.602621221690597</v>
      </c>
      <c r="L68" s="36" t="n">
        <f aca="false">IFERROR(L67/L57,0)</f>
        <v>0.602644275069505</v>
      </c>
      <c r="M68" s="36" t="n">
        <f aca="false">IFERROR(M67/M57,0)</f>
        <v>0.602656104054729</v>
      </c>
      <c r="N68" s="36" t="n">
        <f aca="false">IFERROR(N67/N57,0)</f>
        <v>0.602662394131285</v>
      </c>
      <c r="O68" s="59" t="n">
        <f aca="false">IFERROR(O67/O57,0)</f>
        <v>0.60066475258265</v>
      </c>
      <c r="P68" s="59" t="n">
        <f aca="false">IFERROR(P67/P57,0)</f>
        <v>0.597936079757911</v>
      </c>
      <c r="Q68" s="8" t="s">
        <v>820</v>
      </c>
      <c r="R68" s="8"/>
    </row>
    <row r="70" customFormat="false" ht="15" hidden="false" customHeight="false" outlineLevel="0" collapsed="false">
      <c r="A70" s="16" t="s">
        <v>831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</row>
    <row r="71" customFormat="false" ht="15" hidden="false" customHeight="false" outlineLevel="0" collapsed="false">
      <c r="A71" s="8" t="s">
        <v>685</v>
      </c>
      <c r="B71" s="8" t="s">
        <v>355</v>
      </c>
      <c r="C71" s="35" t="n">
        <f aca="false">Assumptions!$E$51*(1+$C$9+Assumptions!$E$47)*Assumptions!C$72/12</f>
        <v>0.873055950436019</v>
      </c>
      <c r="D71" s="35" t="n">
        <f aca="false">Assumptions!$E$51*(1+$C$9+Assumptions!$E$47)*Assumptions!D$72/12</f>
        <v>0.891244616070102</v>
      </c>
      <c r="E71" s="35" t="n">
        <f aca="false">Assumptions!$E$51*(1+$C$9+Assumptions!$E$47)*Assumptions!E$72/12</f>
        <v>0.92762194733827</v>
      </c>
      <c r="F71" s="35" t="n">
        <f aca="false">Assumptions!$E$51*(1+$C$9+Assumptions!$E$47)*Assumptions!F$72/12</f>
        <v>0.88215028325306</v>
      </c>
      <c r="G71" s="35" t="n">
        <f aca="false">Assumptions!$E$51*(1+$C$9+Assumptions!$E$47)*Assumptions!G$72/12</f>
        <v>0.900338948887144</v>
      </c>
      <c r="H71" s="35" t="n">
        <f aca="false">Assumptions!$E$51*(1+$C$9+Assumptions!$E$47)*Assumptions!H$72/12</f>
        <v>0.945810612972354</v>
      </c>
      <c r="I71" s="35" t="n">
        <f aca="false">Assumptions!$E$51*(1+$C$9+Assumptions!$E$47)*Assumptions!I$72/12</f>
        <v>0.936716280155312</v>
      </c>
      <c r="J71" s="35" t="n">
        <f aca="false">Assumptions!$E$51*(1+$C$9+Assumptions!$E$47)*Assumptions!J$72/12</f>
        <v>0.918527614521228</v>
      </c>
      <c r="K71" s="35" t="n">
        <f aca="false">Assumptions!$E$51*(1+$C$9+Assumptions!$E$47)*Assumptions!K$72/12</f>
        <v>0.863961617618977</v>
      </c>
      <c r="L71" s="35" t="n">
        <f aca="false">Assumptions!$E$51*(1+$C$9+Assumptions!$E$47)*Assumptions!L$72/12</f>
        <v>0.88215028325306</v>
      </c>
      <c r="M71" s="35" t="n">
        <f aca="false">Assumptions!$E$51*(1+$C$9+Assumptions!$E$47)*Assumptions!M$72/12</f>
        <v>0.909433281704186</v>
      </c>
      <c r="N71" s="35" t="n">
        <f aca="false">Assumptions!$E$51*(1+$C$9+Assumptions!$E$47)*Assumptions!N$72/12</f>
        <v>0.982187944240521</v>
      </c>
      <c r="O71" s="58" t="n">
        <f aca="false">SUM(C71:N71)</f>
        <v>10.9131993804502</v>
      </c>
      <c r="P71" s="58" t="n">
        <f aca="false">SUM(C71:G71)</f>
        <v>4.4744117459846</v>
      </c>
      <c r="Q71" s="8" t="s">
        <v>820</v>
      </c>
      <c r="R71" s="8"/>
    </row>
    <row r="72" customFormat="false" ht="15" hidden="false" customHeight="false" outlineLevel="0" collapsed="false">
      <c r="A72" s="8" t="s">
        <v>345</v>
      </c>
      <c r="B72" s="8" t="s">
        <v>355</v>
      </c>
      <c r="C72" s="35" t="n">
        <f aca="false">Assumptions!$E$46</f>
        <v>1.3</v>
      </c>
      <c r="D72" s="35" t="n">
        <f aca="false">Assumptions!$E$46</f>
        <v>1.3</v>
      </c>
      <c r="E72" s="35" t="n">
        <f aca="false">Assumptions!$E$46</f>
        <v>1.3</v>
      </c>
      <c r="F72" s="35" t="n">
        <f aca="false">Assumptions!$E$46</f>
        <v>1.3</v>
      </c>
      <c r="G72" s="35" t="n">
        <f aca="false">Assumptions!$E$46</f>
        <v>1.3</v>
      </c>
      <c r="H72" s="35" t="n">
        <f aca="false">Assumptions!$E$46</f>
        <v>1.3</v>
      </c>
      <c r="I72" s="35" t="n">
        <f aca="false">Assumptions!$E$46</f>
        <v>1.3</v>
      </c>
      <c r="J72" s="35" t="n">
        <f aca="false">Assumptions!$E$46</f>
        <v>1.3</v>
      </c>
      <c r="K72" s="35" t="n">
        <f aca="false">Assumptions!$E$46</f>
        <v>1.3</v>
      </c>
      <c r="L72" s="35" t="n">
        <f aca="false">Assumptions!$E$46</f>
        <v>1.3</v>
      </c>
      <c r="M72" s="35" t="n">
        <f aca="false">Assumptions!$E$46</f>
        <v>1.3</v>
      </c>
      <c r="N72" s="35" t="n">
        <f aca="false">Assumptions!$E$46</f>
        <v>1.3</v>
      </c>
      <c r="O72" s="58" t="n">
        <f aca="false">SUM(C72:N72)</f>
        <v>15.6</v>
      </c>
      <c r="P72" s="58" t="n">
        <f aca="false">SUM(C72:G72)</f>
        <v>6.5</v>
      </c>
      <c r="Q72" s="8" t="s">
        <v>820</v>
      </c>
      <c r="R72" s="8"/>
    </row>
    <row r="73" customFormat="false" ht="15" hidden="false" customHeight="false" outlineLevel="0" collapsed="false">
      <c r="A73" s="8" t="s">
        <v>688</v>
      </c>
      <c r="B73" s="8" t="s">
        <v>285</v>
      </c>
      <c r="C73" s="36" t="n">
        <f aca="false">$C$12</f>
        <v>0.8</v>
      </c>
      <c r="D73" s="36" t="n">
        <f aca="false">$C$12</f>
        <v>0.8</v>
      </c>
      <c r="E73" s="36" t="n">
        <f aca="false">$C$12</f>
        <v>0.8</v>
      </c>
      <c r="F73" s="36" t="n">
        <f aca="false">$C$12</f>
        <v>0.8</v>
      </c>
      <c r="G73" s="36" t="n">
        <f aca="false">$C$12</f>
        <v>0.8</v>
      </c>
      <c r="H73" s="36" t="n">
        <f aca="false">$C$12</f>
        <v>0.8</v>
      </c>
      <c r="I73" s="36" t="n">
        <f aca="false">$C$12</f>
        <v>0.8</v>
      </c>
      <c r="J73" s="36" t="n">
        <f aca="false">$C$12</f>
        <v>0.8</v>
      </c>
      <c r="K73" s="36" t="n">
        <f aca="false">$C$12</f>
        <v>0.8</v>
      </c>
      <c r="L73" s="36" t="n">
        <f aca="false">$C$12</f>
        <v>0.8</v>
      </c>
      <c r="M73" s="36" t="n">
        <f aca="false">$C$12</f>
        <v>0.8</v>
      </c>
      <c r="N73" s="36" t="n">
        <f aca="false">$C$12</f>
        <v>0.8</v>
      </c>
      <c r="O73" s="59" t="n">
        <f aca="false">IFERROR(O74/O72,0)</f>
        <v>0.8</v>
      </c>
      <c r="P73" s="59" t="n">
        <f aca="false">IFERROR(P74/P72,0)</f>
        <v>0.8</v>
      </c>
      <c r="Q73" s="8" t="s">
        <v>820</v>
      </c>
      <c r="R73" s="8"/>
    </row>
    <row r="74" customFormat="false" ht="15" hidden="false" customHeight="false" outlineLevel="0" collapsed="false">
      <c r="A74" s="8" t="s">
        <v>357</v>
      </c>
      <c r="B74" s="8" t="s">
        <v>355</v>
      </c>
      <c r="C74" s="35" t="n">
        <f aca="false">C72*C73</f>
        <v>1.04</v>
      </c>
      <c r="D74" s="35" t="n">
        <f aca="false">D72*D73</f>
        <v>1.04</v>
      </c>
      <c r="E74" s="35" t="n">
        <f aca="false">E72*E73</f>
        <v>1.04</v>
      </c>
      <c r="F74" s="35" t="n">
        <f aca="false">F72*F73</f>
        <v>1.04</v>
      </c>
      <c r="G74" s="35" t="n">
        <f aca="false">G72*G73</f>
        <v>1.04</v>
      </c>
      <c r="H74" s="35" t="n">
        <f aca="false">H72*H73</f>
        <v>1.04</v>
      </c>
      <c r="I74" s="35" t="n">
        <f aca="false">I72*I73</f>
        <v>1.04</v>
      </c>
      <c r="J74" s="35" t="n">
        <f aca="false">J72*J73</f>
        <v>1.04</v>
      </c>
      <c r="K74" s="35" t="n">
        <f aca="false">K72*K73</f>
        <v>1.04</v>
      </c>
      <c r="L74" s="35" t="n">
        <f aca="false">L72*L73</f>
        <v>1.04</v>
      </c>
      <c r="M74" s="35" t="n">
        <f aca="false">M72*M73</f>
        <v>1.04</v>
      </c>
      <c r="N74" s="35" t="n">
        <f aca="false">N72*N73</f>
        <v>1.04</v>
      </c>
      <c r="O74" s="58" t="n">
        <f aca="false">SUM(C74:N74)</f>
        <v>12.48</v>
      </c>
      <c r="P74" s="58" t="n">
        <f aca="false">SUM(C74:G74)</f>
        <v>5.2</v>
      </c>
      <c r="Q74" s="8" t="s">
        <v>820</v>
      </c>
      <c r="R74" s="8" t="s">
        <v>690</v>
      </c>
    </row>
    <row r="75" customFormat="false" ht="15" hidden="false" customHeight="false" outlineLevel="0" collapsed="false">
      <c r="A75" s="8" t="s">
        <v>691</v>
      </c>
      <c r="B75" s="8" t="s">
        <v>285</v>
      </c>
      <c r="C75" s="36" t="n">
        <f aca="false">MIN(1,MAX(0,Assumptions!$E$43+$C$11))</f>
        <v>0.85</v>
      </c>
      <c r="D75" s="36" t="n">
        <f aca="false">MIN(1,MAX(0,Assumptions!$E$43+$C$11))</f>
        <v>0.85</v>
      </c>
      <c r="E75" s="36" t="n">
        <f aca="false">MIN(1,MAX(0,Assumptions!$E$43+$C$11))</f>
        <v>0.85</v>
      </c>
      <c r="F75" s="36" t="n">
        <f aca="false">MIN(1,MAX(0,Assumptions!$E$43+$C$11))</f>
        <v>0.85</v>
      </c>
      <c r="G75" s="36" t="n">
        <f aca="false">MIN(1,MAX(0,Assumptions!$E$43+$C$11))</f>
        <v>0.85</v>
      </c>
      <c r="H75" s="36" t="n">
        <f aca="false">MIN(1,MAX(0,Assumptions!$E$43+$C$11))</f>
        <v>0.85</v>
      </c>
      <c r="I75" s="36" t="n">
        <f aca="false">MIN(1,MAX(0,Assumptions!$E$43+$C$11))</f>
        <v>0.85</v>
      </c>
      <c r="J75" s="36" t="n">
        <f aca="false">MIN(1,MAX(0,Assumptions!$E$43+$C$11))</f>
        <v>0.85</v>
      </c>
      <c r="K75" s="36" t="n">
        <f aca="false">MIN(1,MAX(0,Assumptions!$E$43+$C$11))</f>
        <v>0.85</v>
      </c>
      <c r="L75" s="36" t="n">
        <f aca="false">MIN(1,MAX(0,Assumptions!$E$43+$C$11))</f>
        <v>0.85</v>
      </c>
      <c r="M75" s="36" t="n">
        <f aca="false">MIN(1,MAX(0,Assumptions!$E$43+$C$11))</f>
        <v>0.85</v>
      </c>
      <c r="N75" s="36" t="n">
        <f aca="false">MIN(1,MAX(0,Assumptions!$E$43+$C$11))</f>
        <v>0.85</v>
      </c>
      <c r="O75" s="59" t="n">
        <f aca="false">IFERROR(O76/O74,0)</f>
        <v>0.85</v>
      </c>
      <c r="P75" s="59" t="n">
        <f aca="false">IFERROR(P76/P74,0)</f>
        <v>0.85</v>
      </c>
      <c r="Q75" s="8" t="s">
        <v>820</v>
      </c>
      <c r="R75" s="8"/>
    </row>
    <row r="76" customFormat="false" ht="15" hidden="false" customHeight="false" outlineLevel="0" collapsed="false">
      <c r="A76" s="8" t="s">
        <v>693</v>
      </c>
      <c r="B76" s="8" t="s">
        <v>355</v>
      </c>
      <c r="C76" s="35" t="n">
        <f aca="false">C74*C75</f>
        <v>0.884</v>
      </c>
      <c r="D76" s="35" t="n">
        <f aca="false">D74*D75</f>
        <v>0.884</v>
      </c>
      <c r="E76" s="35" t="n">
        <f aca="false">E74*E75</f>
        <v>0.884</v>
      </c>
      <c r="F76" s="35" t="n">
        <f aca="false">F74*F75</f>
        <v>0.884</v>
      </c>
      <c r="G76" s="35" t="n">
        <f aca="false">G74*G75</f>
        <v>0.884</v>
      </c>
      <c r="H76" s="35" t="n">
        <f aca="false">H74*H75</f>
        <v>0.884</v>
      </c>
      <c r="I76" s="35" t="n">
        <f aca="false">I74*I75</f>
        <v>0.884</v>
      </c>
      <c r="J76" s="35" t="n">
        <f aca="false">J74*J75</f>
        <v>0.884</v>
      </c>
      <c r="K76" s="35" t="n">
        <f aca="false">K74*K75</f>
        <v>0.884</v>
      </c>
      <c r="L76" s="35" t="n">
        <f aca="false">L74*L75</f>
        <v>0.884</v>
      </c>
      <c r="M76" s="35" t="n">
        <f aca="false">M74*M75</f>
        <v>0.884</v>
      </c>
      <c r="N76" s="35" t="n">
        <f aca="false">N74*N75</f>
        <v>0.884</v>
      </c>
      <c r="O76" s="58" t="n">
        <f aca="false">SUM(C76:N76)</f>
        <v>10.608</v>
      </c>
      <c r="P76" s="58" t="n">
        <f aca="false">SUM(C76:G76)</f>
        <v>4.42</v>
      </c>
      <c r="Q76" s="8" t="s">
        <v>820</v>
      </c>
      <c r="R76" s="8" t="s">
        <v>694</v>
      </c>
    </row>
    <row r="77" customFormat="false" ht="15" hidden="false" customHeight="false" outlineLevel="0" collapsed="false">
      <c r="A77" s="8" t="s">
        <v>412</v>
      </c>
      <c r="B77" s="8" t="s">
        <v>355</v>
      </c>
      <c r="C77" s="35" t="n">
        <f aca="false">Assumptions!$E$67</f>
        <v>0.727546625363349</v>
      </c>
      <c r="D77" s="35" t="n">
        <f aca="false">C80</f>
        <v>0.73849067492733</v>
      </c>
      <c r="E77" s="35" t="n">
        <f aca="false">D80</f>
        <v>0.731246058857228</v>
      </c>
      <c r="F77" s="35" t="n">
        <f aca="false">E80</f>
        <v>0.687624111518958</v>
      </c>
      <c r="G77" s="35" t="n">
        <f aca="false">F80</f>
        <v>0.689473828265897</v>
      </c>
      <c r="H77" s="35" t="n">
        <f aca="false">G80</f>
        <v>0.673134879378753</v>
      </c>
      <c r="I77" s="35" t="n">
        <f aca="false">H80</f>
        <v>0.611324266406399</v>
      </c>
      <c r="J77" s="35" t="n">
        <f aca="false">I80</f>
        <v>0.558607986251087</v>
      </c>
      <c r="K77" s="35" t="n">
        <f aca="false">J80</f>
        <v>0.524080371729859</v>
      </c>
      <c r="L77" s="35" t="n">
        <f aca="false">K80</f>
        <v>0.544118754110883</v>
      </c>
      <c r="M77" s="35" t="n">
        <f aca="false">L80</f>
        <v>0.545968470857822</v>
      </c>
      <c r="N77" s="35" t="n">
        <f aca="false">M80</f>
        <v>0.520535189153636</v>
      </c>
      <c r="O77" s="58" t="n">
        <f aca="false">C77</f>
        <v>0.727546625363349</v>
      </c>
      <c r="P77" s="58" t="n">
        <f aca="false">C77</f>
        <v>0.727546625363349</v>
      </c>
      <c r="Q77" s="8" t="s">
        <v>820</v>
      </c>
      <c r="R77" s="8"/>
    </row>
    <row r="78" customFormat="false" ht="15" hidden="false" customHeight="false" outlineLevel="0" collapsed="false">
      <c r="A78" s="8" t="s">
        <v>696</v>
      </c>
      <c r="B78" s="8" t="s">
        <v>355</v>
      </c>
      <c r="C78" s="35" t="n">
        <f aca="false">C77+C76</f>
        <v>1.61154662536335</v>
      </c>
      <c r="D78" s="35" t="n">
        <f aca="false">D77+D76</f>
        <v>1.62249067492733</v>
      </c>
      <c r="E78" s="35" t="n">
        <f aca="false">E77+E76</f>
        <v>1.61524605885723</v>
      </c>
      <c r="F78" s="35" t="n">
        <f aca="false">F77+F76</f>
        <v>1.57162411151896</v>
      </c>
      <c r="G78" s="35" t="n">
        <f aca="false">G77+G76</f>
        <v>1.5734738282659</v>
      </c>
      <c r="H78" s="35" t="n">
        <f aca="false">H77+H76</f>
        <v>1.55713487937875</v>
      </c>
      <c r="I78" s="35" t="n">
        <f aca="false">I77+I76</f>
        <v>1.4953242664064</v>
      </c>
      <c r="J78" s="35" t="n">
        <f aca="false">J77+J76</f>
        <v>1.44260798625109</v>
      </c>
      <c r="K78" s="35" t="n">
        <f aca="false">K77+K76</f>
        <v>1.40808037172986</v>
      </c>
      <c r="L78" s="35" t="n">
        <f aca="false">L77+L76</f>
        <v>1.42811875411088</v>
      </c>
      <c r="M78" s="35" t="n">
        <f aca="false">M77+M76</f>
        <v>1.42996847085782</v>
      </c>
      <c r="N78" s="35" t="n">
        <f aca="false">N77+N76</f>
        <v>1.40453518915364</v>
      </c>
      <c r="Q78" s="8" t="s">
        <v>820</v>
      </c>
      <c r="R78" s="8"/>
    </row>
    <row r="79" customFormat="false" ht="15" hidden="false" customHeight="false" outlineLevel="0" collapsed="false">
      <c r="A79" s="7" t="s">
        <v>354</v>
      </c>
      <c r="B79" s="8" t="s">
        <v>355</v>
      </c>
      <c r="C79" s="35" t="n">
        <f aca="false">MIN(C71,C78)</f>
        <v>0.873055950436019</v>
      </c>
      <c r="D79" s="35" t="n">
        <f aca="false">MIN(D71,D78)</f>
        <v>0.891244616070102</v>
      </c>
      <c r="E79" s="35" t="n">
        <f aca="false">MIN(E71,E78)</f>
        <v>0.92762194733827</v>
      </c>
      <c r="F79" s="35" t="n">
        <f aca="false">MIN(F71,F78)</f>
        <v>0.88215028325306</v>
      </c>
      <c r="G79" s="35" t="n">
        <f aca="false">MIN(G71,G78)</f>
        <v>0.900338948887144</v>
      </c>
      <c r="H79" s="35" t="n">
        <f aca="false">MIN(H71,H78)</f>
        <v>0.945810612972354</v>
      </c>
      <c r="I79" s="35" t="n">
        <f aca="false">MIN(I71,I78)</f>
        <v>0.936716280155312</v>
      </c>
      <c r="J79" s="35" t="n">
        <f aca="false">MIN(J71,J78)</f>
        <v>0.918527614521228</v>
      </c>
      <c r="K79" s="35" t="n">
        <f aca="false">MIN(K71,K78)</f>
        <v>0.863961617618977</v>
      </c>
      <c r="L79" s="35" t="n">
        <f aca="false">MIN(L71,L78)</f>
        <v>0.88215028325306</v>
      </c>
      <c r="M79" s="35" t="n">
        <f aca="false">MIN(M71,M78)</f>
        <v>0.909433281704186</v>
      </c>
      <c r="N79" s="35" t="n">
        <f aca="false">MIN(N71,N78)</f>
        <v>0.982187944240521</v>
      </c>
      <c r="O79" s="58" t="n">
        <f aca="false">SUM(C79:N79)</f>
        <v>10.9131993804502</v>
      </c>
      <c r="P79" s="58" t="n">
        <f aca="false">SUM(C79:G79)</f>
        <v>4.4744117459846</v>
      </c>
      <c r="Q79" s="8" t="s">
        <v>820</v>
      </c>
      <c r="R79" s="8" t="s">
        <v>821</v>
      </c>
    </row>
    <row r="80" customFormat="false" ht="15" hidden="false" customHeight="false" outlineLevel="0" collapsed="false">
      <c r="A80" s="8" t="s">
        <v>699</v>
      </c>
      <c r="B80" s="8" t="s">
        <v>355</v>
      </c>
      <c r="C80" s="35" t="n">
        <f aca="false">C78-C79</f>
        <v>0.73849067492733</v>
      </c>
      <c r="D80" s="35" t="n">
        <f aca="false">D78-D79</f>
        <v>0.731246058857228</v>
      </c>
      <c r="E80" s="35" t="n">
        <f aca="false">E78-E79</f>
        <v>0.687624111518958</v>
      </c>
      <c r="F80" s="35" t="n">
        <f aca="false">F78-F79</f>
        <v>0.689473828265897</v>
      </c>
      <c r="G80" s="35" t="n">
        <f aca="false">G78-G79</f>
        <v>0.673134879378753</v>
      </c>
      <c r="H80" s="35" t="n">
        <f aca="false">H78-H79</f>
        <v>0.611324266406399</v>
      </c>
      <c r="I80" s="35" t="n">
        <f aca="false">I78-I79</f>
        <v>0.558607986251087</v>
      </c>
      <c r="J80" s="35" t="n">
        <f aca="false">J78-J79</f>
        <v>0.524080371729859</v>
      </c>
      <c r="K80" s="35" t="n">
        <f aca="false">K78-K79</f>
        <v>0.544118754110883</v>
      </c>
      <c r="L80" s="35" t="n">
        <f aca="false">L78-L79</f>
        <v>0.545968470857822</v>
      </c>
      <c r="M80" s="35" t="n">
        <f aca="false">M78-M79</f>
        <v>0.520535189153636</v>
      </c>
      <c r="N80" s="35" t="n">
        <f aca="false">N78-N79</f>
        <v>0.422347244913115</v>
      </c>
      <c r="O80" s="58" t="n">
        <f aca="false">N80</f>
        <v>0.422347244913115</v>
      </c>
      <c r="P80" s="58" t="n">
        <f aca="false">G80</f>
        <v>0.673134879378753</v>
      </c>
      <c r="Q80" s="8" t="s">
        <v>820</v>
      </c>
      <c r="R80" s="8" t="s">
        <v>822</v>
      </c>
    </row>
    <row r="81" customFormat="false" ht="15" hidden="false" customHeight="false" outlineLevel="0" collapsed="false">
      <c r="A81" s="8" t="s">
        <v>823</v>
      </c>
      <c r="B81" s="8" t="s">
        <v>355</v>
      </c>
      <c r="C81" s="35" t="n">
        <f aca="false">C71-C79</f>
        <v>0</v>
      </c>
      <c r="D81" s="35" t="n">
        <f aca="false">D71-D79</f>
        <v>0</v>
      </c>
      <c r="E81" s="35" t="n">
        <f aca="false">E71-E79</f>
        <v>0</v>
      </c>
      <c r="F81" s="35" t="n">
        <f aca="false">F71-F79</f>
        <v>0</v>
      </c>
      <c r="G81" s="35" t="n">
        <f aca="false">G71-G79</f>
        <v>0</v>
      </c>
      <c r="H81" s="35" t="n">
        <f aca="false">H71-H79</f>
        <v>0</v>
      </c>
      <c r="I81" s="35" t="n">
        <f aca="false">I71-I79</f>
        <v>0</v>
      </c>
      <c r="J81" s="35" t="n">
        <f aca="false">J71-J79</f>
        <v>0</v>
      </c>
      <c r="K81" s="35" t="n">
        <f aca="false">K71-K79</f>
        <v>0</v>
      </c>
      <c r="L81" s="35" t="n">
        <f aca="false">L71-L79</f>
        <v>0</v>
      </c>
      <c r="M81" s="35" t="n">
        <f aca="false">M71-M79</f>
        <v>0</v>
      </c>
      <c r="N81" s="35" t="n">
        <f aca="false">N71-N79</f>
        <v>0</v>
      </c>
      <c r="O81" s="58" t="n">
        <f aca="false">SUM(C81:N81)</f>
        <v>0</v>
      </c>
      <c r="P81" s="58" t="n">
        <f aca="false">SUM(C81:G81)</f>
        <v>0</v>
      </c>
      <c r="Q81" s="8" t="s">
        <v>820</v>
      </c>
      <c r="R81" s="8"/>
    </row>
    <row r="82" customFormat="false" ht="15" hidden="false" customHeight="false" outlineLevel="0" collapsed="false">
      <c r="A82" s="8" t="s">
        <v>705</v>
      </c>
      <c r="B82" s="8" t="s">
        <v>336</v>
      </c>
      <c r="C82" s="37" t="n">
        <f aca="false">Assumptions!$E$42*(1+$C$10)</f>
        <v>24.75</v>
      </c>
      <c r="D82" s="37" t="n">
        <f aca="false">Assumptions!$E$42*(1+$C$10)</f>
        <v>24.75</v>
      </c>
      <c r="E82" s="37" t="n">
        <f aca="false">Assumptions!$E$42*(1+$C$10)</f>
        <v>24.75</v>
      </c>
      <c r="F82" s="37" t="n">
        <f aca="false">Assumptions!$E$42*(1+$C$10)</f>
        <v>24.75</v>
      </c>
      <c r="G82" s="37" t="n">
        <f aca="false">Assumptions!$E$42*(1+$C$10)</f>
        <v>24.75</v>
      </c>
      <c r="H82" s="37" t="n">
        <f aca="false">Assumptions!$E$42*(1+$C$10)</f>
        <v>24.75</v>
      </c>
      <c r="I82" s="37" t="n">
        <f aca="false">Assumptions!$E$42*(1+$C$10)</f>
        <v>24.75</v>
      </c>
      <c r="J82" s="37" t="n">
        <f aca="false">Assumptions!$E$42*(1+$C$10)</f>
        <v>24.75</v>
      </c>
      <c r="K82" s="37" t="n">
        <f aca="false">Assumptions!$E$42*(1+$C$10)</f>
        <v>24.75</v>
      </c>
      <c r="L82" s="37" t="n">
        <f aca="false">Assumptions!$E$42*(1+$C$10)</f>
        <v>24.75</v>
      </c>
      <c r="M82" s="37" t="n">
        <f aca="false">Assumptions!$E$42*(1+$C$10)</f>
        <v>24.75</v>
      </c>
      <c r="N82" s="37" t="n">
        <f aca="false">Assumptions!$E$42*(1+$C$10)</f>
        <v>24.75</v>
      </c>
      <c r="O82" s="62" t="n">
        <f aca="false">IFERROR(O83/O79,0)</f>
        <v>24.75</v>
      </c>
      <c r="P82" s="62" t="n">
        <f aca="false">IFERROR(P83/P79,0)</f>
        <v>24.75</v>
      </c>
      <c r="Q82" s="8" t="s">
        <v>820</v>
      </c>
      <c r="R82" s="8"/>
    </row>
    <row r="83" customFormat="false" ht="15" hidden="false" customHeight="false" outlineLevel="0" collapsed="false">
      <c r="A83" s="7" t="s">
        <v>22</v>
      </c>
      <c r="B83" s="8" t="s">
        <v>318</v>
      </c>
      <c r="C83" s="31" t="n">
        <f aca="false">C79*C82</f>
        <v>21.6081347732915</v>
      </c>
      <c r="D83" s="31" t="n">
        <f aca="false">D79*D82</f>
        <v>22.058304247735</v>
      </c>
      <c r="E83" s="31" t="n">
        <f aca="false">E79*E82</f>
        <v>22.9586431966222</v>
      </c>
      <c r="F83" s="31" t="n">
        <f aca="false">F79*F82</f>
        <v>21.8332195105132</v>
      </c>
      <c r="G83" s="31" t="n">
        <f aca="false">G79*G82</f>
        <v>22.2833889849568</v>
      </c>
      <c r="H83" s="31" t="n">
        <f aca="false">H79*H82</f>
        <v>23.4088126710658</v>
      </c>
      <c r="I83" s="31" t="n">
        <f aca="false">I79*I82</f>
        <v>23.183727933844</v>
      </c>
      <c r="J83" s="31" t="n">
        <f aca="false">J79*J82</f>
        <v>22.7335584594004</v>
      </c>
      <c r="K83" s="31" t="n">
        <f aca="false">K79*K82</f>
        <v>21.3830500360697</v>
      </c>
      <c r="L83" s="31" t="n">
        <f aca="false">L79*L82</f>
        <v>21.8332195105132</v>
      </c>
      <c r="M83" s="31" t="n">
        <f aca="false">M79*M82</f>
        <v>22.5084737221786</v>
      </c>
      <c r="N83" s="31" t="n">
        <f aca="false">N79*N82</f>
        <v>24.3091516199529</v>
      </c>
      <c r="O83" s="43" t="n">
        <f aca="false">SUM(C83:N83)</f>
        <v>270.101684666143</v>
      </c>
      <c r="P83" s="43" t="n">
        <f aca="false">SUM(C83:G83)</f>
        <v>110.741690713119</v>
      </c>
      <c r="Q83" s="8" t="s">
        <v>820</v>
      </c>
      <c r="R83" s="8" t="s">
        <v>707</v>
      </c>
    </row>
    <row r="84" customFormat="false" ht="15" hidden="false" customHeight="false" outlineLevel="0" collapsed="false">
      <c r="A84" s="8" t="s">
        <v>708</v>
      </c>
      <c r="B84" s="8" t="s">
        <v>336</v>
      </c>
      <c r="C84" s="37" t="n">
        <f aca="false">Assumptions!$E$44*(1+$C$13)</f>
        <v>4.841</v>
      </c>
      <c r="D84" s="37" t="n">
        <f aca="false">Assumptions!$E$44*(1+$C$13)</f>
        <v>4.841</v>
      </c>
      <c r="E84" s="37" t="n">
        <f aca="false">Assumptions!$E$44*(1+$C$13)</f>
        <v>4.841</v>
      </c>
      <c r="F84" s="37" t="n">
        <f aca="false">Assumptions!$E$44*(1+$C$13)</f>
        <v>4.841</v>
      </c>
      <c r="G84" s="37" t="n">
        <f aca="false">Assumptions!$E$44*(1+$C$13)</f>
        <v>4.841</v>
      </c>
      <c r="H84" s="37" t="n">
        <f aca="false">Assumptions!$E$44*(1+$C$13)</f>
        <v>4.841</v>
      </c>
      <c r="I84" s="37" t="n">
        <f aca="false">Assumptions!$E$44*(1+$C$13)</f>
        <v>4.841</v>
      </c>
      <c r="J84" s="37" t="n">
        <f aca="false">Assumptions!$E$44*(1+$C$13)</f>
        <v>4.841</v>
      </c>
      <c r="K84" s="37" t="n">
        <f aca="false">Assumptions!$E$44*(1+$C$13)</f>
        <v>4.841</v>
      </c>
      <c r="L84" s="37" t="n">
        <f aca="false">Assumptions!$E$44*(1+$C$13)</f>
        <v>4.841</v>
      </c>
      <c r="M84" s="37" t="n">
        <f aca="false">Assumptions!$E$44*(1+$C$13)</f>
        <v>4.841</v>
      </c>
      <c r="N84" s="37" t="n">
        <f aca="false">Assumptions!$E$44*(1+$C$13)</f>
        <v>4.841</v>
      </c>
      <c r="O84" s="62" t="n">
        <f aca="false">IFERROR(O85/O74,0)</f>
        <v>4.841</v>
      </c>
      <c r="P84" s="62" t="n">
        <f aca="false">IFERROR(P85/P74,0)</f>
        <v>4.841</v>
      </c>
      <c r="Q84" s="8" t="s">
        <v>820</v>
      </c>
      <c r="R84" s="8"/>
    </row>
    <row r="85" customFormat="false" ht="15" hidden="false" customHeight="false" outlineLevel="0" collapsed="false">
      <c r="A85" s="8" t="s">
        <v>361</v>
      </c>
      <c r="B85" s="8" t="s">
        <v>318</v>
      </c>
      <c r="C85" s="31" t="n">
        <f aca="false">C74*C84</f>
        <v>5.03464</v>
      </c>
      <c r="D85" s="31" t="n">
        <f aca="false">D74*D84</f>
        <v>5.03464</v>
      </c>
      <c r="E85" s="31" t="n">
        <f aca="false">E74*E84</f>
        <v>5.03464</v>
      </c>
      <c r="F85" s="31" t="n">
        <f aca="false">F74*F84</f>
        <v>5.03464</v>
      </c>
      <c r="G85" s="31" t="n">
        <f aca="false">G74*G84</f>
        <v>5.03464</v>
      </c>
      <c r="H85" s="31" t="n">
        <f aca="false">H74*H84</f>
        <v>5.03464</v>
      </c>
      <c r="I85" s="31" t="n">
        <f aca="false">I74*I84</f>
        <v>5.03464</v>
      </c>
      <c r="J85" s="31" t="n">
        <f aca="false">J74*J84</f>
        <v>5.03464</v>
      </c>
      <c r="K85" s="31" t="n">
        <f aca="false">K74*K84</f>
        <v>5.03464</v>
      </c>
      <c r="L85" s="31" t="n">
        <f aca="false">L74*L84</f>
        <v>5.03464</v>
      </c>
      <c r="M85" s="31" t="n">
        <f aca="false">M74*M84</f>
        <v>5.03464</v>
      </c>
      <c r="N85" s="31" t="n">
        <f aca="false">N74*N84</f>
        <v>5.03464</v>
      </c>
      <c r="O85" s="43" t="n">
        <f aca="false">SUM(C85:N85)</f>
        <v>60.41568</v>
      </c>
      <c r="P85" s="43" t="n">
        <f aca="false">SUM(C85:G85)</f>
        <v>25.1732</v>
      </c>
      <c r="Q85" s="8" t="s">
        <v>820</v>
      </c>
      <c r="R85" s="8" t="s">
        <v>824</v>
      </c>
    </row>
    <row r="86" customFormat="false" ht="15" hidden="false" customHeight="false" outlineLevel="0" collapsed="false">
      <c r="A86" s="8" t="s">
        <v>363</v>
      </c>
      <c r="B86" s="8" t="s">
        <v>318</v>
      </c>
      <c r="C86" s="31" t="n">
        <f aca="false">Assumptions!$E$45</f>
        <v>4.4</v>
      </c>
      <c r="D86" s="31" t="n">
        <f aca="false">Assumptions!$E$45</f>
        <v>4.4</v>
      </c>
      <c r="E86" s="31" t="n">
        <f aca="false">Assumptions!$E$45</f>
        <v>4.4</v>
      </c>
      <c r="F86" s="31" t="n">
        <f aca="false">Assumptions!$E$45</f>
        <v>4.4</v>
      </c>
      <c r="G86" s="31" t="n">
        <f aca="false">Assumptions!$E$45</f>
        <v>4.4</v>
      </c>
      <c r="H86" s="31" t="n">
        <f aca="false">Assumptions!$E$45</f>
        <v>4.4</v>
      </c>
      <c r="I86" s="31" t="n">
        <f aca="false">Assumptions!$E$45</f>
        <v>4.4</v>
      </c>
      <c r="J86" s="31" t="n">
        <f aca="false">Assumptions!$E$45</f>
        <v>4.4</v>
      </c>
      <c r="K86" s="31" t="n">
        <f aca="false">Assumptions!$E$45</f>
        <v>4.4</v>
      </c>
      <c r="L86" s="31" t="n">
        <f aca="false">Assumptions!$E$45</f>
        <v>4.4</v>
      </c>
      <c r="M86" s="31" t="n">
        <f aca="false">Assumptions!$E$45</f>
        <v>4.4</v>
      </c>
      <c r="N86" s="31" t="n">
        <f aca="false">Assumptions!$E$45</f>
        <v>4.4</v>
      </c>
      <c r="O86" s="43" t="n">
        <f aca="false">SUM(C86:N86)</f>
        <v>52.8</v>
      </c>
      <c r="P86" s="43" t="n">
        <f aca="false">SUM(C86:G86)</f>
        <v>22</v>
      </c>
      <c r="Q86" s="8" t="s">
        <v>820</v>
      </c>
      <c r="R86" s="8"/>
    </row>
    <row r="87" customFormat="false" ht="15" hidden="false" customHeight="false" outlineLevel="0" collapsed="false">
      <c r="A87" s="8" t="s">
        <v>711</v>
      </c>
      <c r="B87" s="8" t="s">
        <v>318</v>
      </c>
      <c r="C87" s="31" t="n">
        <f aca="false">C85+C86</f>
        <v>9.43464</v>
      </c>
      <c r="D87" s="31" t="n">
        <f aca="false">D85+D86</f>
        <v>9.43464</v>
      </c>
      <c r="E87" s="31" t="n">
        <f aca="false">E85+E86</f>
        <v>9.43464</v>
      </c>
      <c r="F87" s="31" t="n">
        <f aca="false">F85+F86</f>
        <v>9.43464</v>
      </c>
      <c r="G87" s="31" t="n">
        <f aca="false">G85+G86</f>
        <v>9.43464</v>
      </c>
      <c r="H87" s="31" t="n">
        <f aca="false">H85+H86</f>
        <v>9.43464</v>
      </c>
      <c r="I87" s="31" t="n">
        <f aca="false">I85+I86</f>
        <v>9.43464</v>
      </c>
      <c r="J87" s="31" t="n">
        <f aca="false">J85+J86</f>
        <v>9.43464</v>
      </c>
      <c r="K87" s="31" t="n">
        <f aca="false">K85+K86</f>
        <v>9.43464</v>
      </c>
      <c r="L87" s="31" t="n">
        <f aca="false">L85+L86</f>
        <v>9.43464</v>
      </c>
      <c r="M87" s="31" t="n">
        <f aca="false">M85+M86</f>
        <v>9.43464</v>
      </c>
      <c r="N87" s="31" t="n">
        <f aca="false">N85+N86</f>
        <v>9.43464</v>
      </c>
      <c r="O87" s="43" t="n">
        <f aca="false">SUM(C87:N87)</f>
        <v>113.21568</v>
      </c>
      <c r="P87" s="43" t="n">
        <f aca="false">SUM(C87:G87)</f>
        <v>47.1732</v>
      </c>
      <c r="Q87" s="8" t="s">
        <v>820</v>
      </c>
      <c r="R87" s="8" t="s">
        <v>825</v>
      </c>
    </row>
    <row r="88" customFormat="false" ht="15" hidden="false" customHeight="false" outlineLevel="0" collapsed="false">
      <c r="A88" s="8" t="s">
        <v>371</v>
      </c>
      <c r="B88" s="8" t="s">
        <v>336</v>
      </c>
      <c r="C88" s="37" t="n">
        <f aca="false">IFERROR(C87/C76,0)</f>
        <v>10.6726696832579</v>
      </c>
      <c r="D88" s="37" t="n">
        <f aca="false">IFERROR(D87/D76,0)</f>
        <v>10.6726696832579</v>
      </c>
      <c r="E88" s="37" t="n">
        <f aca="false">IFERROR(E87/E76,0)</f>
        <v>10.6726696832579</v>
      </c>
      <c r="F88" s="37" t="n">
        <f aca="false">IFERROR(F87/F76,0)</f>
        <v>10.6726696832579</v>
      </c>
      <c r="G88" s="37" t="n">
        <f aca="false">IFERROR(G87/G76,0)</f>
        <v>10.6726696832579</v>
      </c>
      <c r="H88" s="37" t="n">
        <f aca="false">IFERROR(H87/H76,0)</f>
        <v>10.6726696832579</v>
      </c>
      <c r="I88" s="37" t="n">
        <f aca="false">IFERROR(I87/I76,0)</f>
        <v>10.6726696832579</v>
      </c>
      <c r="J88" s="37" t="n">
        <f aca="false">IFERROR(J87/J76,0)</f>
        <v>10.6726696832579</v>
      </c>
      <c r="K88" s="37" t="n">
        <f aca="false">IFERROR(K87/K76,0)</f>
        <v>10.6726696832579</v>
      </c>
      <c r="L88" s="37" t="n">
        <f aca="false">IFERROR(L87/L76,0)</f>
        <v>10.6726696832579</v>
      </c>
      <c r="M88" s="37" t="n">
        <f aca="false">IFERROR(M87/M76,0)</f>
        <v>10.6726696832579</v>
      </c>
      <c r="N88" s="37" t="n">
        <f aca="false">IFERROR(N87/N76,0)</f>
        <v>10.6726696832579</v>
      </c>
      <c r="O88" s="62" t="n">
        <f aca="false">IFERROR(O87/O76,0)</f>
        <v>10.6726696832579</v>
      </c>
      <c r="P88" s="62" t="n">
        <f aca="false">IFERROR(P87/P76,0)</f>
        <v>10.6726696832579</v>
      </c>
      <c r="Q88" s="8" t="s">
        <v>820</v>
      </c>
      <c r="R88" s="8"/>
    </row>
    <row r="89" customFormat="false" ht="15" hidden="false" customHeight="false" outlineLevel="0" collapsed="false">
      <c r="A89" s="8" t="s">
        <v>713</v>
      </c>
      <c r="B89" s="8" t="s">
        <v>318</v>
      </c>
      <c r="C89" s="31" t="n">
        <f aca="false">Assumptions!$E$68</f>
        <v>8.42290486965617</v>
      </c>
      <c r="D89" s="31" t="n">
        <f aca="false">C92</f>
        <v>8.18321366306364</v>
      </c>
      <c r="E89" s="31" t="n">
        <f aca="false">D92</f>
        <v>7.94025275813414</v>
      </c>
      <c r="F89" s="31" t="n">
        <f aca="false">E92</f>
        <v>7.39664098236639</v>
      </c>
      <c r="G89" s="31" t="n">
        <f aca="false">F92</f>
        <v>7.38390792586868</v>
      </c>
      <c r="H89" s="31" t="n">
        <f aca="false">G92</f>
        <v>7.19500447101956</v>
      </c>
      <c r="I89" s="31" t="n">
        <f aca="false">H92</f>
        <v>6.52872486608303</v>
      </c>
      <c r="J89" s="31" t="n">
        <f aca="false">I92</f>
        <v>5.96343101089652</v>
      </c>
      <c r="K89" s="31" t="n">
        <f aca="false">J92</f>
        <v>5.59391522591284</v>
      </c>
      <c r="L89" s="31" t="n">
        <f aca="false">K92</f>
        <v>5.80742329045058</v>
      </c>
      <c r="M89" s="31" t="n">
        <f aca="false">L92</f>
        <v>5.827026613474</v>
      </c>
      <c r="N89" s="31" t="n">
        <f aca="false">M92</f>
        <v>5.55553124376145</v>
      </c>
      <c r="O89" s="43" t="n">
        <f aca="false">C89</f>
        <v>8.42290486965617</v>
      </c>
      <c r="P89" s="43" t="n">
        <f aca="false">C89</f>
        <v>8.42290486965617</v>
      </c>
      <c r="Q89" s="8" t="s">
        <v>820</v>
      </c>
      <c r="R89" s="8"/>
    </row>
    <row r="90" customFormat="false" ht="15" hidden="false" customHeight="false" outlineLevel="0" collapsed="false">
      <c r="A90" s="8" t="s">
        <v>715</v>
      </c>
      <c r="B90" s="8" t="s">
        <v>336</v>
      </c>
      <c r="C90" s="37" t="n">
        <f aca="false">IFERROR((C89+C87)/C78,0)</f>
        <v>11.080997960968</v>
      </c>
      <c r="D90" s="37" t="n">
        <f aca="false">IFERROR((D89+D87)/D78,0)</f>
        <v>10.8585238333359</v>
      </c>
      <c r="E90" s="37" t="n">
        <f aca="false">IFERROR((E89+E87)/E78,0)</f>
        <v>10.7568086378287</v>
      </c>
      <c r="F90" s="37" t="n">
        <f aca="false">IFERROR((F89+F87)/F78,0)</f>
        <v>10.7094825403888</v>
      </c>
      <c r="G90" s="37" t="n">
        <f aca="false">IFERROR((G89+G87)/G78,0)</f>
        <v>10.6888005531075</v>
      </c>
      <c r="H90" s="37" t="n">
        <f aca="false">IFERROR((H89+H87)/H78,0)</f>
        <v>10.6796429077835</v>
      </c>
      <c r="I90" s="37" t="n">
        <f aca="false">IFERROR((I89+I87)/I78,0)</f>
        <v>10.675520503955</v>
      </c>
      <c r="J90" s="37" t="n">
        <f aca="false">IFERROR((J89+J87)/J78,0)</f>
        <v>10.6737735806604</v>
      </c>
      <c r="K90" s="37" t="n">
        <f aca="false">IFERROR((K89+K87)/K78,0)</f>
        <v>10.6730805482715</v>
      </c>
      <c r="L90" s="37" t="n">
        <f aca="false">IFERROR((L89+L87)/L78,0)</f>
        <v>10.672826224413</v>
      </c>
      <c r="M90" s="37" t="n">
        <f aca="false">IFERROR((M89+M87)/M78,0)</f>
        <v>10.6727294513834</v>
      </c>
      <c r="N90" s="37" t="n">
        <f aca="false">IFERROR((N89+N87)/N78,0)</f>
        <v>10.6726918339401</v>
      </c>
      <c r="Q90" s="8" t="s">
        <v>820</v>
      </c>
      <c r="R90" s="8" t="s">
        <v>826</v>
      </c>
    </row>
    <row r="91" customFormat="false" ht="15" hidden="false" customHeight="false" outlineLevel="0" collapsed="false">
      <c r="A91" s="8" t="s">
        <v>827</v>
      </c>
      <c r="B91" s="8" t="s">
        <v>318</v>
      </c>
      <c r="C91" s="31" t="n">
        <f aca="false">C79*C90</f>
        <v>9.67433120659252</v>
      </c>
      <c r="D91" s="31" t="n">
        <f aca="false">D79*D90</f>
        <v>9.6776009049295</v>
      </c>
      <c r="E91" s="31" t="n">
        <f aca="false">E79*E90</f>
        <v>9.97825177576776</v>
      </c>
      <c r="F91" s="31" t="n">
        <f aca="false">F79*F90</f>
        <v>9.44737305649772</v>
      </c>
      <c r="G91" s="31" t="n">
        <f aca="false">G79*G90</f>
        <v>9.62354345484912</v>
      </c>
      <c r="H91" s="31" t="n">
        <f aca="false">H79*H90</f>
        <v>10.1009196049365</v>
      </c>
      <c r="I91" s="31" t="n">
        <f aca="false">I79*I90</f>
        <v>9.99993385518652</v>
      </c>
      <c r="J91" s="31" t="n">
        <f aca="false">J79*J90</f>
        <v>9.80415578498368</v>
      </c>
      <c r="K91" s="31" t="n">
        <f aca="false">K79*K90</f>
        <v>9.22113193546226</v>
      </c>
      <c r="L91" s="31" t="n">
        <f aca="false">L79*L90</f>
        <v>9.41503667697658</v>
      </c>
      <c r="M91" s="31" t="n">
        <f aca="false">M79*M90</f>
        <v>9.70613536971255</v>
      </c>
      <c r="N91" s="31" t="n">
        <f aca="false">N79*N90</f>
        <v>10.4825892518902</v>
      </c>
      <c r="O91" s="43" t="n">
        <f aca="false">SUM(C91:N91)</f>
        <v>117.131002877785</v>
      </c>
      <c r="P91" s="43" t="n">
        <f aca="false">SUM(C91:G91)</f>
        <v>48.4011003986366</v>
      </c>
      <c r="Q91" s="8" t="s">
        <v>820</v>
      </c>
      <c r="R91" s="8" t="s">
        <v>717</v>
      </c>
    </row>
    <row r="92" customFormat="false" ht="15" hidden="false" customHeight="false" outlineLevel="0" collapsed="false">
      <c r="A92" s="8" t="s">
        <v>718</v>
      </c>
      <c r="B92" s="8" t="s">
        <v>318</v>
      </c>
      <c r="C92" s="31" t="n">
        <f aca="false">C89+C87-C91</f>
        <v>8.18321366306364</v>
      </c>
      <c r="D92" s="31" t="n">
        <f aca="false">D89+D87-D91</f>
        <v>7.94025275813414</v>
      </c>
      <c r="E92" s="31" t="n">
        <f aca="false">E89+E87-E91</f>
        <v>7.39664098236639</v>
      </c>
      <c r="F92" s="31" t="n">
        <f aca="false">F89+F87-F91</f>
        <v>7.38390792586868</v>
      </c>
      <c r="G92" s="31" t="n">
        <f aca="false">G89+G87-G91</f>
        <v>7.19500447101956</v>
      </c>
      <c r="H92" s="31" t="n">
        <f aca="false">H89+H87-H91</f>
        <v>6.52872486608303</v>
      </c>
      <c r="I92" s="31" t="n">
        <f aca="false">I89+I87-I91</f>
        <v>5.96343101089652</v>
      </c>
      <c r="J92" s="31" t="n">
        <f aca="false">J89+J87-J91</f>
        <v>5.59391522591284</v>
      </c>
      <c r="K92" s="31" t="n">
        <f aca="false">K89+K87-K91</f>
        <v>5.80742329045058</v>
      </c>
      <c r="L92" s="31" t="n">
        <f aca="false">L89+L87-L91</f>
        <v>5.827026613474</v>
      </c>
      <c r="M92" s="31" t="n">
        <f aca="false">M89+M87-M91</f>
        <v>5.55553124376145</v>
      </c>
      <c r="N92" s="31" t="n">
        <f aca="false">N89+N87-N91</f>
        <v>4.50758199187128</v>
      </c>
      <c r="O92" s="43" t="n">
        <f aca="false">N92</f>
        <v>4.50758199187128</v>
      </c>
      <c r="P92" s="43" t="n">
        <f aca="false">G92</f>
        <v>7.19500447101956</v>
      </c>
      <c r="Q92" s="8" t="s">
        <v>820</v>
      </c>
      <c r="R92" s="8" t="s">
        <v>828</v>
      </c>
    </row>
    <row r="93" customFormat="false" ht="15" hidden="false" customHeight="false" outlineLevel="0" collapsed="false">
      <c r="A93" s="7" t="s">
        <v>829</v>
      </c>
      <c r="B93" s="8" t="s">
        <v>318</v>
      </c>
      <c r="C93" s="31" t="n">
        <f aca="false">C83-C91</f>
        <v>11.9338035666989</v>
      </c>
      <c r="D93" s="31" t="n">
        <f aca="false">D83-D91</f>
        <v>12.3807033428055</v>
      </c>
      <c r="E93" s="31" t="n">
        <f aca="false">E83-E91</f>
        <v>12.9803914208544</v>
      </c>
      <c r="F93" s="31" t="n">
        <f aca="false">F83-F91</f>
        <v>12.3858464540155</v>
      </c>
      <c r="G93" s="31" t="n">
        <f aca="false">G83-G91</f>
        <v>12.6598455301077</v>
      </c>
      <c r="H93" s="31" t="n">
        <f aca="false">H83-H91</f>
        <v>13.3078930661292</v>
      </c>
      <c r="I93" s="31" t="n">
        <f aca="false">I83-I91</f>
        <v>13.1837940786575</v>
      </c>
      <c r="J93" s="31" t="n">
        <f aca="false">J83-J91</f>
        <v>12.9294026744167</v>
      </c>
      <c r="K93" s="31" t="n">
        <f aca="false">K83-K91</f>
        <v>12.1619181006074</v>
      </c>
      <c r="L93" s="31" t="n">
        <f aca="false">L83-L91</f>
        <v>12.4181828335367</v>
      </c>
      <c r="M93" s="31" t="n">
        <f aca="false">M83-M91</f>
        <v>12.8023383524661</v>
      </c>
      <c r="N93" s="31" t="n">
        <f aca="false">N83-N91</f>
        <v>13.8265623680627</v>
      </c>
      <c r="O93" s="43" t="n">
        <f aca="false">SUM(C93:N93)</f>
        <v>152.970681788358</v>
      </c>
      <c r="P93" s="43" t="n">
        <f aca="false">SUM(C93:G93)</f>
        <v>62.3405903144821</v>
      </c>
      <c r="Q93" s="8" t="s">
        <v>820</v>
      </c>
      <c r="R93" s="8" t="s">
        <v>368</v>
      </c>
    </row>
    <row r="94" customFormat="false" ht="15" hidden="false" customHeight="false" outlineLevel="0" collapsed="false">
      <c r="A94" s="8" t="s">
        <v>369</v>
      </c>
      <c r="B94" s="8" t="s">
        <v>285</v>
      </c>
      <c r="C94" s="36" t="n">
        <f aca="false">IFERROR(C93/C83,0)</f>
        <v>0.552282910667959</v>
      </c>
      <c r="D94" s="36" t="n">
        <f aca="false">IFERROR(D93/D83,0)</f>
        <v>0.561271764309661</v>
      </c>
      <c r="E94" s="36" t="n">
        <f aca="false">IFERROR(E93/E83,0)</f>
        <v>0.56538146917864</v>
      </c>
      <c r="F94" s="36" t="n">
        <f aca="false">IFERROR(F93/F83,0)</f>
        <v>0.567293634731764</v>
      </c>
      <c r="G94" s="36" t="n">
        <f aca="false">IFERROR(G93/G83,0)</f>
        <v>0.568129270581516</v>
      </c>
      <c r="H94" s="36" t="n">
        <f aca="false">IFERROR(H93/H83,0)</f>
        <v>0.568499276453193</v>
      </c>
      <c r="I94" s="36" t="n">
        <f aca="false">IFERROR(I93/I83,0)</f>
        <v>0.568665838224039</v>
      </c>
      <c r="J94" s="36" t="n">
        <f aca="false">IFERROR(J93/J83,0)</f>
        <v>0.568736420983419</v>
      </c>
      <c r="K94" s="36" t="n">
        <f aca="false">IFERROR(K93/K83,0)</f>
        <v>0.568764422292061</v>
      </c>
      <c r="L94" s="36" t="n">
        <f aca="false">IFERROR(L93/L83,0)</f>
        <v>0.568774698003517</v>
      </c>
      <c r="M94" s="36" t="n">
        <f aca="false">IFERROR(M93/M83,0)</f>
        <v>0.568778608024912</v>
      </c>
      <c r="N94" s="36" t="n">
        <f aca="false">IFERROR(N93/N83,0)</f>
        <v>0.568780127921614</v>
      </c>
      <c r="O94" s="59" t="n">
        <f aca="false">IFERROR(O93/O83,0)</f>
        <v>0.566344789657408</v>
      </c>
      <c r="P94" s="59" t="n">
        <f aca="false">IFERROR(P93/P83,0)</f>
        <v>0.562936956380576</v>
      </c>
      <c r="Q94" s="8" t="s">
        <v>820</v>
      </c>
      <c r="R94" s="8"/>
    </row>
    <row r="96" customFormat="false" ht="15" hidden="false" customHeight="false" outlineLevel="0" collapsed="false">
      <c r="A96" s="16" t="s">
        <v>832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</row>
    <row r="97" customFormat="false" ht="15" hidden="false" customHeight="false" outlineLevel="0" collapsed="false">
      <c r="A97" s="7" t="s">
        <v>22</v>
      </c>
      <c r="B97" s="8" t="s">
        <v>318</v>
      </c>
      <c r="C97" s="31" t="n">
        <f aca="false">C31+C57+C83</f>
        <v>94.7876845388385</v>
      </c>
      <c r="D97" s="31" t="n">
        <f aca="false">D31+D57+D83</f>
        <v>96.762427966731</v>
      </c>
      <c r="E97" s="31" t="n">
        <f aca="false">E31+E57+E83</f>
        <v>100.711914822516</v>
      </c>
      <c r="F97" s="31" t="n">
        <f aca="false">F31+F57+F83</f>
        <v>95.7750562527848</v>
      </c>
      <c r="G97" s="31" t="n">
        <f aca="false">G31+G57+G83</f>
        <v>97.7497996806772</v>
      </c>
      <c r="H97" s="31" t="n">
        <f aca="false">H31+H57+H83</f>
        <v>102.686658250408</v>
      </c>
      <c r="I97" s="31" t="n">
        <f aca="false">I31+I57+I83</f>
        <v>101.699286536462</v>
      </c>
      <c r="J97" s="31" t="n">
        <f aca="false">J31+J57+J83</f>
        <v>99.7245431085697</v>
      </c>
      <c r="K97" s="31" t="n">
        <f aca="false">K31+K57+K83</f>
        <v>93.8003128248923</v>
      </c>
      <c r="L97" s="31" t="n">
        <f aca="false">L31+L57+L83</f>
        <v>95.7750562527848</v>
      </c>
      <c r="M97" s="31" t="n">
        <f aca="false">M31+M57+M83</f>
        <v>98.7371713946235</v>
      </c>
      <c r="N97" s="31" t="n">
        <f aca="false">N31+N57+N83</f>
        <v>106.636145106193</v>
      </c>
      <c r="O97" s="43" t="n">
        <f aca="false">SUM(C97:N97)</f>
        <v>1184.84605673548</v>
      </c>
      <c r="P97" s="43" t="n">
        <f aca="false">SUM(C97:G97)</f>
        <v>485.786883261548</v>
      </c>
      <c r="Q97" s="8" t="s">
        <v>820</v>
      </c>
    </row>
    <row r="98" customFormat="false" ht="15" hidden="false" customHeight="false" outlineLevel="0" collapsed="false">
      <c r="A98" s="8" t="s">
        <v>361</v>
      </c>
      <c r="B98" s="8" t="s">
        <v>318</v>
      </c>
      <c r="C98" s="31" t="n">
        <f aca="false">C33+C59+C85</f>
        <v>19.66064</v>
      </c>
      <c r="D98" s="31" t="n">
        <f aca="false">D33+D59+D85</f>
        <v>19.66064</v>
      </c>
      <c r="E98" s="31" t="n">
        <f aca="false">E33+E59+E85</f>
        <v>19.66064</v>
      </c>
      <c r="F98" s="31" t="n">
        <f aca="false">F33+F59+F85</f>
        <v>19.66064</v>
      </c>
      <c r="G98" s="31" t="n">
        <f aca="false">G33+G59+G85</f>
        <v>19.66064</v>
      </c>
      <c r="H98" s="31" t="n">
        <f aca="false">H33+H59+H85</f>
        <v>19.66064</v>
      </c>
      <c r="I98" s="31" t="n">
        <f aca="false">I33+I59+I85</f>
        <v>19.66064</v>
      </c>
      <c r="J98" s="31" t="n">
        <f aca="false">J33+J59+J85</f>
        <v>19.66064</v>
      </c>
      <c r="K98" s="31" t="n">
        <f aca="false">K33+K59+K85</f>
        <v>19.66064</v>
      </c>
      <c r="L98" s="31" t="n">
        <f aca="false">L33+L59+L85</f>
        <v>19.66064</v>
      </c>
      <c r="M98" s="31" t="n">
        <f aca="false">M33+M59+M85</f>
        <v>19.66064</v>
      </c>
      <c r="N98" s="31" t="n">
        <f aca="false">N33+N59+N85</f>
        <v>19.66064</v>
      </c>
      <c r="O98" s="43" t="n">
        <f aca="false">SUM(C98:N98)</f>
        <v>235.92768</v>
      </c>
      <c r="P98" s="43" t="n">
        <f aca="false">SUM(C98:G98)</f>
        <v>98.3032</v>
      </c>
      <c r="Q98" s="8" t="s">
        <v>820</v>
      </c>
    </row>
    <row r="99" customFormat="false" ht="15" hidden="false" customHeight="false" outlineLevel="0" collapsed="false">
      <c r="A99" s="8" t="s">
        <v>363</v>
      </c>
      <c r="B99" s="8" t="s">
        <v>318</v>
      </c>
      <c r="C99" s="31" t="n">
        <f aca="false">C34+C60+C86</f>
        <v>19.1</v>
      </c>
      <c r="D99" s="31" t="n">
        <f aca="false">D34+D60+D86</f>
        <v>19.1</v>
      </c>
      <c r="E99" s="31" t="n">
        <f aca="false">E34+E60+E86</f>
        <v>19.1</v>
      </c>
      <c r="F99" s="31" t="n">
        <f aca="false">F34+F60+F86</f>
        <v>19.1</v>
      </c>
      <c r="G99" s="31" t="n">
        <f aca="false">G34+G60+G86</f>
        <v>19.1</v>
      </c>
      <c r="H99" s="31" t="n">
        <f aca="false">H34+H60+H86</f>
        <v>19.1</v>
      </c>
      <c r="I99" s="31" t="n">
        <f aca="false">I34+I60+I86</f>
        <v>19.1</v>
      </c>
      <c r="J99" s="31" t="n">
        <f aca="false">J34+J60+J86</f>
        <v>19.1</v>
      </c>
      <c r="K99" s="31" t="n">
        <f aca="false">K34+K60+K86</f>
        <v>19.1</v>
      </c>
      <c r="L99" s="31" t="n">
        <f aca="false">L34+L60+L86</f>
        <v>19.1</v>
      </c>
      <c r="M99" s="31" t="n">
        <f aca="false">M34+M60+M86</f>
        <v>19.1</v>
      </c>
      <c r="N99" s="31" t="n">
        <f aca="false">N34+N60+N86</f>
        <v>19.1</v>
      </c>
      <c r="O99" s="43" t="n">
        <f aca="false">SUM(C99:N99)</f>
        <v>229.2</v>
      </c>
      <c r="P99" s="43" t="n">
        <f aca="false">SUM(C99:G99)</f>
        <v>95.5</v>
      </c>
      <c r="Q99" s="8" t="s">
        <v>820</v>
      </c>
    </row>
    <row r="100" customFormat="false" ht="15" hidden="false" customHeight="false" outlineLevel="0" collapsed="false">
      <c r="A100" s="8" t="s">
        <v>756</v>
      </c>
      <c r="B100" s="8" t="s">
        <v>318</v>
      </c>
      <c r="C100" s="31" t="n">
        <f aca="false">C39+C65+C91</f>
        <v>38.2065801416349</v>
      </c>
      <c r="D100" s="31" t="n">
        <f aca="false">D39+D65+D91</f>
        <v>38.1790301342229</v>
      </c>
      <c r="E100" s="31" t="n">
        <f aca="false">E39+E65+E91</f>
        <v>39.344700423773</v>
      </c>
      <c r="F100" s="31" t="n">
        <f aca="false">F39+F65+F91</f>
        <v>37.2378704363198</v>
      </c>
      <c r="G100" s="31" t="n">
        <f aca="false">G39+G65+G91</f>
        <v>37.9213922430492</v>
      </c>
      <c r="H100" s="31" t="n">
        <f aca="false">H39+H65+H91</f>
        <v>39.7941001213474</v>
      </c>
      <c r="I100" s="31" t="n">
        <f aca="false">I39+I65+I91</f>
        <v>39.3904323408159</v>
      </c>
      <c r="J100" s="31" t="n">
        <f aca="false">J39+J65+J91</f>
        <v>38.6154268927172</v>
      </c>
      <c r="K100" s="31" t="n">
        <f aca="false">K39+K65+K91</f>
        <v>36.3168107847095</v>
      </c>
      <c r="L100" s="31" t="n">
        <f aca="false">L39+L65+L91</f>
        <v>37.0791234364117</v>
      </c>
      <c r="M100" s="31" t="n">
        <f aca="false">M39+M65+M91</f>
        <v>38.2247365115346</v>
      </c>
      <c r="N100" s="31" t="n">
        <f aca="false">N39+N65+N91</f>
        <v>41.2820578036289</v>
      </c>
      <c r="O100" s="43" t="n">
        <f aca="false">SUM(C100:N100)</f>
        <v>461.592261270165</v>
      </c>
      <c r="P100" s="43" t="n">
        <f aca="false">SUM(C100:G100)</f>
        <v>190.889573379</v>
      </c>
      <c r="Q100" s="8" t="s">
        <v>820</v>
      </c>
    </row>
    <row r="101" customFormat="false" ht="15" hidden="false" customHeight="false" outlineLevel="0" collapsed="false">
      <c r="A101" s="8" t="s">
        <v>786</v>
      </c>
      <c r="B101" s="8" t="s">
        <v>318</v>
      </c>
      <c r="C101" s="31" t="n">
        <f aca="false">C97*$C$16</f>
        <v>2.84363053616516</v>
      </c>
      <c r="D101" s="31" t="n">
        <f aca="false">D97*$C$16</f>
        <v>2.90287283900193</v>
      </c>
      <c r="E101" s="31" t="n">
        <f aca="false">E97*$C$16</f>
        <v>3.02135744467548</v>
      </c>
      <c r="F101" s="31" t="n">
        <f aca="false">F97*$C$16</f>
        <v>2.87325168758354</v>
      </c>
      <c r="G101" s="31" t="n">
        <f aca="false">G97*$C$16</f>
        <v>2.93249399042032</v>
      </c>
      <c r="H101" s="31" t="n">
        <f aca="false">H97*$C$16</f>
        <v>3.08059974751225</v>
      </c>
      <c r="I101" s="31" t="n">
        <f aca="false">I97*$C$16</f>
        <v>3.05097859609387</v>
      </c>
      <c r="J101" s="31" t="n">
        <f aca="false">J97*$C$16</f>
        <v>2.99173629325709</v>
      </c>
      <c r="K101" s="31" t="n">
        <f aca="false">K97*$C$16</f>
        <v>2.81400938474677</v>
      </c>
      <c r="L101" s="31" t="n">
        <f aca="false">L97*$C$16</f>
        <v>2.87325168758354</v>
      </c>
      <c r="M101" s="31" t="n">
        <f aca="false">M97*$C$16</f>
        <v>2.9621151418387</v>
      </c>
      <c r="N101" s="31" t="n">
        <f aca="false">N97*$C$16</f>
        <v>3.1990843531858</v>
      </c>
      <c r="O101" s="43" t="n">
        <f aca="false">SUM(C101:N101)</f>
        <v>35.5453817020645</v>
      </c>
      <c r="P101" s="43" t="n">
        <f aca="false">SUM(C101:G101)</f>
        <v>14.5736064978464</v>
      </c>
      <c r="Q101" s="8" t="s">
        <v>820</v>
      </c>
    </row>
    <row r="102" customFormat="false" ht="15" hidden="false" customHeight="false" outlineLevel="0" collapsed="false">
      <c r="A102" s="8" t="s">
        <v>788</v>
      </c>
      <c r="B102" s="8" t="s">
        <v>318</v>
      </c>
      <c r="C102" s="31" t="n">
        <f aca="false">0</f>
        <v>0</v>
      </c>
      <c r="D102" s="31" t="n">
        <f aca="false">SUM($C$101:C101)/Assumptions!$F$85</f>
        <v>0.0473938422694193</v>
      </c>
      <c r="E102" s="31" t="n">
        <f aca="false">SUM($C$101:D101)/Assumptions!$F$85</f>
        <v>0.0957750562527848</v>
      </c>
      <c r="F102" s="31" t="n">
        <f aca="false">SUM($C$101:E101)/Assumptions!$F$85</f>
        <v>0.146131013664043</v>
      </c>
      <c r="G102" s="31" t="n">
        <f aca="false">SUM($C$101:F101)/Assumptions!$F$85</f>
        <v>0.194018541790435</v>
      </c>
      <c r="H102" s="31" t="n">
        <f aca="false">SUM($C$101:G101)/Assumptions!$F$85</f>
        <v>0.242893441630774</v>
      </c>
      <c r="I102" s="31" t="n">
        <f aca="false">SUM($C$101:H101)/Assumptions!$F$85</f>
        <v>0.294236770755978</v>
      </c>
      <c r="J102" s="31" t="n">
        <f aca="false">SUM($C$101:I101)/Assumptions!$F$85</f>
        <v>0.345086414024209</v>
      </c>
      <c r="K102" s="31" t="n">
        <f aca="false">SUM($C$101:J101)/Assumptions!$F$85</f>
        <v>0.394948685578494</v>
      </c>
      <c r="L102" s="31" t="n">
        <f aca="false">SUM($C$101:K101)/Assumptions!$F$85</f>
        <v>0.44184884199094</v>
      </c>
      <c r="M102" s="31" t="n">
        <f aca="false">SUM($C$101:L101)/Assumptions!$F$85</f>
        <v>0.489736370117332</v>
      </c>
      <c r="N102" s="31" t="n">
        <f aca="false">SUM($C$101:M101)/Assumptions!$F$85</f>
        <v>0.539104955814644</v>
      </c>
      <c r="O102" s="43" t="n">
        <f aca="false">SUM(C102:N102)</f>
        <v>3.23117393388905</v>
      </c>
      <c r="P102" s="43" t="n">
        <f aca="false">SUM(C102:G102)</f>
        <v>0.483318453976682</v>
      </c>
      <c r="Q102" s="8" t="s">
        <v>820</v>
      </c>
    </row>
    <row r="103" customFormat="false" ht="15" hidden="false" customHeight="false" outlineLevel="0" collapsed="false">
      <c r="A103" s="8" t="s">
        <v>760</v>
      </c>
      <c r="B103" s="8" t="s">
        <v>318</v>
      </c>
      <c r="C103" s="31" t="n">
        <f aca="false">C100+C102</f>
        <v>38.2065801416349</v>
      </c>
      <c r="D103" s="31" t="n">
        <f aca="false">D100+D102</f>
        <v>38.2264239764923</v>
      </c>
      <c r="E103" s="31" t="n">
        <f aca="false">E100+E102</f>
        <v>39.4404754800257</v>
      </c>
      <c r="F103" s="31" t="n">
        <f aca="false">F100+F102</f>
        <v>37.3840014499838</v>
      </c>
      <c r="G103" s="31" t="n">
        <f aca="false">G100+G102</f>
        <v>38.1154107848396</v>
      </c>
      <c r="H103" s="31" t="n">
        <f aca="false">H100+H102</f>
        <v>40.0369935629782</v>
      </c>
      <c r="I103" s="31" t="n">
        <f aca="false">I100+I102</f>
        <v>39.6846691115719</v>
      </c>
      <c r="J103" s="31" t="n">
        <f aca="false">J100+J102</f>
        <v>38.9605133067414</v>
      </c>
      <c r="K103" s="31" t="n">
        <f aca="false">K100+K102</f>
        <v>36.711759470288</v>
      </c>
      <c r="L103" s="31" t="n">
        <f aca="false">L100+L102</f>
        <v>37.5209722784026</v>
      </c>
      <c r="M103" s="31" t="n">
        <f aca="false">M100+M102</f>
        <v>38.7144728816519</v>
      </c>
      <c r="N103" s="31" t="n">
        <f aca="false">N100+N102</f>
        <v>41.8211627594436</v>
      </c>
      <c r="O103" s="43" t="n">
        <f aca="false">SUM(C103:N103)</f>
        <v>464.823435204054</v>
      </c>
      <c r="P103" s="43" t="n">
        <f aca="false">SUM(C103:G103)</f>
        <v>191.372891832976</v>
      </c>
      <c r="Q103" s="8" t="s">
        <v>820</v>
      </c>
    </row>
    <row r="104" customFormat="false" ht="15" hidden="false" customHeight="false" outlineLevel="0" collapsed="false">
      <c r="A104" s="45" t="s">
        <v>367</v>
      </c>
      <c r="B104" s="46" t="s">
        <v>318</v>
      </c>
      <c r="C104" s="63" t="n">
        <f aca="false">C97-C103</f>
        <v>56.5811043972037</v>
      </c>
      <c r="D104" s="63" t="n">
        <f aca="false">D97-D103</f>
        <v>58.5360039902387</v>
      </c>
      <c r="E104" s="63" t="n">
        <f aca="false">E97-E103</f>
        <v>61.2714393424902</v>
      </c>
      <c r="F104" s="63" t="n">
        <f aca="false">F97-F103</f>
        <v>58.391054802801</v>
      </c>
      <c r="G104" s="63" t="n">
        <f aca="false">G97-G103</f>
        <v>59.6343888958376</v>
      </c>
      <c r="H104" s="63" t="n">
        <f aca="false">H97-H103</f>
        <v>62.6496646874303</v>
      </c>
      <c r="I104" s="63" t="n">
        <f aca="false">I97-I103</f>
        <v>62.0146174248903</v>
      </c>
      <c r="J104" s="63" t="n">
        <f aca="false">J97-J103</f>
        <v>60.7640298018283</v>
      </c>
      <c r="K104" s="63" t="n">
        <f aca="false">K97-K103</f>
        <v>57.0885533546044</v>
      </c>
      <c r="L104" s="63" t="n">
        <f aca="false">L97-L103</f>
        <v>58.2540839743822</v>
      </c>
      <c r="M104" s="63" t="n">
        <f aca="false">M97-M103</f>
        <v>60.0226985129715</v>
      </c>
      <c r="N104" s="63" t="n">
        <f aca="false">N97-N103</f>
        <v>64.8149823467498</v>
      </c>
      <c r="O104" s="64" t="n">
        <f aca="false">SUM(C104:N104)</f>
        <v>720.022621531428</v>
      </c>
      <c r="P104" s="64" t="n">
        <f aca="false">SUM(C104:G104)</f>
        <v>294.413991428571</v>
      </c>
      <c r="Q104" s="8" t="s">
        <v>820</v>
      </c>
    </row>
    <row r="105" customFormat="false" ht="15" hidden="false" customHeight="false" outlineLevel="0" collapsed="false">
      <c r="A105" s="8" t="s">
        <v>369</v>
      </c>
      <c r="B105" s="8" t="s">
        <v>285</v>
      </c>
      <c r="C105" s="36" t="n">
        <f aca="false">IFERROR(C104/C97,0)</f>
        <v>0.59692463923433</v>
      </c>
      <c r="D105" s="36" t="n">
        <f aca="false">IFERROR(D104/D97,0)</f>
        <v>0.60494558911197</v>
      </c>
      <c r="E105" s="36" t="n">
        <f aca="false">IFERROR(E104/E97,0)</f>
        <v>0.608383223082081</v>
      </c>
      <c r="F105" s="36" t="n">
        <f aca="false">IFERROR(F104/F97,0)</f>
        <v>0.609668707984739</v>
      </c>
      <c r="G105" s="36" t="n">
        <f aca="false">IFERROR(G104/G97,0)</f>
        <v>0.610071724859257</v>
      </c>
      <c r="H105" s="36" t="n">
        <f aca="false">IFERROR(H104/H97,0)</f>
        <v>0.610105205046743</v>
      </c>
      <c r="I105" s="36" t="n">
        <f aca="false">IFERROR(I104/I97,0)</f>
        <v>0.609784193546493</v>
      </c>
      <c r="J105" s="36" t="n">
        <f aca="false">IFERROR(J104/J97,0)</f>
        <v>0.609318708391321</v>
      </c>
      <c r="K105" s="36" t="n">
        <f aca="false">IFERROR(K104/K97,0)</f>
        <v>0.608617942044373</v>
      </c>
      <c r="L105" s="36" t="n">
        <f aca="false">IFERROR(L104/L97,0)</f>
        <v>0.608238577491709</v>
      </c>
      <c r="M105" s="36" t="n">
        <f aca="false">IFERROR(M104/M97,0)</f>
        <v>0.607903767802689</v>
      </c>
      <c r="N105" s="36" t="n">
        <f aca="false">IFERROR(N104/N97,0)</f>
        <v>0.607814379282034</v>
      </c>
      <c r="O105" s="59" t="n">
        <f aca="false">IFERROR(O104/O97,0)</f>
        <v>0.60769297195895</v>
      </c>
      <c r="P105" s="59" t="n">
        <f aca="false">IFERROR(P104/P97,0)</f>
        <v>0.606055868474445</v>
      </c>
      <c r="Q105" s="8" t="s">
        <v>820</v>
      </c>
    </row>
    <row r="106" customFormat="false" ht="15" hidden="false" customHeight="false" outlineLevel="0" collapsed="false">
      <c r="A106" s="8" t="s">
        <v>443</v>
      </c>
      <c r="B106" s="8" t="s">
        <v>318</v>
      </c>
      <c r="C106" s="31" t="n">
        <f aca="false">Assumptions!$F$34*(1+$C$14)/12</f>
        <v>17.5</v>
      </c>
      <c r="D106" s="31" t="n">
        <f aca="false">Assumptions!$F$34*(1+$C$14)/12</f>
        <v>17.5</v>
      </c>
      <c r="E106" s="31" t="n">
        <f aca="false">Assumptions!$F$34*(1+$C$14)/12</f>
        <v>17.5</v>
      </c>
      <c r="F106" s="31" t="n">
        <f aca="false">Assumptions!$F$34*(1+$C$14)/12</f>
        <v>17.5</v>
      </c>
      <c r="G106" s="31" t="n">
        <f aca="false">Assumptions!$F$34*(1+$C$14)/12</f>
        <v>17.5</v>
      </c>
      <c r="H106" s="31" t="n">
        <f aca="false">Assumptions!$F$34*(1+$C$14)/12</f>
        <v>17.5</v>
      </c>
      <c r="I106" s="31" t="n">
        <f aca="false">Assumptions!$F$34*(1+$C$14)/12</f>
        <v>17.5</v>
      </c>
      <c r="J106" s="31" t="n">
        <f aca="false">Assumptions!$F$34*(1+$C$14)/12</f>
        <v>17.5</v>
      </c>
      <c r="K106" s="31" t="n">
        <f aca="false">Assumptions!$F$34*(1+$C$14)/12</f>
        <v>17.5</v>
      </c>
      <c r="L106" s="31" t="n">
        <f aca="false">Assumptions!$F$34*(1+$C$14)/12</f>
        <v>17.5</v>
      </c>
      <c r="M106" s="31" t="n">
        <f aca="false">Assumptions!$F$34*(1+$C$14)/12</f>
        <v>17.5</v>
      </c>
      <c r="N106" s="31" t="n">
        <f aca="false">Assumptions!$F$34*(1+$C$14)/12</f>
        <v>17.5</v>
      </c>
      <c r="O106" s="43" t="n">
        <f aca="false">SUM(C106:N106)</f>
        <v>210</v>
      </c>
      <c r="P106" s="43" t="n">
        <f aca="false">SUM(C106:G106)</f>
        <v>87.5</v>
      </c>
      <c r="Q106" s="8" t="s">
        <v>820</v>
      </c>
    </row>
    <row r="107" customFormat="false" ht="15" hidden="false" customHeight="false" outlineLevel="0" collapsed="false">
      <c r="A107" s="8" t="s">
        <v>445</v>
      </c>
      <c r="B107" s="8" t="s">
        <v>318</v>
      </c>
      <c r="C107" s="31" t="n">
        <f aca="false">Assumptions!$F$35*(1+$C$15)/12</f>
        <v>8.66666666666667</v>
      </c>
      <c r="D107" s="31" t="n">
        <f aca="false">Assumptions!$F$35*(1+$C$15)/12</f>
        <v>8.66666666666667</v>
      </c>
      <c r="E107" s="31" t="n">
        <f aca="false">Assumptions!$F$35*(1+$C$15)/12</f>
        <v>8.66666666666667</v>
      </c>
      <c r="F107" s="31" t="n">
        <f aca="false">Assumptions!$F$35*(1+$C$15)/12</f>
        <v>8.66666666666667</v>
      </c>
      <c r="G107" s="31" t="n">
        <f aca="false">Assumptions!$F$35*(1+$C$15)/12</f>
        <v>8.66666666666667</v>
      </c>
      <c r="H107" s="31" t="n">
        <f aca="false">Assumptions!$F$35*(1+$C$15)/12</f>
        <v>8.66666666666667</v>
      </c>
      <c r="I107" s="31" t="n">
        <f aca="false">Assumptions!$F$35*(1+$C$15)/12</f>
        <v>8.66666666666667</v>
      </c>
      <c r="J107" s="31" t="n">
        <f aca="false">Assumptions!$F$35*(1+$C$15)/12</f>
        <v>8.66666666666667</v>
      </c>
      <c r="K107" s="31" t="n">
        <f aca="false">Assumptions!$F$35*(1+$C$15)/12</f>
        <v>8.66666666666667</v>
      </c>
      <c r="L107" s="31" t="n">
        <f aca="false">Assumptions!$F$35*(1+$C$15)/12</f>
        <v>8.66666666666667</v>
      </c>
      <c r="M107" s="31" t="n">
        <f aca="false">Assumptions!$F$35*(1+$C$15)/12</f>
        <v>8.66666666666667</v>
      </c>
      <c r="N107" s="31" t="n">
        <f aca="false">Assumptions!$F$35*(1+$C$15)/12</f>
        <v>8.66666666666667</v>
      </c>
      <c r="O107" s="43" t="n">
        <f aca="false">SUM(C107:N107)</f>
        <v>104</v>
      </c>
      <c r="P107" s="43" t="n">
        <f aca="false">SUM(C107:G107)</f>
        <v>43.3333333333333</v>
      </c>
      <c r="Q107" s="8" t="s">
        <v>820</v>
      </c>
    </row>
    <row r="108" customFormat="false" ht="15" hidden="false" customHeight="false" outlineLevel="0" collapsed="false">
      <c r="A108" s="8" t="s">
        <v>764</v>
      </c>
      <c r="B108" s="8" t="s">
        <v>318</v>
      </c>
      <c r="C108" s="31" t="n">
        <f aca="false">C106+C107</f>
        <v>26.1666666666667</v>
      </c>
      <c r="D108" s="31" t="n">
        <f aca="false">D106+D107</f>
        <v>26.1666666666667</v>
      </c>
      <c r="E108" s="31" t="n">
        <f aca="false">E106+E107</f>
        <v>26.1666666666667</v>
      </c>
      <c r="F108" s="31" t="n">
        <f aca="false">F106+F107</f>
        <v>26.1666666666667</v>
      </c>
      <c r="G108" s="31" t="n">
        <f aca="false">G106+G107</f>
        <v>26.1666666666667</v>
      </c>
      <c r="H108" s="31" t="n">
        <f aca="false">H106+H107</f>
        <v>26.1666666666667</v>
      </c>
      <c r="I108" s="31" t="n">
        <f aca="false">I106+I107</f>
        <v>26.1666666666667</v>
      </c>
      <c r="J108" s="31" t="n">
        <f aca="false">J106+J107</f>
        <v>26.1666666666667</v>
      </c>
      <c r="K108" s="31" t="n">
        <f aca="false">K106+K107</f>
        <v>26.1666666666667</v>
      </c>
      <c r="L108" s="31" t="n">
        <f aca="false">L106+L107</f>
        <v>26.1666666666667</v>
      </c>
      <c r="M108" s="31" t="n">
        <f aca="false">M106+M107</f>
        <v>26.1666666666667</v>
      </c>
      <c r="N108" s="31" t="n">
        <f aca="false">N106+N107</f>
        <v>26.1666666666667</v>
      </c>
      <c r="O108" s="43" t="n">
        <f aca="false">SUM(C108:N108)</f>
        <v>314</v>
      </c>
      <c r="P108" s="43" t="n">
        <f aca="false">SUM(C108:G108)</f>
        <v>130.833333333333</v>
      </c>
      <c r="Q108" s="8" t="s">
        <v>820</v>
      </c>
    </row>
    <row r="109" customFormat="false" ht="15" hidden="false" customHeight="false" outlineLevel="0" collapsed="false">
      <c r="A109" s="45" t="s">
        <v>419</v>
      </c>
      <c r="B109" s="46" t="s">
        <v>318</v>
      </c>
      <c r="C109" s="63" t="n">
        <f aca="false">C104-C108</f>
        <v>30.414437730537</v>
      </c>
      <c r="D109" s="63" t="n">
        <f aca="false">D104-D108</f>
        <v>32.369337323572</v>
      </c>
      <c r="E109" s="63" t="n">
        <f aca="false">E104-E108</f>
        <v>35.1047726758235</v>
      </c>
      <c r="F109" s="63" t="n">
        <f aca="false">F104-F108</f>
        <v>32.2243881361343</v>
      </c>
      <c r="G109" s="63" t="n">
        <f aca="false">G104-G108</f>
        <v>33.4677222291709</v>
      </c>
      <c r="H109" s="63" t="n">
        <f aca="false">H104-H108</f>
        <v>36.4829980207636</v>
      </c>
      <c r="I109" s="63" t="n">
        <f aca="false">I104-I108</f>
        <v>35.8479507582237</v>
      </c>
      <c r="J109" s="63" t="n">
        <f aca="false">J104-J108</f>
        <v>34.5973631351616</v>
      </c>
      <c r="K109" s="63" t="n">
        <f aca="false">K104-K108</f>
        <v>30.9218866879377</v>
      </c>
      <c r="L109" s="63" t="n">
        <f aca="false">L104-L108</f>
        <v>32.0874173077155</v>
      </c>
      <c r="M109" s="63" t="n">
        <f aca="false">M104-M108</f>
        <v>33.8560318463049</v>
      </c>
      <c r="N109" s="63" t="n">
        <f aca="false">N104-N108</f>
        <v>38.6483156800832</v>
      </c>
      <c r="O109" s="64" t="n">
        <f aca="false">SUM(C109:N109)</f>
        <v>406.022621531428</v>
      </c>
      <c r="P109" s="64" t="n">
        <f aca="false">SUM(C109:G109)</f>
        <v>163.580658095238</v>
      </c>
      <c r="Q109" s="8" t="s">
        <v>820</v>
      </c>
    </row>
    <row r="110" customFormat="false" ht="15" hidden="false" customHeight="false" outlineLevel="0" collapsed="false">
      <c r="A110" s="8" t="s">
        <v>420</v>
      </c>
      <c r="B110" s="8" t="s">
        <v>285</v>
      </c>
      <c r="C110" s="36" t="n">
        <f aca="false">IFERROR(C109/C97,0)</f>
        <v>0.320869086300709</v>
      </c>
      <c r="D110" s="36" t="n">
        <f aca="false">IFERROR(D109/D97,0)</f>
        <v>0.334523822972913</v>
      </c>
      <c r="E110" s="36" t="n">
        <f aca="false">IFERROR(E109/E97,0)</f>
        <v>0.348566232085732</v>
      </c>
      <c r="F110" s="36" t="n">
        <f aca="false">IFERROR(F109/F97,0)</f>
        <v>0.336459088586516</v>
      </c>
      <c r="G110" s="36" t="n">
        <f aca="false">IFERROR(G109/G97,0)</f>
        <v>0.342381491711504</v>
      </c>
      <c r="H110" s="36" t="n">
        <f aca="false">IFERROR(H109/H97,0)</f>
        <v>0.355284694646478</v>
      </c>
      <c r="I110" s="36" t="n">
        <f aca="false">IFERROR(I109/I97,0)</f>
        <v>0.352489697608361</v>
      </c>
      <c r="J110" s="36" t="n">
        <f aca="false">IFERROR(J109/J97,0)</f>
        <v>0.346929271939563</v>
      </c>
      <c r="K110" s="36" t="n">
        <f aca="false">IFERROR(K109/K97,0)</f>
        <v>0.329656541185135</v>
      </c>
      <c r="L110" s="36" t="n">
        <f aca="false">IFERROR(L109/L97,0)</f>
        <v>0.335028958093486</v>
      </c>
      <c r="M110" s="36" t="n">
        <f aca="false">IFERROR(M109/M97,0)</f>
        <v>0.342890436986414</v>
      </c>
      <c r="N110" s="36" t="n">
        <f aca="false">IFERROR(N109/N97,0)</f>
        <v>0.36243166556326</v>
      </c>
      <c r="O110" s="59" t="n">
        <f aca="false">IFERROR(O109/O97,0)</f>
        <v>0.342679641142675</v>
      </c>
      <c r="P110" s="59" t="n">
        <f aca="false">IFERROR(P109/P97,0)</f>
        <v>0.336733377807498</v>
      </c>
      <c r="Q110" s="8" t="s">
        <v>820</v>
      </c>
    </row>
    <row r="111" customFormat="false" ht="15" hidden="false" customHeight="false" outlineLevel="0" collapsed="false">
      <c r="A111" s="8" t="s">
        <v>718</v>
      </c>
      <c r="B111" s="8" t="s">
        <v>318</v>
      </c>
      <c r="C111" s="31" t="n">
        <f aca="false">C40+C66+C92</f>
        <v>35.3806343007469</v>
      </c>
      <c r="D111" s="31" t="n">
        <f aca="false">D40+D66+D92</f>
        <v>35.962244166524</v>
      </c>
      <c r="E111" s="31" t="n">
        <f aca="false">E40+E66+E92</f>
        <v>35.378183742751</v>
      </c>
      <c r="F111" s="31" t="n">
        <f aca="false">F40+F66+F92</f>
        <v>36.9009533064313</v>
      </c>
      <c r="G111" s="31" t="n">
        <f aca="false">G40+G66+G92</f>
        <v>37.7402010633821</v>
      </c>
      <c r="H111" s="31" t="n">
        <f aca="false">H40+H66+H92</f>
        <v>36.7067409420347</v>
      </c>
      <c r="I111" s="31" t="n">
        <f aca="false">I40+I66+I92</f>
        <v>36.0769486012188</v>
      </c>
      <c r="J111" s="31" t="n">
        <f aca="false">J40+J66+J92</f>
        <v>36.2221617085016</v>
      </c>
      <c r="K111" s="31" t="n">
        <f aca="false">K40+K66+K92</f>
        <v>38.6659909237921</v>
      </c>
      <c r="L111" s="31" t="n">
        <f aca="false">L40+L66+L92</f>
        <v>40.3475074873805</v>
      </c>
      <c r="M111" s="31" t="n">
        <f aca="false">M40+M66+M92</f>
        <v>40.8834109758459</v>
      </c>
      <c r="N111" s="31" t="n">
        <f aca="false">N40+N66+N92</f>
        <v>38.361993172217</v>
      </c>
      <c r="O111" s="43" t="n">
        <f aca="false">N111</f>
        <v>38.361993172217</v>
      </c>
      <c r="P111" s="43" t="n">
        <f aca="false">G111</f>
        <v>37.7402010633821</v>
      </c>
      <c r="Q111" s="8" t="s">
        <v>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J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2"/>
    <col collapsed="false" customWidth="true" hidden="false" outlineLevel="0" max="9" min="9" style="0" width="30"/>
    <col collapsed="false" customWidth="true" hidden="false" outlineLevel="0" max="10" min="10" style="0" width="60"/>
  </cols>
  <sheetData>
    <row r="1" customFormat="false" ht="19.7" hidden="false" customHeight="false" outlineLevel="0" collapsed="false">
      <c r="A1" s="14" t="s">
        <v>833</v>
      </c>
    </row>
    <row r="2" customFormat="false" ht="15" hidden="false" customHeight="false" outlineLevel="0" collapsed="false">
      <c r="A2" s="4" t="s">
        <v>834</v>
      </c>
    </row>
    <row r="3" customFormat="false" ht="15" hidden="false" customHeight="false" outlineLevel="0" collapsed="false">
      <c r="A3" s="3" t="s">
        <v>835</v>
      </c>
    </row>
    <row r="6" customFormat="false" ht="15" hidden="false" customHeight="false" outlineLevel="0" collapsed="false">
      <c r="A6" s="18" t="s">
        <v>427</v>
      </c>
      <c r="B6" s="19" t="s">
        <v>279</v>
      </c>
      <c r="C6" s="55" t="n">
        <f aca="false">Ops_Model!C$6</f>
        <v>46113</v>
      </c>
      <c r="D6" s="55" t="n">
        <f aca="false">Ops_Model!D$6</f>
        <v>46143</v>
      </c>
      <c r="E6" s="55" t="n">
        <f aca="false">Ops_Model!E$6</f>
        <v>46174</v>
      </c>
      <c r="F6" s="55" t="n">
        <f aca="false">Ops_Model!F$6</f>
        <v>46204</v>
      </c>
      <c r="G6" s="55" t="n">
        <f aca="false">Ops_Model!G$6</f>
        <v>46235</v>
      </c>
      <c r="H6" s="19" t="s">
        <v>816</v>
      </c>
      <c r="I6" s="19" t="s">
        <v>100</v>
      </c>
      <c r="J6" s="19" t="s">
        <v>680</v>
      </c>
    </row>
    <row r="8" customFormat="false" ht="15" hidden="false" customHeight="false" outlineLevel="0" collapsed="false">
      <c r="A8" s="16" t="s">
        <v>836</v>
      </c>
      <c r="B8" s="17"/>
      <c r="C8" s="17"/>
      <c r="D8" s="17"/>
      <c r="E8" s="17"/>
      <c r="F8" s="17"/>
      <c r="G8" s="17"/>
      <c r="H8" s="17"/>
      <c r="I8" s="17"/>
      <c r="J8" s="17"/>
    </row>
    <row r="9" customFormat="false" ht="24.05" hidden="false" customHeight="false" outlineLevel="0" collapsed="false">
      <c r="A9" s="18" t="s">
        <v>45</v>
      </c>
      <c r="B9" s="19" t="s">
        <v>279</v>
      </c>
      <c r="C9" s="19" t="s">
        <v>837</v>
      </c>
      <c r="D9" s="19" t="s">
        <v>328</v>
      </c>
      <c r="E9" s="19" t="s">
        <v>838</v>
      </c>
      <c r="F9" s="19"/>
      <c r="G9" s="19"/>
      <c r="H9" s="19"/>
      <c r="I9" s="19" t="s">
        <v>100</v>
      </c>
      <c r="J9" s="19" t="s">
        <v>839</v>
      </c>
    </row>
    <row r="10" customFormat="false" ht="15" hidden="false" customHeight="false" outlineLevel="0" collapsed="false">
      <c r="A10" s="8" t="s">
        <v>840</v>
      </c>
      <c r="B10" s="8" t="s">
        <v>285</v>
      </c>
      <c r="C10" s="23" t="n">
        <v>0.04</v>
      </c>
      <c r="D10" s="23" t="n">
        <v>-0.06</v>
      </c>
      <c r="E10" s="23" t="n">
        <v>0.12</v>
      </c>
      <c r="I10" s="0" t="s">
        <v>183</v>
      </c>
      <c r="J10" s="0" t="s">
        <v>841</v>
      </c>
    </row>
    <row r="11" customFormat="false" ht="15" hidden="false" customHeight="false" outlineLevel="0" collapsed="false">
      <c r="A11" s="8" t="s">
        <v>842</v>
      </c>
      <c r="B11" s="8" t="s">
        <v>285</v>
      </c>
      <c r="C11" s="23" t="n">
        <v>-0.02</v>
      </c>
      <c r="D11" s="23" t="n">
        <v>-0.005</v>
      </c>
      <c r="E11" s="23" t="n">
        <v>0.02</v>
      </c>
      <c r="I11" s="0" t="s">
        <v>183</v>
      </c>
      <c r="J11" s="0" t="s">
        <v>843</v>
      </c>
    </row>
    <row r="12" customFormat="false" ht="15" hidden="false" customHeight="false" outlineLevel="0" collapsed="false">
      <c r="A12" s="8" t="s">
        <v>844</v>
      </c>
      <c r="B12" s="8" t="s">
        <v>285</v>
      </c>
      <c r="C12" s="23" t="n">
        <v>0.925</v>
      </c>
      <c r="D12" s="23" t="n">
        <v>0.935</v>
      </c>
      <c r="E12" s="23" t="n">
        <v>0.82</v>
      </c>
      <c r="I12" s="0" t="s">
        <v>183</v>
      </c>
      <c r="J12" s="0" t="s">
        <v>845</v>
      </c>
    </row>
    <row r="13" customFormat="false" ht="15" hidden="false" customHeight="false" outlineLevel="0" collapsed="false">
      <c r="A13" s="8" t="s">
        <v>846</v>
      </c>
      <c r="B13" s="8" t="s">
        <v>285</v>
      </c>
      <c r="C13" s="23" t="n">
        <v>0.82</v>
      </c>
      <c r="D13" s="23" t="n">
        <v>0.76</v>
      </c>
      <c r="E13" s="23" t="n">
        <v>0.88</v>
      </c>
      <c r="I13" s="0" t="s">
        <v>183</v>
      </c>
      <c r="J13" s="0" t="s">
        <v>847</v>
      </c>
    </row>
    <row r="14" customFormat="false" ht="15" hidden="false" customHeight="false" outlineLevel="0" collapsed="false">
      <c r="A14" s="8" t="s">
        <v>848</v>
      </c>
      <c r="B14" s="8" t="s">
        <v>285</v>
      </c>
      <c r="C14" s="23" t="n">
        <v>0.045</v>
      </c>
      <c r="D14" s="23" t="n">
        <v>0.04</v>
      </c>
      <c r="E14" s="23" t="n">
        <v>0.06</v>
      </c>
      <c r="I14" s="0" t="s">
        <v>183</v>
      </c>
      <c r="J14" s="0" t="s">
        <v>849</v>
      </c>
    </row>
    <row r="15" customFormat="false" ht="15" hidden="false" customHeight="false" outlineLevel="0" collapsed="false">
      <c r="A15" s="8" t="s">
        <v>850</v>
      </c>
      <c r="B15" s="8" t="s">
        <v>318</v>
      </c>
      <c r="C15" s="28" t="n">
        <v>9.6</v>
      </c>
      <c r="D15" s="28" t="n">
        <v>5.1</v>
      </c>
      <c r="E15" s="28" t="n">
        <v>4.6</v>
      </c>
      <c r="I15" s="0" t="s">
        <v>183</v>
      </c>
      <c r="J15" s="0" t="s">
        <v>851</v>
      </c>
    </row>
    <row r="16" customFormat="false" ht="15" hidden="false" customHeight="false" outlineLevel="0" collapsed="false">
      <c r="A16" s="8" t="s">
        <v>852</v>
      </c>
      <c r="B16" s="8" t="s">
        <v>318</v>
      </c>
      <c r="C16" s="28" t="n">
        <v>18</v>
      </c>
      <c r="I16" s="0" t="s">
        <v>183</v>
      </c>
      <c r="J16" s="0" t="s">
        <v>853</v>
      </c>
    </row>
    <row r="17" customFormat="false" ht="15" hidden="false" customHeight="false" outlineLevel="0" collapsed="false">
      <c r="A17" s="8" t="s">
        <v>854</v>
      </c>
      <c r="B17" s="8" t="s">
        <v>318</v>
      </c>
      <c r="C17" s="28" t="n">
        <v>8.4</v>
      </c>
      <c r="I17" s="0" t="s">
        <v>183</v>
      </c>
      <c r="J17" s="0" t="s">
        <v>855</v>
      </c>
    </row>
    <row r="18" customFormat="false" ht="15" hidden="false" customHeight="false" outlineLevel="0" collapsed="false">
      <c r="A18" s="8" t="s">
        <v>856</v>
      </c>
      <c r="B18" s="8" t="s">
        <v>285</v>
      </c>
      <c r="C18" s="23" t="n">
        <v>0.026</v>
      </c>
      <c r="I18" s="0" t="s">
        <v>183</v>
      </c>
      <c r="J18" s="0" t="s">
        <v>857</v>
      </c>
    </row>
    <row r="19" customFormat="false" ht="15" hidden="false" customHeight="false" outlineLevel="0" collapsed="false">
      <c r="A19" s="8" t="s">
        <v>858</v>
      </c>
      <c r="B19" s="8" t="s">
        <v>644</v>
      </c>
      <c r="C19" s="34" t="n">
        <v>0.99</v>
      </c>
      <c r="D19" s="34" t="n">
        <v>1.02</v>
      </c>
      <c r="E19" s="34" t="n">
        <v>1</v>
      </c>
      <c r="F19" s="34" t="n">
        <v>0.98</v>
      </c>
      <c r="G19" s="34" t="n">
        <v>1.01</v>
      </c>
      <c r="I19" s="0" t="s">
        <v>183</v>
      </c>
      <c r="J19" s="0" t="s">
        <v>859</v>
      </c>
    </row>
    <row r="21" customFormat="false" ht="15" hidden="false" customHeight="false" outlineLevel="0" collapsed="false">
      <c r="A21" s="16" t="s">
        <v>860</v>
      </c>
      <c r="B21" s="17"/>
      <c r="C21" s="17"/>
      <c r="D21" s="17"/>
      <c r="E21" s="17"/>
      <c r="F21" s="17"/>
      <c r="G21" s="17"/>
      <c r="H21" s="17"/>
      <c r="I21" s="17"/>
      <c r="J21" s="17"/>
    </row>
    <row r="22" customFormat="false" ht="15" hidden="false" customHeight="false" outlineLevel="0" collapsed="false">
      <c r="A22" s="8" t="s">
        <v>685</v>
      </c>
      <c r="B22" s="8" t="s">
        <v>355</v>
      </c>
      <c r="C22" s="35" t="n">
        <f aca="false">Budget!C19*(1+$C$10)*C$19</f>
        <v>24.698341287051</v>
      </c>
      <c r="D22" s="35" t="n">
        <f aca="false">Budget!D19*(1+$C$10)*D$19</f>
        <v>25.9769170354968</v>
      </c>
      <c r="E22" s="35" t="n">
        <f aca="false">Budget!E19*(1+$C$10)*E$19</f>
        <v>26.5070581994865</v>
      </c>
      <c r="F22" s="35" t="n">
        <f aca="false">Budget!F19*(1+$C$10)*F$19</f>
        <v>24.703538749443</v>
      </c>
      <c r="G22" s="35" t="n">
        <f aca="false">Budget!G19*(1+$C$10)*G$19</f>
        <v>25.9847132290849</v>
      </c>
      <c r="H22" s="58" t="n">
        <f aca="false">SUM(C22:G22)</f>
        <v>127.870568500562</v>
      </c>
      <c r="I22" s="8" t="s">
        <v>183</v>
      </c>
      <c r="J22" s="8"/>
    </row>
    <row r="23" customFormat="false" ht="15" hidden="false" customHeight="false" outlineLevel="0" collapsed="false">
      <c r="A23" s="8" t="s">
        <v>345</v>
      </c>
      <c r="B23" s="8" t="s">
        <v>355</v>
      </c>
      <c r="C23" s="35" t="n">
        <f aca="false">Assumptions!$C$46</f>
        <v>35</v>
      </c>
      <c r="D23" s="35" t="n">
        <f aca="false">Assumptions!$C$46</f>
        <v>35</v>
      </c>
      <c r="E23" s="35" t="n">
        <f aca="false">Assumptions!$C$46</f>
        <v>35</v>
      </c>
      <c r="F23" s="35" t="n">
        <f aca="false">Assumptions!$C$46</f>
        <v>35</v>
      </c>
      <c r="G23" s="35" t="n">
        <f aca="false">Assumptions!$C$46</f>
        <v>35</v>
      </c>
      <c r="H23" s="58" t="n">
        <f aca="false">SUM(C23:G23)</f>
        <v>175</v>
      </c>
      <c r="I23" s="8" t="s">
        <v>183</v>
      </c>
      <c r="J23" s="8"/>
    </row>
    <row r="24" customFormat="false" ht="15" hidden="false" customHeight="false" outlineLevel="0" collapsed="false">
      <c r="A24" s="8" t="s">
        <v>688</v>
      </c>
      <c r="B24" s="8" t="s">
        <v>285</v>
      </c>
      <c r="C24" s="36" t="n">
        <f aca="false">$C$13</f>
        <v>0.82</v>
      </c>
      <c r="D24" s="36" t="n">
        <f aca="false">$C$13</f>
        <v>0.82</v>
      </c>
      <c r="E24" s="36" t="n">
        <f aca="false">$C$13</f>
        <v>0.82</v>
      </c>
      <c r="F24" s="36" t="n">
        <f aca="false">$C$13</f>
        <v>0.82</v>
      </c>
      <c r="G24" s="36" t="n">
        <f aca="false">$C$13</f>
        <v>0.82</v>
      </c>
      <c r="H24" s="59" t="n">
        <f aca="false">IFERROR(H25/H23,0)</f>
        <v>0.82</v>
      </c>
      <c r="I24" s="8" t="s">
        <v>183</v>
      </c>
      <c r="J24" s="8"/>
    </row>
    <row r="25" customFormat="false" ht="15" hidden="false" customHeight="false" outlineLevel="0" collapsed="false">
      <c r="A25" s="8" t="s">
        <v>357</v>
      </c>
      <c r="B25" s="8" t="s">
        <v>355</v>
      </c>
      <c r="C25" s="35" t="n">
        <f aca="false">C23*C24</f>
        <v>28.7</v>
      </c>
      <c r="D25" s="35" t="n">
        <f aca="false">D23*D24</f>
        <v>28.7</v>
      </c>
      <c r="E25" s="35" t="n">
        <f aca="false">E23*E24</f>
        <v>28.7</v>
      </c>
      <c r="F25" s="35" t="n">
        <f aca="false">F23*F24</f>
        <v>28.7</v>
      </c>
      <c r="G25" s="35" t="n">
        <f aca="false">G23*G24</f>
        <v>28.7</v>
      </c>
      <c r="H25" s="58" t="n">
        <f aca="false">SUM(C25:G25)</f>
        <v>143.5</v>
      </c>
      <c r="I25" s="8" t="s">
        <v>183</v>
      </c>
      <c r="J25" s="8" t="s">
        <v>690</v>
      </c>
    </row>
    <row r="26" customFormat="false" ht="15" hidden="false" customHeight="false" outlineLevel="0" collapsed="false">
      <c r="A26" s="8" t="s">
        <v>691</v>
      </c>
      <c r="B26" s="8" t="s">
        <v>285</v>
      </c>
      <c r="C26" s="36" t="n">
        <f aca="false">$C$12</f>
        <v>0.925</v>
      </c>
      <c r="D26" s="36" t="n">
        <f aca="false">$C$12</f>
        <v>0.925</v>
      </c>
      <c r="E26" s="36" t="n">
        <f aca="false">$C$12</f>
        <v>0.925</v>
      </c>
      <c r="F26" s="36" t="n">
        <f aca="false">$C$12</f>
        <v>0.925</v>
      </c>
      <c r="G26" s="36" t="n">
        <f aca="false">$C$12</f>
        <v>0.925</v>
      </c>
      <c r="H26" s="59" t="n">
        <f aca="false">IFERROR(H27/H25,0)</f>
        <v>0.925</v>
      </c>
      <c r="I26" s="8" t="s">
        <v>183</v>
      </c>
      <c r="J26" s="8"/>
    </row>
    <row r="27" customFormat="false" ht="15" hidden="false" customHeight="false" outlineLevel="0" collapsed="false">
      <c r="A27" s="8" t="s">
        <v>693</v>
      </c>
      <c r="B27" s="8" t="s">
        <v>355</v>
      </c>
      <c r="C27" s="35" t="n">
        <f aca="false">C25*C26</f>
        <v>26.5475</v>
      </c>
      <c r="D27" s="35" t="n">
        <f aca="false">D25*D26</f>
        <v>26.5475</v>
      </c>
      <c r="E27" s="35" t="n">
        <f aca="false">E25*E26</f>
        <v>26.5475</v>
      </c>
      <c r="F27" s="35" t="n">
        <f aca="false">F25*F26</f>
        <v>26.5475</v>
      </c>
      <c r="G27" s="35" t="n">
        <f aca="false">G25*G26</f>
        <v>26.5475</v>
      </c>
      <c r="H27" s="58" t="n">
        <f aca="false">SUM(C27:G27)</f>
        <v>132.7375</v>
      </c>
      <c r="I27" s="8" t="s">
        <v>183</v>
      </c>
      <c r="J27" s="8" t="s">
        <v>694</v>
      </c>
    </row>
    <row r="28" customFormat="false" ht="15" hidden="false" customHeight="false" outlineLevel="0" collapsed="false">
      <c r="A28" s="8" t="s">
        <v>412</v>
      </c>
      <c r="B28" s="8" t="s">
        <v>355</v>
      </c>
      <c r="C28" s="35" t="n">
        <f aca="false">Assumptions!$C$67</f>
        <v>20.8231666348405</v>
      </c>
      <c r="D28" s="35" t="n">
        <f aca="false">C31</f>
        <v>22.6723253477895</v>
      </c>
      <c r="E28" s="35" t="n">
        <f aca="false">D31</f>
        <v>23.2429083122927</v>
      </c>
      <c r="F28" s="35" t="n">
        <f aca="false">E31</f>
        <v>23.2833501128061</v>
      </c>
      <c r="G28" s="35" t="n">
        <f aca="false">F31</f>
        <v>25.1273113633631</v>
      </c>
      <c r="H28" s="58" t="n">
        <f aca="false">C28</f>
        <v>20.8231666348405</v>
      </c>
      <c r="I28" s="8" t="s">
        <v>183</v>
      </c>
      <c r="J28" s="8"/>
    </row>
    <row r="29" customFormat="false" ht="15" hidden="false" customHeight="false" outlineLevel="0" collapsed="false">
      <c r="A29" s="8" t="s">
        <v>696</v>
      </c>
      <c r="B29" s="8" t="s">
        <v>355</v>
      </c>
      <c r="C29" s="35" t="n">
        <f aca="false">C28+C27</f>
        <v>47.3706666348405</v>
      </c>
      <c r="D29" s="35" t="n">
        <f aca="false">D28+D27</f>
        <v>49.2198253477895</v>
      </c>
      <c r="E29" s="35" t="n">
        <f aca="false">E28+E27</f>
        <v>49.7904083122927</v>
      </c>
      <c r="F29" s="35" t="n">
        <f aca="false">F28+F27</f>
        <v>49.8308501128062</v>
      </c>
      <c r="G29" s="35" t="n">
        <f aca="false">G28+G27</f>
        <v>51.6748113633631</v>
      </c>
      <c r="I29" s="8" t="s">
        <v>183</v>
      </c>
      <c r="J29" s="8"/>
    </row>
    <row r="30" customFormat="false" ht="15" hidden="false" customHeight="false" outlineLevel="0" collapsed="false">
      <c r="A30" s="7" t="s">
        <v>354</v>
      </c>
      <c r="B30" s="8" t="s">
        <v>355</v>
      </c>
      <c r="C30" s="35" t="n">
        <f aca="false">MIN(C22,C29)</f>
        <v>24.698341287051</v>
      </c>
      <c r="D30" s="35" t="n">
        <f aca="false">MIN(D22,D29)</f>
        <v>25.9769170354968</v>
      </c>
      <c r="E30" s="35" t="n">
        <f aca="false">MIN(E22,E29)</f>
        <v>26.5070581994865</v>
      </c>
      <c r="F30" s="35" t="n">
        <f aca="false">MIN(F22,F29)</f>
        <v>24.703538749443</v>
      </c>
      <c r="G30" s="35" t="n">
        <f aca="false">MIN(G22,G29)</f>
        <v>25.9847132290849</v>
      </c>
      <c r="H30" s="58" t="n">
        <f aca="false">SUM(C30:G30)</f>
        <v>127.870568500562</v>
      </c>
      <c r="I30" s="8" t="s">
        <v>183</v>
      </c>
      <c r="J30" s="8" t="s">
        <v>821</v>
      </c>
    </row>
    <row r="31" customFormat="false" ht="15" hidden="false" customHeight="false" outlineLevel="0" collapsed="false">
      <c r="A31" s="8" t="s">
        <v>699</v>
      </c>
      <c r="B31" s="8" t="s">
        <v>355</v>
      </c>
      <c r="C31" s="35" t="n">
        <f aca="false">C29-C30</f>
        <v>22.6723253477895</v>
      </c>
      <c r="D31" s="35" t="n">
        <f aca="false">D29-D30</f>
        <v>23.2429083122927</v>
      </c>
      <c r="E31" s="35" t="n">
        <f aca="false">E29-E30</f>
        <v>23.2833501128061</v>
      </c>
      <c r="F31" s="35" t="n">
        <f aca="false">F29-F30</f>
        <v>25.1273113633631</v>
      </c>
      <c r="G31" s="35" t="n">
        <f aca="false">G29-G30</f>
        <v>25.6900981342782</v>
      </c>
      <c r="H31" s="58" t="n">
        <f aca="false">G31</f>
        <v>25.6900981342782</v>
      </c>
      <c r="I31" s="8" t="s">
        <v>183</v>
      </c>
      <c r="J31" s="8" t="s">
        <v>822</v>
      </c>
    </row>
    <row r="32" customFormat="false" ht="15" hidden="false" customHeight="false" outlineLevel="0" collapsed="false">
      <c r="A32" s="8" t="s">
        <v>823</v>
      </c>
      <c r="B32" s="8" t="s">
        <v>355</v>
      </c>
      <c r="C32" s="35" t="n">
        <f aca="false">C22-C30</f>
        <v>0</v>
      </c>
      <c r="D32" s="35" t="n">
        <f aca="false">D22-D30</f>
        <v>0</v>
      </c>
      <c r="E32" s="35" t="n">
        <f aca="false">E22-E30</f>
        <v>0</v>
      </c>
      <c r="F32" s="35" t="n">
        <f aca="false">F22-F30</f>
        <v>0</v>
      </c>
      <c r="G32" s="35" t="n">
        <f aca="false">G22-G30</f>
        <v>0</v>
      </c>
      <c r="H32" s="58" t="n">
        <f aca="false">SUM(C32:G32)</f>
        <v>0</v>
      </c>
      <c r="I32" s="8" t="s">
        <v>183</v>
      </c>
      <c r="J32" s="8"/>
    </row>
    <row r="33" customFormat="false" ht="15" hidden="false" customHeight="false" outlineLevel="0" collapsed="false">
      <c r="A33" s="8" t="s">
        <v>705</v>
      </c>
      <c r="B33" s="8" t="s">
        <v>336</v>
      </c>
      <c r="C33" s="37" t="n">
        <f aca="false">Assumptions!$C$42*(1+$C$11)</f>
        <v>1.96</v>
      </c>
      <c r="D33" s="37" t="n">
        <f aca="false">Assumptions!$C$42*(1+$C$11)</f>
        <v>1.96</v>
      </c>
      <c r="E33" s="37" t="n">
        <f aca="false">Assumptions!$C$42*(1+$C$11)</f>
        <v>1.96</v>
      </c>
      <c r="F33" s="37" t="n">
        <f aca="false">Assumptions!$C$42*(1+$C$11)</f>
        <v>1.96</v>
      </c>
      <c r="G33" s="37" t="n">
        <f aca="false">Assumptions!$C$42*(1+$C$11)</f>
        <v>1.96</v>
      </c>
      <c r="H33" s="62" t="n">
        <f aca="false">IFERROR(H34/H30,0)</f>
        <v>1.96</v>
      </c>
      <c r="I33" s="8" t="s">
        <v>183</v>
      </c>
      <c r="J33" s="8"/>
    </row>
    <row r="34" customFormat="false" ht="15" hidden="false" customHeight="false" outlineLevel="0" collapsed="false">
      <c r="A34" s="7" t="s">
        <v>22</v>
      </c>
      <c r="B34" s="8" t="s">
        <v>318</v>
      </c>
      <c r="C34" s="31" t="n">
        <f aca="false">C30*C33</f>
        <v>48.4087489226199</v>
      </c>
      <c r="D34" s="31" t="n">
        <f aca="false">D30*D33</f>
        <v>50.9147573895737</v>
      </c>
      <c r="E34" s="31" t="n">
        <f aca="false">E30*E33</f>
        <v>51.9538340709936</v>
      </c>
      <c r="F34" s="31" t="n">
        <f aca="false">F30*F33</f>
        <v>48.4189359489084</v>
      </c>
      <c r="G34" s="31" t="n">
        <f aca="false">G30*G33</f>
        <v>50.9300379290064</v>
      </c>
      <c r="H34" s="43" t="n">
        <f aca="false">SUM(C34:G34)</f>
        <v>250.626314261102</v>
      </c>
      <c r="I34" s="8" t="s">
        <v>183</v>
      </c>
      <c r="J34" s="8" t="s">
        <v>707</v>
      </c>
    </row>
    <row r="35" customFormat="false" ht="15" hidden="false" customHeight="false" outlineLevel="0" collapsed="false">
      <c r="A35" s="8" t="s">
        <v>708</v>
      </c>
      <c r="B35" s="8" t="s">
        <v>336</v>
      </c>
      <c r="C35" s="37" t="n">
        <f aca="false">Assumptions!$C$44*(1+$C$14)</f>
        <v>0.32395</v>
      </c>
      <c r="D35" s="37" t="n">
        <f aca="false">Assumptions!$C$44*(1+$C$14)</f>
        <v>0.32395</v>
      </c>
      <c r="E35" s="37" t="n">
        <f aca="false">Assumptions!$C$44*(1+$C$14)</f>
        <v>0.32395</v>
      </c>
      <c r="F35" s="37" t="n">
        <f aca="false">Assumptions!$C$44*(1+$C$14)</f>
        <v>0.32395</v>
      </c>
      <c r="G35" s="37" t="n">
        <f aca="false">Assumptions!$C$44*(1+$C$14)</f>
        <v>0.32395</v>
      </c>
      <c r="H35" s="62" t="n">
        <f aca="false">IFERROR(H36/H25,0)</f>
        <v>0.32395</v>
      </c>
      <c r="I35" s="8" t="s">
        <v>183</v>
      </c>
      <c r="J35" s="8"/>
    </row>
    <row r="36" customFormat="false" ht="15" hidden="false" customHeight="false" outlineLevel="0" collapsed="false">
      <c r="A36" s="8" t="s">
        <v>361</v>
      </c>
      <c r="B36" s="8" t="s">
        <v>318</v>
      </c>
      <c r="C36" s="31" t="n">
        <f aca="false">C25*C35</f>
        <v>9.297365</v>
      </c>
      <c r="D36" s="31" t="n">
        <f aca="false">D25*D35</f>
        <v>9.297365</v>
      </c>
      <c r="E36" s="31" t="n">
        <f aca="false">E25*E35</f>
        <v>9.297365</v>
      </c>
      <c r="F36" s="31" t="n">
        <f aca="false">F25*F35</f>
        <v>9.297365</v>
      </c>
      <c r="G36" s="31" t="n">
        <f aca="false">G25*G35</f>
        <v>9.297365</v>
      </c>
      <c r="H36" s="43" t="n">
        <f aca="false">SUM(C36:G36)</f>
        <v>46.486825</v>
      </c>
      <c r="I36" s="8" t="s">
        <v>183</v>
      </c>
      <c r="J36" s="8" t="s">
        <v>824</v>
      </c>
    </row>
    <row r="37" customFormat="false" ht="15" hidden="false" customHeight="false" outlineLevel="0" collapsed="false">
      <c r="A37" s="8" t="s">
        <v>363</v>
      </c>
      <c r="B37" s="8" t="s">
        <v>318</v>
      </c>
      <c r="C37" s="31" t="n">
        <f aca="false">$C$15</f>
        <v>9.6</v>
      </c>
      <c r="D37" s="31" t="n">
        <f aca="false">$C$15</f>
        <v>9.6</v>
      </c>
      <c r="E37" s="31" t="n">
        <f aca="false">$C$15</f>
        <v>9.6</v>
      </c>
      <c r="F37" s="31" t="n">
        <f aca="false">$C$15</f>
        <v>9.6</v>
      </c>
      <c r="G37" s="31" t="n">
        <f aca="false">$C$15</f>
        <v>9.6</v>
      </c>
      <c r="H37" s="43" t="n">
        <f aca="false">SUM(C37:G37)</f>
        <v>48</v>
      </c>
      <c r="I37" s="8" t="s">
        <v>183</v>
      </c>
      <c r="J37" s="8"/>
    </row>
    <row r="38" customFormat="false" ht="15" hidden="false" customHeight="false" outlineLevel="0" collapsed="false">
      <c r="A38" s="8" t="s">
        <v>711</v>
      </c>
      <c r="B38" s="8" t="s">
        <v>318</v>
      </c>
      <c r="C38" s="31" t="n">
        <f aca="false">C36+C37</f>
        <v>18.897365</v>
      </c>
      <c r="D38" s="31" t="n">
        <f aca="false">D36+D37</f>
        <v>18.897365</v>
      </c>
      <c r="E38" s="31" t="n">
        <f aca="false">E36+E37</f>
        <v>18.897365</v>
      </c>
      <c r="F38" s="31" t="n">
        <f aca="false">F36+F37</f>
        <v>18.897365</v>
      </c>
      <c r="G38" s="31" t="n">
        <f aca="false">G36+G37</f>
        <v>18.897365</v>
      </c>
      <c r="H38" s="43" t="n">
        <f aca="false">SUM(C38:G38)</f>
        <v>94.486825</v>
      </c>
      <c r="I38" s="8" t="s">
        <v>183</v>
      </c>
      <c r="J38" s="8" t="s">
        <v>825</v>
      </c>
    </row>
    <row r="39" customFormat="false" ht="15" hidden="false" customHeight="false" outlineLevel="0" collapsed="false">
      <c r="A39" s="8" t="s">
        <v>371</v>
      </c>
      <c r="B39" s="8" t="s">
        <v>336</v>
      </c>
      <c r="C39" s="37" t="n">
        <f aca="false">IFERROR(C38/C27,0)</f>
        <v>0.711832187588285</v>
      </c>
      <c r="D39" s="37" t="n">
        <f aca="false">IFERROR(D38/D27,0)</f>
        <v>0.711832187588285</v>
      </c>
      <c r="E39" s="37" t="n">
        <f aca="false">IFERROR(E38/E27,0)</f>
        <v>0.711832187588285</v>
      </c>
      <c r="F39" s="37" t="n">
        <f aca="false">IFERROR(F38/F27,0)</f>
        <v>0.711832187588285</v>
      </c>
      <c r="G39" s="37" t="n">
        <f aca="false">IFERROR(G38/G27,0)</f>
        <v>0.711832187588285</v>
      </c>
      <c r="H39" s="62" t="n">
        <f aca="false">IFERROR(H38/H27,0)</f>
        <v>0.711832187588285</v>
      </c>
      <c r="I39" s="8" t="s">
        <v>183</v>
      </c>
      <c r="J39" s="8"/>
    </row>
    <row r="40" customFormat="false" ht="15" hidden="false" customHeight="false" outlineLevel="0" collapsed="false">
      <c r="A40" s="8" t="s">
        <v>713</v>
      </c>
      <c r="B40" s="8" t="s">
        <v>318</v>
      </c>
      <c r="C40" s="31" t="n">
        <f aca="false">Assumptions!$C$68</f>
        <v>16.5165018008702</v>
      </c>
      <c r="D40" s="31" t="n">
        <f aca="false">C43</f>
        <v>16.9496181280691</v>
      </c>
      <c r="E40" s="31" t="n">
        <f aca="false">D43</f>
        <v>16.9278971680754</v>
      </c>
      <c r="F40" s="31" t="n">
        <f aca="false">E43</f>
        <v>16.7528676750464</v>
      </c>
      <c r="G40" s="31" t="n">
        <f aca="false">F43</f>
        <v>17.9767050847888</v>
      </c>
      <c r="H40" s="43" t="n">
        <f aca="false">C40</f>
        <v>16.5165018008702</v>
      </c>
      <c r="I40" s="8" t="s">
        <v>183</v>
      </c>
      <c r="J40" s="8"/>
    </row>
    <row r="41" customFormat="false" ht="15" hidden="false" customHeight="false" outlineLevel="0" collapsed="false">
      <c r="A41" s="8" t="s">
        <v>715</v>
      </c>
      <c r="B41" s="8" t="s">
        <v>336</v>
      </c>
      <c r="C41" s="37" t="n">
        <f aca="false">IFERROR((C40+C38)/C29,0)</f>
        <v>0.747590636075697</v>
      </c>
      <c r="D41" s="37" t="n">
        <f aca="false">IFERROR((D40+D38)/D29,0)</f>
        <v>0.728303744980253</v>
      </c>
      <c r="E41" s="37" t="n">
        <f aca="false">IFERROR((E40+E38)/E29,0)</f>
        <v>0.719521357273758</v>
      </c>
      <c r="F41" s="37" t="n">
        <f aca="false">IFERROR((F40+F38)/F29,0)</f>
        <v>0.715424934440052</v>
      </c>
      <c r="G41" s="37" t="n">
        <f aca="false">IFERROR((G40+G38)/G29,0)</f>
        <v>0.713579190942768</v>
      </c>
      <c r="I41" s="8" t="s">
        <v>183</v>
      </c>
      <c r="J41" s="8" t="s">
        <v>826</v>
      </c>
    </row>
    <row r="42" customFormat="false" ht="15" hidden="false" customHeight="false" outlineLevel="0" collapsed="false">
      <c r="A42" s="8" t="s">
        <v>827</v>
      </c>
      <c r="B42" s="8" t="s">
        <v>318</v>
      </c>
      <c r="C42" s="31" t="n">
        <f aca="false">C30*C41</f>
        <v>18.4642486728011</v>
      </c>
      <c r="D42" s="31" t="n">
        <f aca="false">D30*D41</f>
        <v>18.9190859599937</v>
      </c>
      <c r="E42" s="31" t="n">
        <f aca="false">E30*E41</f>
        <v>19.072394493029</v>
      </c>
      <c r="F42" s="31" t="n">
        <f aca="false">F30*F41</f>
        <v>17.6735275902576</v>
      </c>
      <c r="G42" s="31" t="n">
        <f aca="false">G30*G41</f>
        <v>18.5421506428902</v>
      </c>
      <c r="H42" s="43" t="n">
        <f aca="false">SUM(C42:G42)</f>
        <v>92.6714073589716</v>
      </c>
      <c r="I42" s="8" t="s">
        <v>183</v>
      </c>
      <c r="J42" s="8" t="s">
        <v>717</v>
      </c>
    </row>
    <row r="43" customFormat="false" ht="15" hidden="false" customHeight="false" outlineLevel="0" collapsed="false">
      <c r="A43" s="8" t="s">
        <v>718</v>
      </c>
      <c r="B43" s="8" t="s">
        <v>318</v>
      </c>
      <c r="C43" s="31" t="n">
        <f aca="false">C40+C38-C42</f>
        <v>16.9496181280691</v>
      </c>
      <c r="D43" s="31" t="n">
        <f aca="false">D40+D38-D42</f>
        <v>16.9278971680754</v>
      </c>
      <c r="E43" s="31" t="n">
        <f aca="false">E40+E38-E42</f>
        <v>16.7528676750464</v>
      </c>
      <c r="F43" s="31" t="n">
        <f aca="false">F40+F38-F42</f>
        <v>17.9767050847888</v>
      </c>
      <c r="G43" s="31" t="n">
        <f aca="false">G40+G38-G42</f>
        <v>18.3319194418986</v>
      </c>
      <c r="H43" s="43" t="n">
        <f aca="false">G43</f>
        <v>18.3319194418986</v>
      </c>
      <c r="I43" s="8" t="s">
        <v>183</v>
      </c>
      <c r="J43" s="8" t="s">
        <v>828</v>
      </c>
    </row>
    <row r="44" customFormat="false" ht="15" hidden="false" customHeight="false" outlineLevel="0" collapsed="false">
      <c r="A44" s="7" t="s">
        <v>829</v>
      </c>
      <c r="B44" s="8" t="s">
        <v>318</v>
      </c>
      <c r="C44" s="31" t="n">
        <f aca="false">C34-C42</f>
        <v>29.9445002498188</v>
      </c>
      <c r="D44" s="31" t="n">
        <f aca="false">D34-D42</f>
        <v>31.9956714295801</v>
      </c>
      <c r="E44" s="31" t="n">
        <f aca="false">E34-E42</f>
        <v>32.8814395779646</v>
      </c>
      <c r="F44" s="31" t="n">
        <f aca="false">F34-F42</f>
        <v>30.7454083586508</v>
      </c>
      <c r="G44" s="31" t="n">
        <f aca="false">G34-G42</f>
        <v>32.3878872861161</v>
      </c>
      <c r="H44" s="43" t="n">
        <f aca="false">SUM(C44:G44)</f>
        <v>157.95490690213</v>
      </c>
      <c r="I44" s="8" t="s">
        <v>183</v>
      </c>
      <c r="J44" s="8" t="s">
        <v>368</v>
      </c>
    </row>
    <row r="45" customFormat="false" ht="15" hidden="false" customHeight="false" outlineLevel="0" collapsed="false">
      <c r="A45" s="8" t="s">
        <v>369</v>
      </c>
      <c r="B45" s="8" t="s">
        <v>285</v>
      </c>
      <c r="C45" s="36" t="n">
        <f aca="false">IFERROR(C44/C34,0)</f>
        <v>0.618576206083828</v>
      </c>
      <c r="D45" s="36" t="n">
        <f aca="false">IFERROR(D44/D34,0)</f>
        <v>0.628416456642728</v>
      </c>
      <c r="E45" s="36" t="n">
        <f aca="false">IFERROR(E44/E34,0)</f>
        <v>0.632897266697062</v>
      </c>
      <c r="F45" s="36" t="n">
        <f aca="false">IFERROR(F44/F34,0)</f>
        <v>0.634987278346912</v>
      </c>
      <c r="G45" s="36" t="n">
        <f aca="false">IFERROR(G44/G34,0)</f>
        <v>0.635928984212873</v>
      </c>
      <c r="H45" s="59" t="n">
        <f aca="false">IFERROR(H44/H34,0)</f>
        <v>0.630240712623549</v>
      </c>
      <c r="I45" s="8" t="s">
        <v>183</v>
      </c>
      <c r="J45" s="8"/>
    </row>
    <row r="47" customFormat="false" ht="15" hidden="false" customHeight="false" outlineLevel="0" collapsed="false">
      <c r="A47" s="16" t="s">
        <v>861</v>
      </c>
      <c r="B47" s="17"/>
      <c r="C47" s="17"/>
      <c r="D47" s="17"/>
      <c r="E47" s="17"/>
      <c r="F47" s="17"/>
      <c r="G47" s="17"/>
      <c r="H47" s="17"/>
      <c r="I47" s="17"/>
      <c r="J47" s="17"/>
    </row>
    <row r="48" customFormat="false" ht="15" hidden="false" customHeight="false" outlineLevel="0" collapsed="false">
      <c r="A48" s="8" t="s">
        <v>685</v>
      </c>
      <c r="B48" s="8" t="s">
        <v>355</v>
      </c>
      <c r="C48" s="35" t="n">
        <f aca="false">Budget!C45*(1+$D$10)*C$19</f>
        <v>30.1772190278161</v>
      </c>
      <c r="D48" s="35" t="n">
        <f aca="false">Budget!D45*(1+$D$10)*D$19</f>
        <v>31.7394235481954</v>
      </c>
      <c r="E48" s="35" t="n">
        <f aca="false">Budget!E45*(1+$D$10)*E$19</f>
        <v>32.3871668859137</v>
      </c>
      <c r="F48" s="35" t="n">
        <f aca="false">Budget!F45*(1+$D$10)*F$19</f>
        <v>30.1835694526957</v>
      </c>
      <c r="G48" s="35" t="n">
        <f aca="false">Budget!G45*(1+$D$10)*G$19</f>
        <v>31.7489491855148</v>
      </c>
      <c r="H48" s="58" t="n">
        <f aca="false">SUM(C48:G48)</f>
        <v>156.236328100136</v>
      </c>
      <c r="I48" s="8" t="s">
        <v>183</v>
      </c>
      <c r="J48" s="8"/>
    </row>
    <row r="49" customFormat="false" ht="15" hidden="false" customHeight="false" outlineLevel="0" collapsed="false">
      <c r="A49" s="8" t="s">
        <v>345</v>
      </c>
      <c r="B49" s="8" t="s">
        <v>355</v>
      </c>
      <c r="C49" s="35" t="n">
        <f aca="false">Assumptions!$D$46</f>
        <v>46</v>
      </c>
      <c r="D49" s="35" t="n">
        <f aca="false">Assumptions!$D$46</f>
        <v>46</v>
      </c>
      <c r="E49" s="35" t="n">
        <f aca="false">Assumptions!$D$46</f>
        <v>46</v>
      </c>
      <c r="F49" s="35" t="n">
        <f aca="false">Assumptions!$D$46</f>
        <v>46</v>
      </c>
      <c r="G49" s="35" t="n">
        <f aca="false">Assumptions!$D$46</f>
        <v>46</v>
      </c>
      <c r="H49" s="58" t="n">
        <f aca="false">SUM(C49:G49)</f>
        <v>230</v>
      </c>
      <c r="I49" s="8" t="s">
        <v>183</v>
      </c>
      <c r="J49" s="8"/>
    </row>
    <row r="50" customFormat="false" ht="15" hidden="false" customHeight="false" outlineLevel="0" collapsed="false">
      <c r="A50" s="8" t="s">
        <v>688</v>
      </c>
      <c r="B50" s="8" t="s">
        <v>285</v>
      </c>
      <c r="C50" s="36" t="n">
        <f aca="false">$D$13</f>
        <v>0.76</v>
      </c>
      <c r="D50" s="36" t="n">
        <f aca="false">$D$13</f>
        <v>0.76</v>
      </c>
      <c r="E50" s="36" t="n">
        <f aca="false">$D$13</f>
        <v>0.76</v>
      </c>
      <c r="F50" s="36" t="n">
        <f aca="false">$D$13</f>
        <v>0.76</v>
      </c>
      <c r="G50" s="36" t="n">
        <f aca="false">$D$13</f>
        <v>0.76</v>
      </c>
      <c r="H50" s="59" t="n">
        <f aca="false">IFERROR(H51/H49,0)</f>
        <v>0.76</v>
      </c>
      <c r="I50" s="8" t="s">
        <v>183</v>
      </c>
      <c r="J50" s="8"/>
    </row>
    <row r="51" customFormat="false" ht="15" hidden="false" customHeight="false" outlineLevel="0" collapsed="false">
      <c r="A51" s="8" t="s">
        <v>357</v>
      </c>
      <c r="B51" s="8" t="s">
        <v>355</v>
      </c>
      <c r="C51" s="35" t="n">
        <f aca="false">C49*C50</f>
        <v>34.96</v>
      </c>
      <c r="D51" s="35" t="n">
        <f aca="false">D49*D50</f>
        <v>34.96</v>
      </c>
      <c r="E51" s="35" t="n">
        <f aca="false">E49*E50</f>
        <v>34.96</v>
      </c>
      <c r="F51" s="35" t="n">
        <f aca="false">F49*F50</f>
        <v>34.96</v>
      </c>
      <c r="G51" s="35" t="n">
        <f aca="false">G49*G50</f>
        <v>34.96</v>
      </c>
      <c r="H51" s="58" t="n">
        <f aca="false">SUM(C51:G51)</f>
        <v>174.8</v>
      </c>
      <c r="I51" s="8" t="s">
        <v>183</v>
      </c>
      <c r="J51" s="8" t="s">
        <v>690</v>
      </c>
    </row>
    <row r="52" customFormat="false" ht="15" hidden="false" customHeight="false" outlineLevel="0" collapsed="false">
      <c r="A52" s="8" t="s">
        <v>691</v>
      </c>
      <c r="B52" s="8" t="s">
        <v>285</v>
      </c>
      <c r="C52" s="36" t="n">
        <f aca="false">$D$12</f>
        <v>0.935</v>
      </c>
      <c r="D52" s="36" t="n">
        <f aca="false">$D$12</f>
        <v>0.935</v>
      </c>
      <c r="E52" s="36" t="n">
        <f aca="false">$D$12</f>
        <v>0.935</v>
      </c>
      <c r="F52" s="36" t="n">
        <f aca="false">$D$12</f>
        <v>0.935</v>
      </c>
      <c r="G52" s="36" t="n">
        <f aca="false">$D$12</f>
        <v>0.935</v>
      </c>
      <c r="H52" s="59" t="n">
        <f aca="false">IFERROR(H53/H51,0)</f>
        <v>0.935</v>
      </c>
      <c r="I52" s="8" t="s">
        <v>183</v>
      </c>
      <c r="J52" s="8"/>
    </row>
    <row r="53" customFormat="false" ht="15" hidden="false" customHeight="false" outlineLevel="0" collapsed="false">
      <c r="A53" s="8" t="s">
        <v>693</v>
      </c>
      <c r="B53" s="8" t="s">
        <v>355</v>
      </c>
      <c r="C53" s="35" t="n">
        <f aca="false">C51*C52</f>
        <v>32.6876</v>
      </c>
      <c r="D53" s="35" t="n">
        <f aca="false">D51*D52</f>
        <v>32.6876</v>
      </c>
      <c r="E53" s="35" t="n">
        <f aca="false">E51*E52</f>
        <v>32.6876</v>
      </c>
      <c r="F53" s="35" t="n">
        <f aca="false">F51*F52</f>
        <v>32.6876</v>
      </c>
      <c r="G53" s="35" t="n">
        <f aca="false">G51*G52</f>
        <v>32.6876</v>
      </c>
      <c r="H53" s="58" t="n">
        <f aca="false">SUM(C53:G53)</f>
        <v>163.438</v>
      </c>
      <c r="I53" s="8" t="s">
        <v>183</v>
      </c>
      <c r="J53" s="8" t="s">
        <v>694</v>
      </c>
    </row>
    <row r="54" customFormat="false" ht="15" hidden="false" customHeight="false" outlineLevel="0" collapsed="false">
      <c r="A54" s="8" t="s">
        <v>412</v>
      </c>
      <c r="B54" s="8" t="s">
        <v>355</v>
      </c>
      <c r="C54" s="35" t="n">
        <f aca="false">Assumptions!$D$67</f>
        <v>29.3729180369608</v>
      </c>
      <c r="D54" s="35" t="n">
        <f aca="false">C57</f>
        <v>31.8832990091447</v>
      </c>
      <c r="E54" s="35" t="n">
        <f aca="false">D57</f>
        <v>32.8314754609493</v>
      </c>
      <c r="F54" s="35" t="n">
        <f aca="false">E57</f>
        <v>33.1319085750356</v>
      </c>
      <c r="G54" s="35" t="n">
        <f aca="false">F57</f>
        <v>35.6359391223399</v>
      </c>
      <c r="H54" s="58" t="n">
        <f aca="false">C54</f>
        <v>29.3729180369608</v>
      </c>
      <c r="I54" s="8" t="s">
        <v>183</v>
      </c>
      <c r="J54" s="8"/>
    </row>
    <row r="55" customFormat="false" ht="15" hidden="false" customHeight="false" outlineLevel="0" collapsed="false">
      <c r="A55" s="8" t="s">
        <v>696</v>
      </c>
      <c r="B55" s="8" t="s">
        <v>355</v>
      </c>
      <c r="C55" s="35" t="n">
        <f aca="false">C54+C53</f>
        <v>62.0605180369608</v>
      </c>
      <c r="D55" s="35" t="n">
        <f aca="false">D54+D53</f>
        <v>64.5708990091447</v>
      </c>
      <c r="E55" s="35" t="n">
        <f aca="false">E54+E53</f>
        <v>65.5190754609493</v>
      </c>
      <c r="F55" s="35" t="n">
        <f aca="false">F54+F53</f>
        <v>65.8195085750356</v>
      </c>
      <c r="G55" s="35" t="n">
        <f aca="false">G54+G53</f>
        <v>68.3235391223399</v>
      </c>
      <c r="I55" s="8" t="s">
        <v>183</v>
      </c>
      <c r="J55" s="8"/>
    </row>
    <row r="56" customFormat="false" ht="15" hidden="false" customHeight="false" outlineLevel="0" collapsed="false">
      <c r="A56" s="7" t="s">
        <v>354</v>
      </c>
      <c r="B56" s="8" t="s">
        <v>355</v>
      </c>
      <c r="C56" s="35" t="n">
        <f aca="false">MIN(C48,C55)</f>
        <v>30.1772190278161</v>
      </c>
      <c r="D56" s="35" t="n">
        <f aca="false">MIN(D48,D55)</f>
        <v>31.7394235481954</v>
      </c>
      <c r="E56" s="35" t="n">
        <f aca="false">MIN(E48,E55)</f>
        <v>32.3871668859137</v>
      </c>
      <c r="F56" s="35" t="n">
        <f aca="false">MIN(F48,F55)</f>
        <v>30.1835694526957</v>
      </c>
      <c r="G56" s="35" t="n">
        <f aca="false">MIN(G48,G55)</f>
        <v>31.7489491855148</v>
      </c>
      <c r="H56" s="58" t="n">
        <f aca="false">SUM(C56:G56)</f>
        <v>156.236328100136</v>
      </c>
      <c r="I56" s="8" t="s">
        <v>183</v>
      </c>
      <c r="J56" s="8" t="s">
        <v>821</v>
      </c>
    </row>
    <row r="57" customFormat="false" ht="15" hidden="false" customHeight="false" outlineLevel="0" collapsed="false">
      <c r="A57" s="8" t="s">
        <v>699</v>
      </c>
      <c r="B57" s="8" t="s">
        <v>355</v>
      </c>
      <c r="C57" s="35" t="n">
        <f aca="false">C55-C56</f>
        <v>31.8832990091447</v>
      </c>
      <c r="D57" s="35" t="n">
        <f aca="false">D55-D56</f>
        <v>32.8314754609493</v>
      </c>
      <c r="E57" s="35" t="n">
        <f aca="false">E55-E56</f>
        <v>33.1319085750356</v>
      </c>
      <c r="F57" s="35" t="n">
        <f aca="false">F55-F56</f>
        <v>35.6359391223399</v>
      </c>
      <c r="G57" s="35" t="n">
        <f aca="false">G55-G56</f>
        <v>36.5745899368251</v>
      </c>
      <c r="H57" s="58" t="n">
        <f aca="false">G57</f>
        <v>36.5745899368251</v>
      </c>
      <c r="I57" s="8" t="s">
        <v>183</v>
      </c>
      <c r="J57" s="8" t="s">
        <v>822</v>
      </c>
    </row>
    <row r="58" customFormat="false" ht="15" hidden="false" customHeight="false" outlineLevel="0" collapsed="false">
      <c r="A58" s="8" t="s">
        <v>823</v>
      </c>
      <c r="B58" s="8" t="s">
        <v>355</v>
      </c>
      <c r="C58" s="35" t="n">
        <f aca="false">C48-C56</f>
        <v>0</v>
      </c>
      <c r="D58" s="35" t="n">
        <f aca="false">D48-D56</f>
        <v>0</v>
      </c>
      <c r="E58" s="35" t="n">
        <f aca="false">E48-E56</f>
        <v>0</v>
      </c>
      <c r="F58" s="35" t="n">
        <f aca="false">F48-F56</f>
        <v>0</v>
      </c>
      <c r="G58" s="35" t="n">
        <f aca="false">G48-G56</f>
        <v>0</v>
      </c>
      <c r="H58" s="58" t="n">
        <f aca="false">SUM(C58:G58)</f>
        <v>0</v>
      </c>
      <c r="I58" s="8" t="s">
        <v>183</v>
      </c>
      <c r="J58" s="8"/>
    </row>
    <row r="59" customFormat="false" ht="15" hidden="false" customHeight="false" outlineLevel="0" collapsed="false">
      <c r="A59" s="8" t="s">
        <v>705</v>
      </c>
      <c r="B59" s="8" t="s">
        <v>336</v>
      </c>
      <c r="C59" s="37" t="n">
        <f aca="false">Assumptions!$D$42*(1+$D$11)</f>
        <v>0.796</v>
      </c>
      <c r="D59" s="37" t="n">
        <f aca="false">Assumptions!$D$42*(1+$D$11)</f>
        <v>0.796</v>
      </c>
      <c r="E59" s="37" t="n">
        <f aca="false">Assumptions!$D$42*(1+$D$11)</f>
        <v>0.796</v>
      </c>
      <c r="F59" s="37" t="n">
        <f aca="false">Assumptions!$D$42*(1+$D$11)</f>
        <v>0.796</v>
      </c>
      <c r="G59" s="37" t="n">
        <f aca="false">Assumptions!$D$42*(1+$D$11)</f>
        <v>0.796</v>
      </c>
      <c r="H59" s="62" t="n">
        <f aca="false">IFERROR(H60/H56,0)</f>
        <v>0.796</v>
      </c>
      <c r="I59" s="8" t="s">
        <v>183</v>
      </c>
      <c r="J59" s="8"/>
    </row>
    <row r="60" customFormat="false" ht="15" hidden="false" customHeight="false" outlineLevel="0" collapsed="false">
      <c r="A60" s="7" t="s">
        <v>22</v>
      </c>
      <c r="B60" s="8" t="s">
        <v>318</v>
      </c>
      <c r="C60" s="31" t="n">
        <f aca="false">C56*C59</f>
        <v>24.0210663461416</v>
      </c>
      <c r="D60" s="31" t="n">
        <f aca="false">D56*D59</f>
        <v>25.2645811443636</v>
      </c>
      <c r="E60" s="31" t="n">
        <f aca="false">E56*E59</f>
        <v>25.7801848411873</v>
      </c>
      <c r="F60" s="31" t="n">
        <f aca="false">F56*F59</f>
        <v>24.0261212843458</v>
      </c>
      <c r="G60" s="31" t="n">
        <f aca="false">G56*G59</f>
        <v>25.2721635516698</v>
      </c>
      <c r="H60" s="43" t="n">
        <f aca="false">SUM(C60:G60)</f>
        <v>124.364117167708</v>
      </c>
      <c r="I60" s="8" t="s">
        <v>183</v>
      </c>
      <c r="J60" s="8" t="s">
        <v>707</v>
      </c>
    </row>
    <row r="61" customFormat="false" ht="15" hidden="false" customHeight="false" outlineLevel="0" collapsed="false">
      <c r="A61" s="8" t="s">
        <v>708</v>
      </c>
      <c r="B61" s="8" t="s">
        <v>336</v>
      </c>
      <c r="C61" s="37" t="n">
        <f aca="false">Assumptions!$D$44*(1+$D$14)</f>
        <v>0.156</v>
      </c>
      <c r="D61" s="37" t="n">
        <f aca="false">Assumptions!$D$44*(1+$D$14)</f>
        <v>0.156</v>
      </c>
      <c r="E61" s="37" t="n">
        <f aca="false">Assumptions!$D$44*(1+$D$14)</f>
        <v>0.156</v>
      </c>
      <c r="F61" s="37" t="n">
        <f aca="false">Assumptions!$D$44*(1+$D$14)</f>
        <v>0.156</v>
      </c>
      <c r="G61" s="37" t="n">
        <f aca="false">Assumptions!$D$44*(1+$D$14)</f>
        <v>0.156</v>
      </c>
      <c r="H61" s="62" t="n">
        <f aca="false">IFERROR(H62/H51,0)</f>
        <v>0.156</v>
      </c>
      <c r="I61" s="8" t="s">
        <v>183</v>
      </c>
      <c r="J61" s="8"/>
    </row>
    <row r="62" customFormat="false" ht="15" hidden="false" customHeight="false" outlineLevel="0" collapsed="false">
      <c r="A62" s="8" t="s">
        <v>361</v>
      </c>
      <c r="B62" s="8" t="s">
        <v>318</v>
      </c>
      <c r="C62" s="31" t="n">
        <f aca="false">C51*C61</f>
        <v>5.45376</v>
      </c>
      <c r="D62" s="31" t="n">
        <f aca="false">D51*D61</f>
        <v>5.45376</v>
      </c>
      <c r="E62" s="31" t="n">
        <f aca="false">E51*E61</f>
        <v>5.45376</v>
      </c>
      <c r="F62" s="31" t="n">
        <f aca="false">F51*F61</f>
        <v>5.45376</v>
      </c>
      <c r="G62" s="31" t="n">
        <f aca="false">G51*G61</f>
        <v>5.45376</v>
      </c>
      <c r="H62" s="43" t="n">
        <f aca="false">SUM(C62:G62)</f>
        <v>27.2688</v>
      </c>
      <c r="I62" s="8" t="s">
        <v>183</v>
      </c>
      <c r="J62" s="8" t="s">
        <v>824</v>
      </c>
    </row>
    <row r="63" customFormat="false" ht="15" hidden="false" customHeight="false" outlineLevel="0" collapsed="false">
      <c r="A63" s="8" t="s">
        <v>363</v>
      </c>
      <c r="B63" s="8" t="s">
        <v>318</v>
      </c>
      <c r="C63" s="31" t="n">
        <f aca="false">$D$15</f>
        <v>5.1</v>
      </c>
      <c r="D63" s="31" t="n">
        <f aca="false">$D$15</f>
        <v>5.1</v>
      </c>
      <c r="E63" s="31" t="n">
        <f aca="false">$D$15</f>
        <v>5.1</v>
      </c>
      <c r="F63" s="31" t="n">
        <f aca="false">$D$15</f>
        <v>5.1</v>
      </c>
      <c r="G63" s="31" t="n">
        <f aca="false">$D$15</f>
        <v>5.1</v>
      </c>
      <c r="H63" s="43" t="n">
        <f aca="false">SUM(C63:G63)</f>
        <v>25.5</v>
      </c>
      <c r="I63" s="8" t="s">
        <v>183</v>
      </c>
      <c r="J63" s="8"/>
    </row>
    <row r="64" customFormat="false" ht="15" hidden="false" customHeight="false" outlineLevel="0" collapsed="false">
      <c r="A64" s="8" t="s">
        <v>711</v>
      </c>
      <c r="B64" s="8" t="s">
        <v>318</v>
      </c>
      <c r="C64" s="31" t="n">
        <f aca="false">C62+C63</f>
        <v>10.55376</v>
      </c>
      <c r="D64" s="31" t="n">
        <f aca="false">D62+D63</f>
        <v>10.55376</v>
      </c>
      <c r="E64" s="31" t="n">
        <f aca="false">E62+E63</f>
        <v>10.55376</v>
      </c>
      <c r="F64" s="31" t="n">
        <f aca="false">F62+F63</f>
        <v>10.55376</v>
      </c>
      <c r="G64" s="31" t="n">
        <f aca="false">G62+G63</f>
        <v>10.55376</v>
      </c>
      <c r="H64" s="43" t="n">
        <f aca="false">SUM(C64:G64)</f>
        <v>52.7688</v>
      </c>
      <c r="I64" s="8" t="s">
        <v>183</v>
      </c>
      <c r="J64" s="8" t="s">
        <v>825</v>
      </c>
    </row>
    <row r="65" customFormat="false" ht="15" hidden="false" customHeight="false" outlineLevel="0" collapsed="false">
      <c r="A65" s="8" t="s">
        <v>371</v>
      </c>
      <c r="B65" s="8" t="s">
        <v>336</v>
      </c>
      <c r="C65" s="37" t="n">
        <f aca="false">IFERROR(C64/C53,0)</f>
        <v>0.322867387021378</v>
      </c>
      <c r="D65" s="37" t="n">
        <f aca="false">IFERROR(D64/D53,0)</f>
        <v>0.322867387021378</v>
      </c>
      <c r="E65" s="37" t="n">
        <f aca="false">IFERROR(E64/E53,0)</f>
        <v>0.322867387021378</v>
      </c>
      <c r="F65" s="37" t="n">
        <f aca="false">IFERROR(F64/F53,0)</f>
        <v>0.322867387021378</v>
      </c>
      <c r="G65" s="37" t="n">
        <f aca="false">IFERROR(G64/G53,0)</f>
        <v>0.322867387021378</v>
      </c>
      <c r="H65" s="62" t="n">
        <f aca="false">IFERROR(H64/H53,0)</f>
        <v>0.322867387021378</v>
      </c>
      <c r="I65" s="8" t="s">
        <v>183</v>
      </c>
      <c r="J65" s="8"/>
    </row>
    <row r="66" customFormat="false" ht="15" hidden="false" customHeight="false" outlineLevel="0" collapsed="false">
      <c r="A66" s="8" t="s">
        <v>713</v>
      </c>
      <c r="B66" s="8" t="s">
        <v>318</v>
      </c>
      <c r="C66" s="31" t="n">
        <f aca="false">Assumptions!$D$68</f>
        <v>9.88716777185545</v>
      </c>
      <c r="D66" s="31" t="n">
        <f aca="false">C69</f>
        <v>10.501430422902</v>
      </c>
      <c r="E66" s="31" t="n">
        <f aca="false">D69</f>
        <v>10.705642608402</v>
      </c>
      <c r="F66" s="31" t="n">
        <f aca="false">E69</f>
        <v>10.7505269057294</v>
      </c>
      <c r="G66" s="31" t="n">
        <f aca="false">F69</f>
        <v>11.5345478514464</v>
      </c>
      <c r="H66" s="43" t="n">
        <f aca="false">C66</f>
        <v>9.88716777185545</v>
      </c>
      <c r="I66" s="8" t="s">
        <v>183</v>
      </c>
      <c r="J66" s="8"/>
    </row>
    <row r="67" customFormat="false" ht="15" hidden="false" customHeight="false" outlineLevel="0" collapsed="false">
      <c r="A67" s="8" t="s">
        <v>715</v>
      </c>
      <c r="B67" s="8" t="s">
        <v>336</v>
      </c>
      <c r="C67" s="37" t="n">
        <f aca="false">IFERROR((C66+C64)/C55,0)</f>
        <v>0.329370885361956</v>
      </c>
      <c r="D67" s="37" t="n">
        <f aca="false">IFERROR((D66+D64)/D55,0)</f>
        <v>0.326078632108252</v>
      </c>
      <c r="E67" s="37" t="n">
        <f aca="false">IFERROR((E66+E64)/E55,0)</f>
        <v>0.324476535403388</v>
      </c>
      <c r="F67" s="37" t="n">
        <f aca="false">IFERROR((F66+F64)/F55,0)</f>
        <v>0.323677392416901</v>
      </c>
      <c r="G67" s="37" t="n">
        <f aca="false">IFERROR((G66+G64)/G55,0)</f>
        <v>0.323289866643108</v>
      </c>
      <c r="I67" s="8" t="s">
        <v>183</v>
      </c>
      <c r="J67" s="8" t="s">
        <v>826</v>
      </c>
    </row>
    <row r="68" customFormat="false" ht="15" hidden="false" customHeight="false" outlineLevel="0" collapsed="false">
      <c r="A68" s="8" t="s">
        <v>827</v>
      </c>
      <c r="B68" s="8" t="s">
        <v>318</v>
      </c>
      <c r="C68" s="31" t="n">
        <f aca="false">C56*C67</f>
        <v>9.93949734895346</v>
      </c>
      <c r="D68" s="31" t="n">
        <f aca="false">D56*D67</f>
        <v>10.3495478145</v>
      </c>
      <c r="E68" s="31" t="n">
        <f aca="false">E56*E67</f>
        <v>10.5088757026726</v>
      </c>
      <c r="F68" s="31" t="n">
        <f aca="false">F56*F67</f>
        <v>9.76973905428296</v>
      </c>
      <c r="G68" s="31" t="n">
        <f aca="false">G56*G67</f>
        <v>10.2641135482439</v>
      </c>
      <c r="H68" s="43" t="n">
        <f aca="false">SUM(C68:G68)</f>
        <v>50.8317734686529</v>
      </c>
      <c r="I68" s="8" t="s">
        <v>183</v>
      </c>
      <c r="J68" s="8" t="s">
        <v>717</v>
      </c>
    </row>
    <row r="69" customFormat="false" ht="15" hidden="false" customHeight="false" outlineLevel="0" collapsed="false">
      <c r="A69" s="8" t="s">
        <v>718</v>
      </c>
      <c r="B69" s="8" t="s">
        <v>318</v>
      </c>
      <c r="C69" s="31" t="n">
        <f aca="false">C66+C64-C68</f>
        <v>10.501430422902</v>
      </c>
      <c r="D69" s="31" t="n">
        <f aca="false">D66+D64-D68</f>
        <v>10.705642608402</v>
      </c>
      <c r="E69" s="31" t="n">
        <f aca="false">E66+E64-E68</f>
        <v>10.7505269057294</v>
      </c>
      <c r="F69" s="31" t="n">
        <f aca="false">F66+F64-F68</f>
        <v>11.5345478514464</v>
      </c>
      <c r="G69" s="31" t="n">
        <f aca="false">G66+G64-G68</f>
        <v>11.8241943032025</v>
      </c>
      <c r="H69" s="43" t="n">
        <f aca="false">G69</f>
        <v>11.8241943032025</v>
      </c>
      <c r="I69" s="8" t="s">
        <v>183</v>
      </c>
      <c r="J69" s="8" t="s">
        <v>828</v>
      </c>
    </row>
    <row r="70" customFormat="false" ht="15" hidden="false" customHeight="false" outlineLevel="0" collapsed="false">
      <c r="A70" s="7" t="s">
        <v>829</v>
      </c>
      <c r="B70" s="8" t="s">
        <v>318</v>
      </c>
      <c r="C70" s="31" t="n">
        <f aca="false">C60-C68</f>
        <v>14.0815689971881</v>
      </c>
      <c r="D70" s="31" t="n">
        <f aca="false">D60-D68</f>
        <v>14.9150333298636</v>
      </c>
      <c r="E70" s="31" t="n">
        <f aca="false">E60-E68</f>
        <v>15.2713091385147</v>
      </c>
      <c r="F70" s="31" t="n">
        <f aca="false">F60-F68</f>
        <v>14.2563822300628</v>
      </c>
      <c r="G70" s="31" t="n">
        <f aca="false">G60-G68</f>
        <v>15.0080500034259</v>
      </c>
      <c r="H70" s="43" t="n">
        <f aca="false">SUM(C70:G70)</f>
        <v>73.5323436990551</v>
      </c>
      <c r="I70" s="8" t="s">
        <v>183</v>
      </c>
      <c r="J70" s="8" t="s">
        <v>368</v>
      </c>
    </row>
    <row r="71" customFormat="false" ht="15" hidden="false" customHeight="false" outlineLevel="0" collapsed="false">
      <c r="A71" s="8" t="s">
        <v>369</v>
      </c>
      <c r="B71" s="8" t="s">
        <v>285</v>
      </c>
      <c r="C71" s="36" t="n">
        <f aca="false">IFERROR(C70/C60,0)</f>
        <v>0.58621748070106</v>
      </c>
      <c r="D71" s="36" t="n">
        <f aca="false">IFERROR(D70/D60,0)</f>
        <v>0.59035347725094</v>
      </c>
      <c r="E71" s="36" t="n">
        <f aca="false">IFERROR(E70/E60,0)</f>
        <v>0.592366161553532</v>
      </c>
      <c r="F71" s="36" t="n">
        <f aca="false">IFERROR(F70/F60,0)</f>
        <v>0.593370110029019</v>
      </c>
      <c r="G71" s="36" t="n">
        <f aca="false">IFERROR(G70/G60,0)</f>
        <v>0.593856951453383</v>
      </c>
      <c r="H71" s="59" t="n">
        <f aca="false">IFERROR(H70/H60,0)</f>
        <v>0.591266559629053</v>
      </c>
      <c r="I71" s="8" t="s">
        <v>183</v>
      </c>
      <c r="J71" s="8"/>
    </row>
    <row r="73" customFormat="false" ht="15" hidden="false" customHeight="false" outlineLevel="0" collapsed="false">
      <c r="A73" s="16" t="s">
        <v>862</v>
      </c>
      <c r="B73" s="17"/>
      <c r="C73" s="17"/>
      <c r="D73" s="17"/>
      <c r="E73" s="17"/>
      <c r="F73" s="17"/>
      <c r="G73" s="17"/>
      <c r="H73" s="17"/>
      <c r="I73" s="17"/>
      <c r="J73" s="17"/>
    </row>
    <row r="74" customFormat="false" ht="15" hidden="false" customHeight="false" outlineLevel="0" collapsed="false">
      <c r="A74" s="8" t="s">
        <v>685</v>
      </c>
      <c r="B74" s="8" t="s">
        <v>355</v>
      </c>
      <c r="C74" s="35" t="n">
        <f aca="false">Budget!C71*(1+$E$10)*C$19</f>
        <v>0.968044437843458</v>
      </c>
      <c r="D74" s="35" t="n">
        <f aca="false">Budget!D71*(1+$E$10)*D$19</f>
        <v>1.01815784939849</v>
      </c>
      <c r="E74" s="35" t="n">
        <f aca="false">Budget!E71*(1+$E$10)*E$19</f>
        <v>1.03893658101886</v>
      </c>
      <c r="F74" s="35" t="n">
        <f aca="false">Budget!F71*(1+$E$10)*F$19</f>
        <v>0.968248150898559</v>
      </c>
      <c r="G74" s="35" t="n">
        <f aca="false">Budget!G71*(1+$E$10)*G$19</f>
        <v>1.01846341898114</v>
      </c>
      <c r="H74" s="58" t="n">
        <f aca="false">SUM(C74:G74)</f>
        <v>5.0118504381405</v>
      </c>
      <c r="I74" s="8" t="s">
        <v>183</v>
      </c>
      <c r="J74" s="8"/>
    </row>
    <row r="75" customFormat="false" ht="15" hidden="false" customHeight="false" outlineLevel="0" collapsed="false">
      <c r="A75" s="8" t="s">
        <v>345</v>
      </c>
      <c r="B75" s="8" t="s">
        <v>355</v>
      </c>
      <c r="C75" s="35" t="n">
        <f aca="false">Assumptions!$E$46</f>
        <v>1.3</v>
      </c>
      <c r="D75" s="35" t="n">
        <f aca="false">Assumptions!$E$46</f>
        <v>1.3</v>
      </c>
      <c r="E75" s="35" t="n">
        <f aca="false">Assumptions!$E$46</f>
        <v>1.3</v>
      </c>
      <c r="F75" s="35" t="n">
        <f aca="false">Assumptions!$E$46</f>
        <v>1.3</v>
      </c>
      <c r="G75" s="35" t="n">
        <f aca="false">Assumptions!$E$46</f>
        <v>1.3</v>
      </c>
      <c r="H75" s="58" t="n">
        <f aca="false">SUM(C75:G75)</f>
        <v>6.5</v>
      </c>
      <c r="I75" s="8" t="s">
        <v>183</v>
      </c>
      <c r="J75" s="8"/>
    </row>
    <row r="76" customFormat="false" ht="15" hidden="false" customHeight="false" outlineLevel="0" collapsed="false">
      <c r="A76" s="8" t="s">
        <v>688</v>
      </c>
      <c r="B76" s="8" t="s">
        <v>285</v>
      </c>
      <c r="C76" s="36" t="n">
        <f aca="false">$E$13</f>
        <v>0.88</v>
      </c>
      <c r="D76" s="36" t="n">
        <f aca="false">$E$13</f>
        <v>0.88</v>
      </c>
      <c r="E76" s="36" t="n">
        <f aca="false">$E$13</f>
        <v>0.88</v>
      </c>
      <c r="F76" s="36" t="n">
        <f aca="false">$E$13</f>
        <v>0.88</v>
      </c>
      <c r="G76" s="36" t="n">
        <f aca="false">$E$13</f>
        <v>0.88</v>
      </c>
      <c r="H76" s="59" t="n">
        <f aca="false">IFERROR(H77/H75,0)</f>
        <v>0.88</v>
      </c>
      <c r="I76" s="8" t="s">
        <v>183</v>
      </c>
      <c r="J76" s="8"/>
    </row>
    <row r="77" customFormat="false" ht="15" hidden="false" customHeight="false" outlineLevel="0" collapsed="false">
      <c r="A77" s="8" t="s">
        <v>357</v>
      </c>
      <c r="B77" s="8" t="s">
        <v>355</v>
      </c>
      <c r="C77" s="35" t="n">
        <f aca="false">C75*C76</f>
        <v>1.144</v>
      </c>
      <c r="D77" s="35" t="n">
        <f aca="false">D75*D76</f>
        <v>1.144</v>
      </c>
      <c r="E77" s="35" t="n">
        <f aca="false">E75*E76</f>
        <v>1.144</v>
      </c>
      <c r="F77" s="35" t="n">
        <f aca="false">F75*F76</f>
        <v>1.144</v>
      </c>
      <c r="G77" s="35" t="n">
        <f aca="false">G75*G76</f>
        <v>1.144</v>
      </c>
      <c r="H77" s="58" t="n">
        <f aca="false">SUM(C77:G77)</f>
        <v>5.72</v>
      </c>
      <c r="I77" s="8" t="s">
        <v>183</v>
      </c>
      <c r="J77" s="8" t="s">
        <v>690</v>
      </c>
    </row>
    <row r="78" customFormat="false" ht="15" hidden="false" customHeight="false" outlineLevel="0" collapsed="false">
      <c r="A78" s="8" t="s">
        <v>691</v>
      </c>
      <c r="B78" s="8" t="s">
        <v>285</v>
      </c>
      <c r="C78" s="36" t="n">
        <f aca="false">$E$12</f>
        <v>0.82</v>
      </c>
      <c r="D78" s="36" t="n">
        <f aca="false">$E$12</f>
        <v>0.82</v>
      </c>
      <c r="E78" s="36" t="n">
        <f aca="false">$E$12</f>
        <v>0.82</v>
      </c>
      <c r="F78" s="36" t="n">
        <f aca="false">$E$12</f>
        <v>0.82</v>
      </c>
      <c r="G78" s="36" t="n">
        <f aca="false">$E$12</f>
        <v>0.82</v>
      </c>
      <c r="H78" s="59" t="n">
        <f aca="false">IFERROR(H79/H77,0)</f>
        <v>0.82</v>
      </c>
      <c r="I78" s="8" t="s">
        <v>183</v>
      </c>
      <c r="J78" s="8"/>
    </row>
    <row r="79" customFormat="false" ht="15" hidden="false" customHeight="false" outlineLevel="0" collapsed="false">
      <c r="A79" s="8" t="s">
        <v>693</v>
      </c>
      <c r="B79" s="8" t="s">
        <v>355</v>
      </c>
      <c r="C79" s="35" t="n">
        <f aca="false">C77*C78</f>
        <v>0.93808</v>
      </c>
      <c r="D79" s="35" t="n">
        <f aca="false">D77*D78</f>
        <v>0.93808</v>
      </c>
      <c r="E79" s="35" t="n">
        <f aca="false">E77*E78</f>
        <v>0.93808</v>
      </c>
      <c r="F79" s="35" t="n">
        <f aca="false">F77*F78</f>
        <v>0.93808</v>
      </c>
      <c r="G79" s="35" t="n">
        <f aca="false">G77*G78</f>
        <v>0.93808</v>
      </c>
      <c r="H79" s="58" t="n">
        <f aca="false">SUM(C79:G79)</f>
        <v>4.6904</v>
      </c>
      <c r="I79" s="8" t="s">
        <v>183</v>
      </c>
      <c r="J79" s="8" t="s">
        <v>694</v>
      </c>
    </row>
    <row r="80" customFormat="false" ht="15" hidden="false" customHeight="false" outlineLevel="0" collapsed="false">
      <c r="A80" s="8" t="s">
        <v>412</v>
      </c>
      <c r="B80" s="8" t="s">
        <v>355</v>
      </c>
      <c r="C80" s="35" t="n">
        <f aca="false">Assumptions!$E$67</f>
        <v>0.727546625363349</v>
      </c>
      <c r="D80" s="35" t="n">
        <f aca="false">C83</f>
        <v>0.697582187519891</v>
      </c>
      <c r="E80" s="35" t="n">
        <f aca="false">D83</f>
        <v>0.617504338121406</v>
      </c>
      <c r="F80" s="35" t="n">
        <f aca="false">E83</f>
        <v>0.516647757102544</v>
      </c>
      <c r="G80" s="35" t="n">
        <f aca="false">F83</f>
        <v>0.486479606203985</v>
      </c>
      <c r="H80" s="58" t="n">
        <f aca="false">C80</f>
        <v>0.727546625363349</v>
      </c>
      <c r="I80" s="8" t="s">
        <v>183</v>
      </c>
      <c r="J80" s="8"/>
    </row>
    <row r="81" customFormat="false" ht="15" hidden="false" customHeight="false" outlineLevel="0" collapsed="false">
      <c r="A81" s="8" t="s">
        <v>696</v>
      </c>
      <c r="B81" s="8" t="s">
        <v>355</v>
      </c>
      <c r="C81" s="35" t="n">
        <f aca="false">C80+C79</f>
        <v>1.66562662536335</v>
      </c>
      <c r="D81" s="35" t="n">
        <f aca="false">D80+D79</f>
        <v>1.63566218751989</v>
      </c>
      <c r="E81" s="35" t="n">
        <f aca="false">E80+E79</f>
        <v>1.55558433812141</v>
      </c>
      <c r="F81" s="35" t="n">
        <f aca="false">F80+F79</f>
        <v>1.45472775710254</v>
      </c>
      <c r="G81" s="35" t="n">
        <f aca="false">G80+G79</f>
        <v>1.42455960620398</v>
      </c>
      <c r="I81" s="8" t="s">
        <v>183</v>
      </c>
      <c r="J81" s="8"/>
    </row>
    <row r="82" customFormat="false" ht="15" hidden="false" customHeight="false" outlineLevel="0" collapsed="false">
      <c r="A82" s="7" t="s">
        <v>354</v>
      </c>
      <c r="B82" s="8" t="s">
        <v>355</v>
      </c>
      <c r="C82" s="35" t="n">
        <f aca="false">MIN(C74,C81)</f>
        <v>0.968044437843458</v>
      </c>
      <c r="D82" s="35" t="n">
        <f aca="false">MIN(D74,D81)</f>
        <v>1.01815784939849</v>
      </c>
      <c r="E82" s="35" t="n">
        <f aca="false">MIN(E74,E81)</f>
        <v>1.03893658101886</v>
      </c>
      <c r="F82" s="35" t="n">
        <f aca="false">MIN(F74,F81)</f>
        <v>0.968248150898559</v>
      </c>
      <c r="G82" s="35" t="n">
        <f aca="false">MIN(G74,G81)</f>
        <v>1.01846341898114</v>
      </c>
      <c r="H82" s="58" t="n">
        <f aca="false">SUM(C82:G82)</f>
        <v>5.0118504381405</v>
      </c>
      <c r="I82" s="8" t="s">
        <v>183</v>
      </c>
      <c r="J82" s="8" t="s">
        <v>821</v>
      </c>
    </row>
    <row r="83" customFormat="false" ht="15" hidden="false" customHeight="false" outlineLevel="0" collapsed="false">
      <c r="A83" s="8" t="s">
        <v>699</v>
      </c>
      <c r="B83" s="8" t="s">
        <v>355</v>
      </c>
      <c r="C83" s="35" t="n">
        <f aca="false">C81-C82</f>
        <v>0.697582187519891</v>
      </c>
      <c r="D83" s="35" t="n">
        <f aca="false">D81-D82</f>
        <v>0.617504338121406</v>
      </c>
      <c r="E83" s="35" t="n">
        <f aca="false">E81-E82</f>
        <v>0.516647757102544</v>
      </c>
      <c r="F83" s="35" t="n">
        <f aca="false">F81-F82</f>
        <v>0.486479606203985</v>
      </c>
      <c r="G83" s="35" t="n">
        <f aca="false">G81-G82</f>
        <v>0.406096187222847</v>
      </c>
      <c r="H83" s="58" t="n">
        <f aca="false">G83</f>
        <v>0.406096187222847</v>
      </c>
      <c r="I83" s="8" t="s">
        <v>183</v>
      </c>
      <c r="J83" s="8" t="s">
        <v>822</v>
      </c>
    </row>
    <row r="84" customFormat="false" ht="15" hidden="false" customHeight="false" outlineLevel="0" collapsed="false">
      <c r="A84" s="8" t="s">
        <v>823</v>
      </c>
      <c r="B84" s="8" t="s">
        <v>355</v>
      </c>
      <c r="C84" s="35" t="n">
        <f aca="false">C74-C82</f>
        <v>0</v>
      </c>
      <c r="D84" s="35" t="n">
        <f aca="false">D74-D82</f>
        <v>0</v>
      </c>
      <c r="E84" s="35" t="n">
        <f aca="false">E74-E82</f>
        <v>0</v>
      </c>
      <c r="F84" s="35" t="n">
        <f aca="false">F74-F82</f>
        <v>0</v>
      </c>
      <c r="G84" s="35" t="n">
        <f aca="false">G74-G82</f>
        <v>0</v>
      </c>
      <c r="H84" s="58" t="n">
        <f aca="false">SUM(C84:G84)</f>
        <v>0</v>
      </c>
      <c r="I84" s="8" t="s">
        <v>183</v>
      </c>
      <c r="J84" s="8"/>
    </row>
    <row r="85" customFormat="false" ht="15" hidden="false" customHeight="false" outlineLevel="0" collapsed="false">
      <c r="A85" s="8" t="s">
        <v>705</v>
      </c>
      <c r="B85" s="8" t="s">
        <v>336</v>
      </c>
      <c r="C85" s="37" t="n">
        <f aca="false">Assumptions!$E$42*(1+$E$11)</f>
        <v>25.5</v>
      </c>
      <c r="D85" s="37" t="n">
        <f aca="false">Assumptions!$E$42*(1+$E$11)</f>
        <v>25.5</v>
      </c>
      <c r="E85" s="37" t="n">
        <f aca="false">Assumptions!$E$42*(1+$E$11)</f>
        <v>25.5</v>
      </c>
      <c r="F85" s="37" t="n">
        <f aca="false">Assumptions!$E$42*(1+$E$11)</f>
        <v>25.5</v>
      </c>
      <c r="G85" s="37" t="n">
        <f aca="false">Assumptions!$E$42*(1+$E$11)</f>
        <v>25.5</v>
      </c>
      <c r="H85" s="62" t="n">
        <f aca="false">IFERROR(H86/H82,0)</f>
        <v>25.5</v>
      </c>
      <c r="I85" s="8" t="s">
        <v>183</v>
      </c>
      <c r="J85" s="8"/>
    </row>
    <row r="86" customFormat="false" ht="15" hidden="false" customHeight="false" outlineLevel="0" collapsed="false">
      <c r="A86" s="7" t="s">
        <v>22</v>
      </c>
      <c r="B86" s="8" t="s">
        <v>318</v>
      </c>
      <c r="C86" s="31" t="n">
        <f aca="false">C82*C85</f>
        <v>24.6851331650082</v>
      </c>
      <c r="D86" s="31" t="n">
        <f aca="false">D82*D85</f>
        <v>25.9630251596614</v>
      </c>
      <c r="E86" s="31" t="n">
        <f aca="false">E82*E85</f>
        <v>26.492882815981</v>
      </c>
      <c r="F86" s="31" t="n">
        <f aca="false">F82*F85</f>
        <v>24.6903278479133</v>
      </c>
      <c r="G86" s="31" t="n">
        <f aca="false">G82*G85</f>
        <v>25.970817184019</v>
      </c>
      <c r="H86" s="43" t="n">
        <f aca="false">SUM(C86:G86)</f>
        <v>127.802186172583</v>
      </c>
      <c r="I86" s="8" t="s">
        <v>183</v>
      </c>
      <c r="J86" s="8" t="s">
        <v>707</v>
      </c>
    </row>
    <row r="87" customFormat="false" ht="15" hidden="false" customHeight="false" outlineLevel="0" collapsed="false">
      <c r="A87" s="8" t="s">
        <v>708</v>
      </c>
      <c r="B87" s="8" t="s">
        <v>336</v>
      </c>
      <c r="C87" s="37" t="n">
        <f aca="false">Assumptions!$E$44*(1+$E$14)</f>
        <v>4.982</v>
      </c>
      <c r="D87" s="37" t="n">
        <f aca="false">Assumptions!$E$44*(1+$E$14)</f>
        <v>4.982</v>
      </c>
      <c r="E87" s="37" t="n">
        <f aca="false">Assumptions!$E$44*(1+$E$14)</f>
        <v>4.982</v>
      </c>
      <c r="F87" s="37" t="n">
        <f aca="false">Assumptions!$E$44*(1+$E$14)</f>
        <v>4.982</v>
      </c>
      <c r="G87" s="37" t="n">
        <f aca="false">Assumptions!$E$44*(1+$E$14)</f>
        <v>4.982</v>
      </c>
      <c r="H87" s="62" t="n">
        <f aca="false">IFERROR(H88/H77,0)</f>
        <v>4.982</v>
      </c>
      <c r="I87" s="8" t="s">
        <v>183</v>
      </c>
      <c r="J87" s="8"/>
    </row>
    <row r="88" customFormat="false" ht="15" hidden="false" customHeight="false" outlineLevel="0" collapsed="false">
      <c r="A88" s="8" t="s">
        <v>361</v>
      </c>
      <c r="B88" s="8" t="s">
        <v>318</v>
      </c>
      <c r="C88" s="31" t="n">
        <f aca="false">C77*C87</f>
        <v>5.699408</v>
      </c>
      <c r="D88" s="31" t="n">
        <f aca="false">D77*D87</f>
        <v>5.699408</v>
      </c>
      <c r="E88" s="31" t="n">
        <f aca="false">E77*E87</f>
        <v>5.699408</v>
      </c>
      <c r="F88" s="31" t="n">
        <f aca="false">F77*F87</f>
        <v>5.699408</v>
      </c>
      <c r="G88" s="31" t="n">
        <f aca="false">G77*G87</f>
        <v>5.699408</v>
      </c>
      <c r="H88" s="43" t="n">
        <f aca="false">SUM(C88:G88)</f>
        <v>28.49704</v>
      </c>
      <c r="I88" s="8" t="s">
        <v>183</v>
      </c>
      <c r="J88" s="8" t="s">
        <v>824</v>
      </c>
    </row>
    <row r="89" customFormat="false" ht="15" hidden="false" customHeight="false" outlineLevel="0" collapsed="false">
      <c r="A89" s="8" t="s">
        <v>363</v>
      </c>
      <c r="B89" s="8" t="s">
        <v>318</v>
      </c>
      <c r="C89" s="31" t="n">
        <f aca="false">$E$15</f>
        <v>4.6</v>
      </c>
      <c r="D89" s="31" t="n">
        <f aca="false">$E$15</f>
        <v>4.6</v>
      </c>
      <c r="E89" s="31" t="n">
        <f aca="false">$E$15</f>
        <v>4.6</v>
      </c>
      <c r="F89" s="31" t="n">
        <f aca="false">$E$15</f>
        <v>4.6</v>
      </c>
      <c r="G89" s="31" t="n">
        <f aca="false">$E$15</f>
        <v>4.6</v>
      </c>
      <c r="H89" s="43" t="n">
        <f aca="false">SUM(C89:G89)</f>
        <v>23</v>
      </c>
      <c r="I89" s="8" t="s">
        <v>183</v>
      </c>
      <c r="J89" s="8"/>
    </row>
    <row r="90" customFormat="false" ht="15" hidden="false" customHeight="false" outlineLevel="0" collapsed="false">
      <c r="A90" s="8" t="s">
        <v>711</v>
      </c>
      <c r="B90" s="8" t="s">
        <v>318</v>
      </c>
      <c r="C90" s="31" t="n">
        <f aca="false">C88+C89</f>
        <v>10.299408</v>
      </c>
      <c r="D90" s="31" t="n">
        <f aca="false">D88+D89</f>
        <v>10.299408</v>
      </c>
      <c r="E90" s="31" t="n">
        <f aca="false">E88+E89</f>
        <v>10.299408</v>
      </c>
      <c r="F90" s="31" t="n">
        <f aca="false">F88+F89</f>
        <v>10.299408</v>
      </c>
      <c r="G90" s="31" t="n">
        <f aca="false">G88+G89</f>
        <v>10.299408</v>
      </c>
      <c r="H90" s="43" t="n">
        <f aca="false">SUM(C90:G90)</f>
        <v>51.49704</v>
      </c>
      <c r="I90" s="8" t="s">
        <v>183</v>
      </c>
      <c r="J90" s="8" t="s">
        <v>825</v>
      </c>
    </row>
    <row r="91" customFormat="false" ht="15" hidden="false" customHeight="false" outlineLevel="0" collapsed="false">
      <c r="A91" s="8" t="s">
        <v>371</v>
      </c>
      <c r="B91" s="8" t="s">
        <v>336</v>
      </c>
      <c r="C91" s="37" t="n">
        <f aca="false">IFERROR(C90/C79,0)</f>
        <v>10.979242708511</v>
      </c>
      <c r="D91" s="37" t="n">
        <f aca="false">IFERROR(D90/D79,0)</f>
        <v>10.979242708511</v>
      </c>
      <c r="E91" s="37" t="n">
        <f aca="false">IFERROR(E90/E79,0)</f>
        <v>10.979242708511</v>
      </c>
      <c r="F91" s="37" t="n">
        <f aca="false">IFERROR(F90/F79,0)</f>
        <v>10.979242708511</v>
      </c>
      <c r="G91" s="37" t="n">
        <f aca="false">IFERROR(G90/G79,0)</f>
        <v>10.979242708511</v>
      </c>
      <c r="H91" s="62" t="n">
        <f aca="false">IFERROR(H90/H79,0)</f>
        <v>10.979242708511</v>
      </c>
      <c r="I91" s="8" t="s">
        <v>183</v>
      </c>
      <c r="J91" s="8"/>
    </row>
    <row r="92" customFormat="false" ht="15" hidden="false" customHeight="false" outlineLevel="0" collapsed="false">
      <c r="A92" s="8" t="s">
        <v>713</v>
      </c>
      <c r="B92" s="8" t="s">
        <v>318</v>
      </c>
      <c r="C92" s="31" t="n">
        <f aca="false">Assumptions!$E$68</f>
        <v>8.42290486965617</v>
      </c>
      <c r="D92" s="31" t="n">
        <f aca="false">C95</f>
        <v>7.84110422358162</v>
      </c>
      <c r="E92" s="31" t="n">
        <f aca="false">D95</f>
        <v>6.84850764373975</v>
      </c>
      <c r="F92" s="31" t="n">
        <f aca="false">E95</f>
        <v>5.695243863808</v>
      </c>
      <c r="G92" s="31" t="n">
        <f aca="false">F95</f>
        <v>5.34881657553102</v>
      </c>
      <c r="H92" s="43" t="n">
        <f aca="false">C92</f>
        <v>8.42290486965617</v>
      </c>
      <c r="I92" s="8" t="s">
        <v>183</v>
      </c>
      <c r="J92" s="8"/>
    </row>
    <row r="93" customFormat="false" ht="15" hidden="false" customHeight="false" outlineLevel="0" collapsed="false">
      <c r="A93" s="8" t="s">
        <v>715</v>
      </c>
      <c r="B93" s="8" t="s">
        <v>336</v>
      </c>
      <c r="C93" s="37" t="n">
        <f aca="false">IFERROR((C92+C90)/C81,0)</f>
        <v>11.2404020112082</v>
      </c>
      <c r="D93" s="37" t="n">
        <f aca="false">IFERROR((D92+D90)/D81,0)</f>
        <v>11.0906227227075</v>
      </c>
      <c r="E93" s="37" t="n">
        <f aca="false">IFERROR((E92+E90)/E81,0)</f>
        <v>11.0234560888215</v>
      </c>
      <c r="F93" s="37" t="n">
        <f aca="false">IFERROR((F92+F90)/F81,0)</f>
        <v>10.9949451268225</v>
      </c>
      <c r="G93" s="37" t="n">
        <f aca="false">IFERROR((G92+G90)/G81,0)</f>
        <v>10.9846050017021</v>
      </c>
      <c r="I93" s="8" t="s">
        <v>183</v>
      </c>
      <c r="J93" s="8" t="s">
        <v>826</v>
      </c>
    </row>
    <row r="94" customFormat="false" ht="15" hidden="false" customHeight="false" outlineLevel="0" collapsed="false">
      <c r="A94" s="8" t="s">
        <v>827</v>
      </c>
      <c r="B94" s="8" t="s">
        <v>318</v>
      </c>
      <c r="C94" s="31" t="n">
        <f aca="false">C82*C93</f>
        <v>10.8812086460745</v>
      </c>
      <c r="D94" s="31" t="n">
        <f aca="false">D82*D93</f>
        <v>11.2920045798419</v>
      </c>
      <c r="E94" s="31" t="n">
        <f aca="false">E82*E93</f>
        <v>11.4526717799317</v>
      </c>
      <c r="F94" s="31" t="n">
        <f aca="false">F82*F93</f>
        <v>10.645835288277</v>
      </c>
      <c r="G94" s="31" t="n">
        <f aca="false">G82*G93</f>
        <v>11.1874183661908</v>
      </c>
      <c r="H94" s="43" t="n">
        <f aca="false">SUM(C94:G94)</f>
        <v>55.4591386603159</v>
      </c>
      <c r="I94" s="8" t="s">
        <v>183</v>
      </c>
      <c r="J94" s="8" t="s">
        <v>717</v>
      </c>
    </row>
    <row r="95" customFormat="false" ht="15" hidden="false" customHeight="false" outlineLevel="0" collapsed="false">
      <c r="A95" s="8" t="s">
        <v>718</v>
      </c>
      <c r="B95" s="8" t="s">
        <v>318</v>
      </c>
      <c r="C95" s="31" t="n">
        <f aca="false">C92+C90-C94</f>
        <v>7.84110422358162</v>
      </c>
      <c r="D95" s="31" t="n">
        <f aca="false">D92+D90-D94</f>
        <v>6.84850764373975</v>
      </c>
      <c r="E95" s="31" t="n">
        <f aca="false">E92+E90-E94</f>
        <v>5.695243863808</v>
      </c>
      <c r="F95" s="31" t="n">
        <f aca="false">F92+F90-F94</f>
        <v>5.34881657553102</v>
      </c>
      <c r="G95" s="31" t="n">
        <f aca="false">G92+G90-G94</f>
        <v>4.46080620934023</v>
      </c>
      <c r="H95" s="43" t="n">
        <f aca="false">G95</f>
        <v>4.46080620934023</v>
      </c>
      <c r="I95" s="8" t="s">
        <v>183</v>
      </c>
      <c r="J95" s="8" t="s">
        <v>828</v>
      </c>
    </row>
    <row r="96" customFormat="false" ht="15" hidden="false" customHeight="false" outlineLevel="0" collapsed="false">
      <c r="A96" s="7" t="s">
        <v>829</v>
      </c>
      <c r="B96" s="8" t="s">
        <v>318</v>
      </c>
      <c r="C96" s="31" t="n">
        <f aca="false">C86-C94</f>
        <v>13.8039245189336</v>
      </c>
      <c r="D96" s="31" t="n">
        <f aca="false">D86-D94</f>
        <v>14.6710205798195</v>
      </c>
      <c r="E96" s="31" t="n">
        <f aca="false">E86-E94</f>
        <v>15.0402110360492</v>
      </c>
      <c r="F96" s="31" t="n">
        <f aca="false">F86-F94</f>
        <v>14.0444925596363</v>
      </c>
      <c r="G96" s="31" t="n">
        <f aca="false">G86-G94</f>
        <v>14.7833988178282</v>
      </c>
      <c r="H96" s="43" t="n">
        <f aca="false">SUM(C96:G96)</f>
        <v>72.3430475122669</v>
      </c>
      <c r="I96" s="8" t="s">
        <v>183</v>
      </c>
      <c r="J96" s="8" t="s">
        <v>368</v>
      </c>
    </row>
    <row r="97" customFormat="false" ht="15" hidden="false" customHeight="false" outlineLevel="0" collapsed="false">
      <c r="A97" s="8" t="s">
        <v>369</v>
      </c>
      <c r="B97" s="8" t="s">
        <v>285</v>
      </c>
      <c r="C97" s="36" t="n">
        <f aca="false">IFERROR(C96/C86,0)</f>
        <v>0.559199921129089</v>
      </c>
      <c r="D97" s="36" t="n">
        <f aca="false">IFERROR(D96/D86,0)</f>
        <v>0.565073618717352</v>
      </c>
      <c r="E97" s="36" t="n">
        <f aca="false">IFERROR(E96/E86,0)</f>
        <v>0.567707604359942</v>
      </c>
      <c r="F97" s="36" t="n">
        <f aca="false">IFERROR(F96/F86,0)</f>
        <v>0.56882568130108</v>
      </c>
      <c r="G97" s="36" t="n">
        <f aca="false">IFERROR(G96/G86,0)</f>
        <v>0.569231176403841</v>
      </c>
      <c r="H97" s="59" t="n">
        <f aca="false">IFERROR(H96/H86,0)</f>
        <v>0.566054851476293</v>
      </c>
      <c r="I97" s="8" t="s">
        <v>183</v>
      </c>
      <c r="J97" s="8"/>
    </row>
    <row r="99" customFormat="false" ht="15" hidden="false" customHeight="false" outlineLevel="0" collapsed="false">
      <c r="A99" s="16" t="s">
        <v>863</v>
      </c>
      <c r="B99" s="17"/>
      <c r="C99" s="17"/>
      <c r="D99" s="17"/>
      <c r="E99" s="17"/>
      <c r="F99" s="17"/>
      <c r="G99" s="17"/>
      <c r="H99" s="17"/>
      <c r="I99" s="17"/>
      <c r="J99" s="17"/>
    </row>
    <row r="100" customFormat="false" ht="15" hidden="false" customHeight="false" outlineLevel="0" collapsed="false">
      <c r="A100" s="7" t="s">
        <v>22</v>
      </c>
      <c r="B100" s="8" t="s">
        <v>318</v>
      </c>
      <c r="C100" s="31" t="n">
        <f aca="false">C34+C60+C86</f>
        <v>97.1149484337697</v>
      </c>
      <c r="D100" s="31" t="n">
        <f aca="false">D34+D60+D86</f>
        <v>102.142363693599</v>
      </c>
      <c r="E100" s="31" t="n">
        <f aca="false">E34+E60+E86</f>
        <v>104.226901728162</v>
      </c>
      <c r="F100" s="31" t="n">
        <f aca="false">F34+F60+F86</f>
        <v>97.1353850811674</v>
      </c>
      <c r="G100" s="31" t="n">
        <f aca="false">G34+G60+G86</f>
        <v>102.173018664695</v>
      </c>
      <c r="H100" s="43" t="n">
        <f aca="false">SUM(C100:G100)</f>
        <v>502.792617601393</v>
      </c>
      <c r="I100" s="8" t="s">
        <v>183</v>
      </c>
    </row>
    <row r="101" customFormat="false" ht="15" hidden="false" customHeight="false" outlineLevel="0" collapsed="false">
      <c r="A101" s="8" t="s">
        <v>361</v>
      </c>
      <c r="B101" s="8" t="s">
        <v>318</v>
      </c>
      <c r="C101" s="31" t="n">
        <f aca="false">C36+C62+C88</f>
        <v>20.450533</v>
      </c>
      <c r="D101" s="31" t="n">
        <f aca="false">D36+D62+D88</f>
        <v>20.450533</v>
      </c>
      <c r="E101" s="31" t="n">
        <f aca="false">E36+E62+E88</f>
        <v>20.450533</v>
      </c>
      <c r="F101" s="31" t="n">
        <f aca="false">F36+F62+F88</f>
        <v>20.450533</v>
      </c>
      <c r="G101" s="31" t="n">
        <f aca="false">G36+G62+G88</f>
        <v>20.450533</v>
      </c>
      <c r="H101" s="43" t="n">
        <f aca="false">SUM(C101:G101)</f>
        <v>102.252665</v>
      </c>
      <c r="I101" s="8" t="s">
        <v>183</v>
      </c>
    </row>
    <row r="102" customFormat="false" ht="15" hidden="false" customHeight="false" outlineLevel="0" collapsed="false">
      <c r="A102" s="8" t="s">
        <v>363</v>
      </c>
      <c r="B102" s="8" t="s">
        <v>318</v>
      </c>
      <c r="C102" s="31" t="n">
        <f aca="false">C37+C63+C89</f>
        <v>19.3</v>
      </c>
      <c r="D102" s="31" t="n">
        <f aca="false">D37+D63+D89</f>
        <v>19.3</v>
      </c>
      <c r="E102" s="31" t="n">
        <f aca="false">E37+E63+E89</f>
        <v>19.3</v>
      </c>
      <c r="F102" s="31" t="n">
        <f aca="false">F37+F63+F89</f>
        <v>19.3</v>
      </c>
      <c r="G102" s="31" t="n">
        <f aca="false">G37+G63+G89</f>
        <v>19.3</v>
      </c>
      <c r="H102" s="43" t="n">
        <f aca="false">SUM(C102:G102)</f>
        <v>96.5</v>
      </c>
      <c r="I102" s="8" t="s">
        <v>183</v>
      </c>
    </row>
    <row r="103" customFormat="false" ht="15" hidden="false" customHeight="false" outlineLevel="0" collapsed="false">
      <c r="A103" s="8" t="s">
        <v>756</v>
      </c>
      <c r="B103" s="8" t="s">
        <v>318</v>
      </c>
      <c r="C103" s="31" t="n">
        <f aca="false">C42+C68+C94</f>
        <v>39.2849546678291</v>
      </c>
      <c r="D103" s="31" t="n">
        <f aca="false">D42+D68+D94</f>
        <v>40.5606383543356</v>
      </c>
      <c r="E103" s="31" t="n">
        <f aca="false">E42+E68+E94</f>
        <v>41.0339419756334</v>
      </c>
      <c r="F103" s="31" t="n">
        <f aca="false">F42+F68+F94</f>
        <v>38.0891019328175</v>
      </c>
      <c r="G103" s="31" t="n">
        <f aca="false">G42+G68+G94</f>
        <v>39.9936825573249</v>
      </c>
      <c r="H103" s="43" t="n">
        <f aca="false">SUM(C103:G103)</f>
        <v>198.96231948794</v>
      </c>
      <c r="I103" s="8" t="s">
        <v>183</v>
      </c>
    </row>
    <row r="104" customFormat="false" ht="15" hidden="false" customHeight="false" outlineLevel="0" collapsed="false">
      <c r="A104" s="8" t="s">
        <v>786</v>
      </c>
      <c r="B104" s="8" t="s">
        <v>318</v>
      </c>
      <c r="C104" s="31" t="n">
        <f aca="false">C100*$C$18</f>
        <v>2.52498865927801</v>
      </c>
      <c r="D104" s="31" t="n">
        <f aca="false">D100*$C$18</f>
        <v>2.65570145603357</v>
      </c>
      <c r="E104" s="31" t="n">
        <f aca="false">E100*$C$18</f>
        <v>2.70989944493221</v>
      </c>
      <c r="F104" s="31" t="n">
        <f aca="false">F100*$C$18</f>
        <v>2.52552001211035</v>
      </c>
      <c r="G104" s="31" t="n">
        <f aca="false">G100*$C$18</f>
        <v>2.65649848528208</v>
      </c>
      <c r="H104" s="43" t="n">
        <f aca="false">SUM(C104:G104)</f>
        <v>13.0726080576362</v>
      </c>
      <c r="I104" s="8" t="s">
        <v>183</v>
      </c>
    </row>
    <row r="105" customFormat="false" ht="15" hidden="false" customHeight="false" outlineLevel="0" collapsed="false">
      <c r="A105" s="8" t="s">
        <v>788</v>
      </c>
      <c r="B105" s="8" t="s">
        <v>318</v>
      </c>
      <c r="C105" s="31" t="n">
        <f aca="false">0</f>
        <v>0</v>
      </c>
      <c r="D105" s="31" t="n">
        <f aca="false">SUM($C$104:C104)/Assumptions!$F$85</f>
        <v>0.0420831443213002</v>
      </c>
      <c r="E105" s="31" t="n">
        <f aca="false">SUM($C$104:D104)/Assumptions!$F$85</f>
        <v>0.086344835255193</v>
      </c>
      <c r="F105" s="31" t="n">
        <f aca="false">SUM($C$104:E104)/Assumptions!$F$85</f>
        <v>0.131509826004063</v>
      </c>
      <c r="G105" s="31" t="n">
        <f aca="false">SUM($C$104:F104)/Assumptions!$F$85</f>
        <v>0.173601826205902</v>
      </c>
      <c r="H105" s="43" t="n">
        <f aca="false">SUM(C105:G105)</f>
        <v>0.433539631786459</v>
      </c>
      <c r="I105" s="8" t="s">
        <v>183</v>
      </c>
    </row>
    <row r="106" customFormat="false" ht="15" hidden="false" customHeight="false" outlineLevel="0" collapsed="false">
      <c r="A106" s="8" t="s">
        <v>760</v>
      </c>
      <c r="B106" s="8" t="s">
        <v>318</v>
      </c>
      <c r="C106" s="31" t="n">
        <f aca="false">C103+C105</f>
        <v>39.2849546678291</v>
      </c>
      <c r="D106" s="31" t="n">
        <f aca="false">D103+D105</f>
        <v>40.6027214986569</v>
      </c>
      <c r="E106" s="31" t="n">
        <f aca="false">E103+E105</f>
        <v>41.1202868108886</v>
      </c>
      <c r="F106" s="31" t="n">
        <f aca="false">F103+F105</f>
        <v>38.2206117588216</v>
      </c>
      <c r="G106" s="31" t="n">
        <f aca="false">G103+G105</f>
        <v>40.1672843835308</v>
      </c>
      <c r="H106" s="43" t="n">
        <f aca="false">SUM(C106:G106)</f>
        <v>199.395859119727</v>
      </c>
      <c r="I106" s="8" t="s">
        <v>183</v>
      </c>
    </row>
    <row r="107" customFormat="false" ht="15" hidden="false" customHeight="false" outlineLevel="0" collapsed="false">
      <c r="A107" s="45" t="s">
        <v>367</v>
      </c>
      <c r="B107" s="46" t="s">
        <v>318</v>
      </c>
      <c r="C107" s="63" t="n">
        <f aca="false">C100-C106</f>
        <v>57.8299937659406</v>
      </c>
      <c r="D107" s="63" t="n">
        <f aca="false">D100-D106</f>
        <v>61.5396421949418</v>
      </c>
      <c r="E107" s="63" t="n">
        <f aca="false">E100-E106</f>
        <v>63.1066149172733</v>
      </c>
      <c r="F107" s="63" t="n">
        <f aca="false">F100-F106</f>
        <v>58.9147733223458</v>
      </c>
      <c r="G107" s="63" t="n">
        <f aca="false">G100-G106</f>
        <v>62.0057342811644</v>
      </c>
      <c r="H107" s="64" t="n">
        <f aca="false">SUM(C107:G107)</f>
        <v>303.396758481666</v>
      </c>
      <c r="I107" s="8" t="s">
        <v>183</v>
      </c>
    </row>
    <row r="108" customFormat="false" ht="15" hidden="false" customHeight="false" outlineLevel="0" collapsed="false">
      <c r="A108" s="8" t="s">
        <v>369</v>
      </c>
      <c r="B108" s="8" t="s">
        <v>285</v>
      </c>
      <c r="C108" s="36" t="n">
        <f aca="false">IFERROR(C107/C100,0)</f>
        <v>0.595479838053762</v>
      </c>
      <c r="D108" s="36" t="n">
        <f aca="false">IFERROR(D107/D100,0)</f>
        <v>0.602488918109877</v>
      </c>
      <c r="E108" s="36" t="n">
        <f aca="false">IFERROR(E107/E100,0)</f>
        <v>0.605473384231108</v>
      </c>
      <c r="F108" s="36" t="n">
        <f aca="false">IFERROR(F107/F100,0)</f>
        <v>0.606522260380355</v>
      </c>
      <c r="G108" s="36" t="n">
        <f aca="false">IFERROR(G107/G100,0)</f>
        <v>0.606869945622834</v>
      </c>
      <c r="H108" s="59" t="n">
        <f aca="false">IFERROR(H107/H100,0)</f>
        <v>0.603423256150898</v>
      </c>
      <c r="I108" s="8" t="s">
        <v>183</v>
      </c>
    </row>
    <row r="109" customFormat="false" ht="15" hidden="false" customHeight="false" outlineLevel="0" collapsed="false">
      <c r="A109" s="8" t="s">
        <v>443</v>
      </c>
      <c r="B109" s="8" t="s">
        <v>318</v>
      </c>
      <c r="C109" s="31" t="n">
        <f aca="false">$C$16</f>
        <v>18</v>
      </c>
      <c r="D109" s="31" t="n">
        <f aca="false">$C$16</f>
        <v>18</v>
      </c>
      <c r="E109" s="31" t="n">
        <f aca="false">$C$16</f>
        <v>18</v>
      </c>
      <c r="F109" s="31" t="n">
        <f aca="false">$C$16</f>
        <v>18</v>
      </c>
      <c r="G109" s="31" t="n">
        <f aca="false">$C$16</f>
        <v>18</v>
      </c>
      <c r="H109" s="43" t="n">
        <f aca="false">SUM(C109:G109)</f>
        <v>90</v>
      </c>
      <c r="I109" s="8" t="s">
        <v>183</v>
      </c>
    </row>
    <row r="110" customFormat="false" ht="15" hidden="false" customHeight="false" outlineLevel="0" collapsed="false">
      <c r="A110" s="8" t="s">
        <v>445</v>
      </c>
      <c r="B110" s="8" t="s">
        <v>318</v>
      </c>
      <c r="C110" s="31" t="n">
        <f aca="false">$C$17</f>
        <v>8.4</v>
      </c>
      <c r="D110" s="31" t="n">
        <f aca="false">$C$17</f>
        <v>8.4</v>
      </c>
      <c r="E110" s="31" t="n">
        <f aca="false">$C$17</f>
        <v>8.4</v>
      </c>
      <c r="F110" s="31" t="n">
        <f aca="false">$C$17</f>
        <v>8.4</v>
      </c>
      <c r="G110" s="31" t="n">
        <f aca="false">$C$17</f>
        <v>8.4</v>
      </c>
      <c r="H110" s="43" t="n">
        <f aca="false">SUM(C110:G110)</f>
        <v>42</v>
      </c>
      <c r="I110" s="8" t="s">
        <v>183</v>
      </c>
    </row>
    <row r="111" customFormat="false" ht="15" hidden="false" customHeight="false" outlineLevel="0" collapsed="false">
      <c r="A111" s="8" t="s">
        <v>764</v>
      </c>
      <c r="B111" s="8" t="s">
        <v>318</v>
      </c>
      <c r="C111" s="31" t="n">
        <f aca="false">C109+C110</f>
        <v>26.4</v>
      </c>
      <c r="D111" s="31" t="n">
        <f aca="false">D109+D110</f>
        <v>26.4</v>
      </c>
      <c r="E111" s="31" t="n">
        <f aca="false">E109+E110</f>
        <v>26.4</v>
      </c>
      <c r="F111" s="31" t="n">
        <f aca="false">F109+F110</f>
        <v>26.4</v>
      </c>
      <c r="G111" s="31" t="n">
        <f aca="false">G109+G110</f>
        <v>26.4</v>
      </c>
      <c r="H111" s="43" t="n">
        <f aca="false">SUM(C111:G111)</f>
        <v>132</v>
      </c>
      <c r="I111" s="8" t="s">
        <v>183</v>
      </c>
    </row>
    <row r="112" customFormat="false" ht="15" hidden="false" customHeight="false" outlineLevel="0" collapsed="false">
      <c r="A112" s="45" t="s">
        <v>419</v>
      </c>
      <c r="B112" s="46" t="s">
        <v>318</v>
      </c>
      <c r="C112" s="63" t="n">
        <f aca="false">C107-C111</f>
        <v>31.4299937659406</v>
      </c>
      <c r="D112" s="63" t="n">
        <f aca="false">D107-D111</f>
        <v>35.1396421949418</v>
      </c>
      <c r="E112" s="63" t="n">
        <f aca="false">E107-E111</f>
        <v>36.7066149172733</v>
      </c>
      <c r="F112" s="63" t="n">
        <f aca="false">F107-F111</f>
        <v>32.5147733223458</v>
      </c>
      <c r="G112" s="63" t="n">
        <f aca="false">G107-G111</f>
        <v>35.6057342811644</v>
      </c>
      <c r="H112" s="64" t="n">
        <f aca="false">SUM(C112:G112)</f>
        <v>171.396758481666</v>
      </c>
      <c r="I112" s="8" t="s">
        <v>183</v>
      </c>
    </row>
    <row r="113" customFormat="false" ht="15" hidden="false" customHeight="false" outlineLevel="0" collapsed="false">
      <c r="A113" s="8" t="s">
        <v>420</v>
      </c>
      <c r="B113" s="8" t="s">
        <v>285</v>
      </c>
      <c r="C113" s="36" t="n">
        <f aca="false">IFERROR(C112/C100,0)</f>
        <v>0.323637032947355</v>
      </c>
      <c r="D113" s="36" t="n">
        <f aca="false">IFERROR(D112/D100,0)</f>
        <v>0.344026131021913</v>
      </c>
      <c r="E113" s="36" t="n">
        <f aca="false">IFERROR(E112/E100,0)</f>
        <v>0.352179852884903</v>
      </c>
      <c r="F113" s="36" t="n">
        <f aca="false">IFERROR(F112/F100,0)</f>
        <v>0.334736649215691</v>
      </c>
      <c r="G113" s="36" t="n">
        <f aca="false">IFERROR(G112/G100,0)</f>
        <v>0.348484705125655</v>
      </c>
      <c r="H113" s="59" t="n">
        <f aca="false">IFERROR(H112/H100,0)</f>
        <v>0.340889568544833</v>
      </c>
      <c r="I113" s="8" t="s">
        <v>183</v>
      </c>
    </row>
    <row r="114" customFormat="false" ht="15" hidden="false" customHeight="false" outlineLevel="0" collapsed="false">
      <c r="A114" s="8" t="s">
        <v>718</v>
      </c>
      <c r="B114" s="8" t="s">
        <v>318</v>
      </c>
      <c r="C114" s="31" t="n">
        <f aca="false">C43+C69+C95</f>
        <v>35.2921527745527</v>
      </c>
      <c r="D114" s="31" t="n">
        <f aca="false">D43+D69+D95</f>
        <v>34.4820474202172</v>
      </c>
      <c r="E114" s="31" t="n">
        <f aca="false">E43+E69+E95</f>
        <v>33.1986384445837</v>
      </c>
      <c r="F114" s="31" t="n">
        <f aca="false">F43+F69+F95</f>
        <v>34.8600695117662</v>
      </c>
      <c r="G114" s="31" t="n">
        <f aca="false">G43+G69+G95</f>
        <v>34.6169199544413</v>
      </c>
      <c r="H114" s="43" t="n">
        <f aca="false">G114</f>
        <v>34.6169199544413</v>
      </c>
      <c r="I114" s="8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H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8" min="8" style="0" width="80"/>
  </cols>
  <sheetData>
    <row r="1" customFormat="false" ht="19.7" hidden="false" customHeight="false" outlineLevel="0" collapsed="false">
      <c r="A1" s="14" t="s">
        <v>864</v>
      </c>
    </row>
    <row r="2" customFormat="false" ht="15" hidden="false" customHeight="false" outlineLevel="0" collapsed="false">
      <c r="A2" s="4" t="s">
        <v>865</v>
      </c>
    </row>
    <row r="3" customFormat="false" ht="15" hidden="false" customHeight="false" outlineLevel="0" collapsed="false">
      <c r="A3" s="15" t="s">
        <v>866</v>
      </c>
    </row>
    <row r="5" customFormat="false" ht="15" hidden="false" customHeight="false" outlineLevel="0" collapsed="false">
      <c r="A5" s="16" t="s">
        <v>867</v>
      </c>
      <c r="B5" s="17"/>
      <c r="C5" s="17"/>
      <c r="D5" s="17"/>
      <c r="E5" s="17"/>
      <c r="F5" s="17"/>
      <c r="G5" s="17"/>
      <c r="H5" s="17"/>
    </row>
    <row r="6" customFormat="false" ht="15" hidden="false" customHeight="false" outlineLevel="0" collapsed="false">
      <c r="A6" s="18" t="s">
        <v>868</v>
      </c>
      <c r="B6" s="19" t="s">
        <v>279</v>
      </c>
      <c r="C6" s="19" t="s">
        <v>28</v>
      </c>
      <c r="D6" s="19" t="s">
        <v>869</v>
      </c>
      <c r="E6" s="19" t="s">
        <v>32</v>
      </c>
      <c r="F6" s="19" t="s">
        <v>870</v>
      </c>
      <c r="G6" s="19" t="s">
        <v>871</v>
      </c>
      <c r="H6" s="19" t="s">
        <v>872</v>
      </c>
    </row>
    <row r="7" customFormat="false" ht="15" hidden="false" customHeight="false" outlineLevel="0" collapsed="false">
      <c r="A7" s="8" t="s">
        <v>873</v>
      </c>
      <c r="B7" s="8" t="s">
        <v>318</v>
      </c>
      <c r="C7" s="40" t="n">
        <f aca="false">Budget!$P$31</f>
        <v>243.421152107954</v>
      </c>
      <c r="D7" s="40" t="n">
        <f aca="false">Actuals!$H$34</f>
        <v>250.626314261102</v>
      </c>
      <c r="E7" s="31" t="n">
        <f aca="false">D7-C7</f>
        <v>7.20516215314763</v>
      </c>
      <c r="F7" s="68" t="n">
        <f aca="false">IFERROR(E7/ABS(C7),0)</f>
        <v>0.0295995729654267</v>
      </c>
      <c r="G7" s="0" t="str">
        <f aca="false">IF(ABS(E7)&lt;0.0005,"On budget",IF(E7&gt;0,"Favorable","Unfavorable"))</f>
        <v>Favorable</v>
      </c>
      <c r="H7" s="0" t="s">
        <v>874</v>
      </c>
    </row>
    <row r="8" customFormat="false" ht="15" hidden="false" customHeight="false" outlineLevel="0" collapsed="false">
      <c r="A8" s="8" t="s">
        <v>875</v>
      </c>
      <c r="B8" s="8" t="s">
        <v>318</v>
      </c>
      <c r="C8" s="40" t="n">
        <f aca="false">Budget!$P$57</f>
        <v>131.624040440474</v>
      </c>
      <c r="D8" s="40" t="n">
        <f aca="false">Actuals!$H$60</f>
        <v>124.364117167708</v>
      </c>
      <c r="E8" s="31" t="n">
        <f aca="false">D8-C8</f>
        <v>-7.25992327276634</v>
      </c>
      <c r="F8" s="68" t="n">
        <f aca="false">IFERROR(E8/ABS(C8),0)</f>
        <v>-0.0551565143302949</v>
      </c>
      <c r="G8" s="0" t="str">
        <f aca="false">IF(ABS(E8)&lt;0.0005,"On budget",IF(E8&gt;0,"Favorable","Unfavorable"))</f>
        <v>Unfavorable</v>
      </c>
      <c r="H8" s="0" t="s">
        <v>874</v>
      </c>
    </row>
    <row r="9" customFormat="false" ht="15" hidden="false" customHeight="false" outlineLevel="0" collapsed="false">
      <c r="A9" s="8" t="s">
        <v>876</v>
      </c>
      <c r="B9" s="8" t="s">
        <v>318</v>
      </c>
      <c r="C9" s="40" t="n">
        <f aca="false">Budget!$P$83</f>
        <v>110.741690713119</v>
      </c>
      <c r="D9" s="40" t="n">
        <f aca="false">Actuals!$H$86</f>
        <v>127.802186172583</v>
      </c>
      <c r="E9" s="31" t="n">
        <f aca="false">D9-C9</f>
        <v>17.0604954594641</v>
      </c>
      <c r="F9" s="68" t="n">
        <f aca="false">IFERROR(E9/ABS(C9),0)</f>
        <v>0.154056664203006</v>
      </c>
      <c r="G9" s="0" t="str">
        <f aca="false">IF(ABS(E9)&lt;0.0005,"On budget",IF(E9&gt;0,"Favorable","Unfavorable"))</f>
        <v>Favorable</v>
      </c>
      <c r="H9" s="0" t="s">
        <v>874</v>
      </c>
    </row>
    <row r="10" customFormat="false" ht="15" hidden="false" customHeight="false" outlineLevel="0" collapsed="false">
      <c r="A10" s="7" t="s">
        <v>877</v>
      </c>
      <c r="B10" s="8" t="s">
        <v>318</v>
      </c>
      <c r="C10" s="40" t="n">
        <f aca="false">Budget!$P$97</f>
        <v>485.786883261548</v>
      </c>
      <c r="D10" s="40" t="n">
        <f aca="false">Actuals!$H$100</f>
        <v>502.792617601393</v>
      </c>
      <c r="E10" s="43" t="n">
        <f aca="false">D10-C10</f>
        <v>17.0057343398453</v>
      </c>
      <c r="F10" s="68" t="n">
        <f aca="false">IFERROR(E10/ABS(C10),0)</f>
        <v>0.0350065737174082</v>
      </c>
      <c r="G10" s="0" t="str">
        <f aca="false">IF(ABS(E10)&lt;0.0005,"On budget",IF(E10&gt;0,"Favorable","Unfavorable"))</f>
        <v>Favorable</v>
      </c>
      <c r="H10" s="0" t="s">
        <v>874</v>
      </c>
    </row>
    <row r="11" customFormat="false" ht="15" hidden="false" customHeight="false" outlineLevel="0" collapsed="false">
      <c r="A11" s="8" t="s">
        <v>365</v>
      </c>
      <c r="B11" s="8" t="s">
        <v>318</v>
      </c>
      <c r="C11" s="40" t="n">
        <f aca="false">Budget!$P$103</f>
        <v>191.372891832976</v>
      </c>
      <c r="D11" s="40" t="n">
        <f aca="false">Actuals!$H$106</f>
        <v>199.395859119727</v>
      </c>
      <c r="E11" s="31" t="n">
        <f aca="false">C11-D11</f>
        <v>-8.02296728675054</v>
      </c>
      <c r="F11" s="68" t="n">
        <f aca="false">IFERROR(E11/ABS(C11),0)</f>
        <v>-0.0419232170758684</v>
      </c>
      <c r="G11" s="0" t="str">
        <f aca="false">IF(ABS(E11)&lt;0.0005,"On budget",IF(E11&gt;0,"Favorable","Unfavorable"))</f>
        <v>Unfavorable</v>
      </c>
      <c r="H11" s="0" t="s">
        <v>878</v>
      </c>
    </row>
    <row r="12" customFormat="false" ht="15" hidden="false" customHeight="false" outlineLevel="0" collapsed="false">
      <c r="A12" s="7" t="s">
        <v>367</v>
      </c>
      <c r="B12" s="8" t="s">
        <v>318</v>
      </c>
      <c r="C12" s="40" t="n">
        <f aca="false">Budget!$P$104</f>
        <v>294.413991428571</v>
      </c>
      <c r="D12" s="40" t="n">
        <f aca="false">Actuals!$H$107</f>
        <v>303.396758481666</v>
      </c>
      <c r="E12" s="43" t="n">
        <f aca="false">D12-C12</f>
        <v>8.98276705309485</v>
      </c>
      <c r="F12" s="68" t="n">
        <f aca="false">IFERROR(E12/ABS(C12),0)</f>
        <v>0.0305106663223042</v>
      </c>
      <c r="G12" s="0" t="str">
        <f aca="false">IF(ABS(E12)&lt;0.0005,"On budget",IF(E12&gt;0,"Favorable","Unfavorable"))</f>
        <v>Favorable</v>
      </c>
      <c r="H12" s="0" t="s">
        <v>874</v>
      </c>
    </row>
    <row r="13" customFormat="false" ht="15" hidden="false" customHeight="false" outlineLevel="0" collapsed="false">
      <c r="A13" s="8" t="s">
        <v>369</v>
      </c>
      <c r="B13" s="8" t="s">
        <v>285</v>
      </c>
      <c r="C13" s="25" t="n">
        <f aca="false">Budget!$P$105</f>
        <v>0.606055868474445</v>
      </c>
      <c r="D13" s="25" t="n">
        <f aca="false">Actuals!$H$108</f>
        <v>0.603423256150898</v>
      </c>
      <c r="E13" s="36" t="n">
        <f aca="false">D13-C13</f>
        <v>-0.00263261232354683</v>
      </c>
      <c r="H13" s="0" t="s">
        <v>874</v>
      </c>
    </row>
    <row r="14" customFormat="false" ht="15" hidden="false" customHeight="false" outlineLevel="0" collapsed="false">
      <c r="A14" s="8" t="s">
        <v>443</v>
      </c>
      <c r="B14" s="8" t="s">
        <v>318</v>
      </c>
      <c r="C14" s="40" t="n">
        <f aca="false">Budget!$P$106</f>
        <v>87.5</v>
      </c>
      <c r="D14" s="40" t="n">
        <f aca="false">Actuals!$H$109</f>
        <v>90</v>
      </c>
      <c r="E14" s="31" t="n">
        <f aca="false">C14-D14</f>
        <v>-2.5</v>
      </c>
      <c r="F14" s="68" t="n">
        <f aca="false">IFERROR(E14/ABS(C14),0)</f>
        <v>-0.0285714285714286</v>
      </c>
      <c r="G14" s="0" t="str">
        <f aca="false">IF(ABS(E14)&lt;0.0005,"On budget",IF(E14&gt;0,"Favorable","Unfavorable"))</f>
        <v>Unfavorable</v>
      </c>
      <c r="H14" s="0" t="s">
        <v>878</v>
      </c>
    </row>
    <row r="15" customFormat="false" ht="15" hidden="false" customHeight="false" outlineLevel="0" collapsed="false">
      <c r="A15" s="8" t="s">
        <v>445</v>
      </c>
      <c r="B15" s="8" t="s">
        <v>318</v>
      </c>
      <c r="C15" s="40" t="n">
        <f aca="false">Budget!$P$107</f>
        <v>43.3333333333333</v>
      </c>
      <c r="D15" s="40" t="n">
        <f aca="false">Actuals!$H$110</f>
        <v>42</v>
      </c>
      <c r="E15" s="31" t="n">
        <f aca="false">C15-D15</f>
        <v>1.33333333333333</v>
      </c>
      <c r="F15" s="68" t="n">
        <f aca="false">IFERROR(E15/ABS(C15),0)</f>
        <v>0.0307692307692307</v>
      </c>
      <c r="G15" s="0" t="str">
        <f aca="false">IF(ABS(E15)&lt;0.0005,"On budget",IF(E15&gt;0,"Favorable","Unfavorable"))</f>
        <v>Favorable</v>
      </c>
      <c r="H15" s="0" t="s">
        <v>878</v>
      </c>
    </row>
    <row r="16" customFormat="false" ht="15" hidden="false" customHeight="false" outlineLevel="0" collapsed="false">
      <c r="A16" s="8" t="s">
        <v>764</v>
      </c>
      <c r="B16" s="8" t="s">
        <v>318</v>
      </c>
      <c r="C16" s="40" t="n">
        <f aca="false">Budget!$P$108</f>
        <v>130.833333333333</v>
      </c>
      <c r="D16" s="40" t="n">
        <f aca="false">Actuals!$H$111</f>
        <v>132</v>
      </c>
      <c r="E16" s="31" t="n">
        <f aca="false">C16-D16</f>
        <v>-1.16666666666669</v>
      </c>
      <c r="F16" s="68" t="n">
        <f aca="false">IFERROR(E16/ABS(C16),0)</f>
        <v>-0.00891719745222945</v>
      </c>
      <c r="G16" s="0" t="str">
        <f aca="false">IF(ABS(E16)&lt;0.0005,"On budget",IF(E16&gt;0,"Favorable","Unfavorable"))</f>
        <v>Unfavorable</v>
      </c>
      <c r="H16" s="0" t="s">
        <v>878</v>
      </c>
    </row>
    <row r="17" customFormat="false" ht="15" hidden="false" customHeight="false" outlineLevel="0" collapsed="false">
      <c r="A17" s="7" t="s">
        <v>419</v>
      </c>
      <c r="B17" s="8" t="s">
        <v>318</v>
      </c>
      <c r="C17" s="40" t="n">
        <f aca="false">Budget!$P$109</f>
        <v>163.580658095238</v>
      </c>
      <c r="D17" s="40" t="n">
        <f aca="false">Actuals!$H$112</f>
        <v>171.396758481666</v>
      </c>
      <c r="E17" s="43" t="n">
        <f aca="false">D17-C17</f>
        <v>7.81610038642819</v>
      </c>
      <c r="F17" s="68" t="n">
        <f aca="false">IFERROR(E17/ABS(C17),0)</f>
        <v>0.0477813237667598</v>
      </c>
      <c r="G17" s="0" t="str">
        <f aca="false">IF(ABS(E17)&lt;0.0005,"On budget",IF(E17&gt;0,"Favorable","Unfavorable"))</f>
        <v>Favorable</v>
      </c>
      <c r="H17" s="0" t="s">
        <v>874</v>
      </c>
    </row>
    <row r="18" customFormat="false" ht="15" hidden="false" customHeight="false" outlineLevel="0" collapsed="false">
      <c r="A18" s="8" t="s">
        <v>420</v>
      </c>
      <c r="B18" s="8" t="s">
        <v>285</v>
      </c>
      <c r="C18" s="25" t="n">
        <f aca="false">Budget!$P$110</f>
        <v>0.336733377807498</v>
      </c>
      <c r="D18" s="25" t="n">
        <f aca="false">Actuals!$H$113</f>
        <v>0.340889568544833</v>
      </c>
      <c r="E18" s="36" t="n">
        <f aca="false">D18-C18</f>
        <v>0.00415619073733453</v>
      </c>
      <c r="H18" s="0" t="s">
        <v>874</v>
      </c>
    </row>
    <row r="20" customFormat="false" ht="15" hidden="false" customHeight="false" outlineLevel="0" collapsed="false">
      <c r="A20" s="16" t="s">
        <v>879</v>
      </c>
      <c r="B20" s="17"/>
      <c r="C20" s="17"/>
      <c r="D20" s="17"/>
      <c r="E20" s="17"/>
      <c r="F20" s="17"/>
      <c r="G20" s="17"/>
      <c r="H20" s="17"/>
    </row>
    <row r="21" customFormat="false" ht="15" hidden="false" customHeight="false" outlineLevel="0" collapsed="false">
      <c r="A21" s="18" t="s">
        <v>880</v>
      </c>
      <c r="B21" s="19" t="s">
        <v>279</v>
      </c>
      <c r="C21" s="19" t="s">
        <v>28</v>
      </c>
      <c r="D21" s="19" t="s">
        <v>869</v>
      </c>
      <c r="E21" s="19" t="s">
        <v>881</v>
      </c>
      <c r="F21" s="19"/>
      <c r="G21" s="19"/>
      <c r="H21" s="19" t="s">
        <v>872</v>
      </c>
    </row>
    <row r="22" customFormat="false" ht="15" hidden="false" customHeight="false" outlineLevel="0" collapsed="false">
      <c r="A22" s="8" t="s">
        <v>882</v>
      </c>
      <c r="B22" s="8" t="s">
        <v>355</v>
      </c>
      <c r="C22" s="69" t="n">
        <f aca="false">Budget!$P$27</f>
        <v>122.939975812098</v>
      </c>
      <c r="D22" s="69" t="n">
        <f aca="false">Actuals!$H$30</f>
        <v>127.870568500562</v>
      </c>
      <c r="E22" s="70" t="n">
        <f aca="false">D22-C22</f>
        <v>4.93059268846409</v>
      </c>
      <c r="H22" s="0" t="s">
        <v>874</v>
      </c>
    </row>
    <row r="23" customFormat="false" ht="15" hidden="false" customHeight="false" outlineLevel="0" collapsed="false">
      <c r="A23" s="8" t="s">
        <v>883</v>
      </c>
      <c r="B23" s="8" t="s">
        <v>355</v>
      </c>
      <c r="C23" s="69" t="n">
        <f aca="false">Budget!$P$53</f>
        <v>166.191970253124</v>
      </c>
      <c r="D23" s="69" t="n">
        <f aca="false">Actuals!$H$56</f>
        <v>156.236328100136</v>
      </c>
      <c r="E23" s="70" t="n">
        <f aca="false">D23-C23</f>
        <v>-9.95564215298847</v>
      </c>
      <c r="H23" s="0" t="s">
        <v>874</v>
      </c>
    </row>
    <row r="24" customFormat="false" ht="15" hidden="false" customHeight="false" outlineLevel="0" collapsed="false">
      <c r="A24" s="8" t="s">
        <v>884</v>
      </c>
      <c r="B24" s="8" t="s">
        <v>355</v>
      </c>
      <c r="C24" s="69" t="n">
        <f aca="false">Budget!$P$79</f>
        <v>4.4744117459846</v>
      </c>
      <c r="D24" s="69" t="n">
        <f aca="false">Actuals!$H$82</f>
        <v>5.0118504381405</v>
      </c>
      <c r="E24" s="70" t="n">
        <f aca="false">D24-C24</f>
        <v>0.537438692155906</v>
      </c>
      <c r="H24" s="0" t="s">
        <v>874</v>
      </c>
    </row>
    <row r="25" customFormat="false" ht="15" hidden="false" customHeight="false" outlineLevel="0" collapsed="false">
      <c r="A25" s="8" t="s">
        <v>885</v>
      </c>
      <c r="B25" s="8" t="s">
        <v>336</v>
      </c>
      <c r="C25" s="71" t="n">
        <f aca="false">Budget!$P$30</f>
        <v>1.98</v>
      </c>
      <c r="D25" s="71" t="n">
        <f aca="false">Actuals!$H$33</f>
        <v>1.96</v>
      </c>
      <c r="E25" s="72" t="n">
        <f aca="false">D25-C25</f>
        <v>-0.02</v>
      </c>
      <c r="H25" s="0" t="s">
        <v>874</v>
      </c>
    </row>
    <row r="26" customFormat="false" ht="15" hidden="false" customHeight="false" outlineLevel="0" collapsed="false">
      <c r="A26" s="8" t="s">
        <v>886</v>
      </c>
      <c r="B26" s="8" t="s">
        <v>336</v>
      </c>
      <c r="C26" s="71" t="n">
        <f aca="false">Budget!$P$56</f>
        <v>0.792</v>
      </c>
      <c r="D26" s="71" t="n">
        <f aca="false">Actuals!$H$59</f>
        <v>0.796</v>
      </c>
      <c r="E26" s="72" t="n">
        <f aca="false">D26-C26</f>
        <v>0.00399999999999989</v>
      </c>
      <c r="H26" s="0" t="s">
        <v>874</v>
      </c>
    </row>
    <row r="27" customFormat="false" ht="15" hidden="false" customHeight="false" outlineLevel="0" collapsed="false">
      <c r="A27" s="8" t="s">
        <v>887</v>
      </c>
      <c r="B27" s="8" t="s">
        <v>336</v>
      </c>
      <c r="C27" s="71" t="n">
        <f aca="false">Budget!$P$82</f>
        <v>24.75</v>
      </c>
      <c r="D27" s="71" t="n">
        <f aca="false">Actuals!$H$85</f>
        <v>25.5</v>
      </c>
      <c r="E27" s="72" t="n">
        <f aca="false">D27-C27</f>
        <v>0.75</v>
      </c>
      <c r="H27" s="0" t="s">
        <v>874</v>
      </c>
    </row>
    <row r="28" customFormat="false" ht="15" hidden="false" customHeight="false" outlineLevel="0" collapsed="false">
      <c r="A28" s="8" t="s">
        <v>888</v>
      </c>
      <c r="B28" s="8" t="s">
        <v>285</v>
      </c>
      <c r="C28" s="25" t="n">
        <f aca="false">Budget!$P$23</f>
        <v>0.92</v>
      </c>
      <c r="D28" s="25" t="n">
        <f aca="false">Actuals!$H$26</f>
        <v>0.925</v>
      </c>
      <c r="E28" s="68" t="n">
        <f aca="false">D28-C28</f>
        <v>0.005</v>
      </c>
      <c r="H28" s="0" t="s">
        <v>874</v>
      </c>
    </row>
    <row r="29" customFormat="false" ht="15" hidden="false" customHeight="false" outlineLevel="0" collapsed="false">
      <c r="A29" s="8" t="s">
        <v>889</v>
      </c>
      <c r="B29" s="8" t="s">
        <v>285</v>
      </c>
      <c r="C29" s="25" t="n">
        <f aca="false">Budget!$P$49</f>
        <v>0.94</v>
      </c>
      <c r="D29" s="25" t="n">
        <f aca="false">Actuals!$H$52</f>
        <v>0.935</v>
      </c>
      <c r="E29" s="68" t="n">
        <f aca="false">D29-C29</f>
        <v>-0.00499999999999967</v>
      </c>
      <c r="H29" s="0" t="s">
        <v>874</v>
      </c>
    </row>
    <row r="30" customFormat="false" ht="15" hidden="false" customHeight="false" outlineLevel="0" collapsed="false">
      <c r="A30" s="8" t="s">
        <v>890</v>
      </c>
      <c r="B30" s="8" t="s">
        <v>285</v>
      </c>
      <c r="C30" s="25" t="n">
        <f aca="false">Budget!$P$75</f>
        <v>0.85</v>
      </c>
      <c r="D30" s="25" t="n">
        <f aca="false">Actuals!$H$78</f>
        <v>0.82</v>
      </c>
      <c r="E30" s="68" t="n">
        <f aca="false">D30-C30</f>
        <v>-0.03</v>
      </c>
      <c r="H30" s="0" t="s">
        <v>874</v>
      </c>
    </row>
    <row r="31" customFormat="false" ht="15" hidden="false" customHeight="false" outlineLevel="0" collapsed="false">
      <c r="A31" s="8" t="s">
        <v>891</v>
      </c>
      <c r="B31" s="8" t="s">
        <v>285</v>
      </c>
      <c r="C31" s="25" t="n">
        <f aca="false">Budget!$P$21</f>
        <v>0.8</v>
      </c>
      <c r="D31" s="25" t="n">
        <f aca="false">Actuals!$H$24</f>
        <v>0.82</v>
      </c>
      <c r="E31" s="68" t="n">
        <f aca="false">D31-C31</f>
        <v>0.0199999999999999</v>
      </c>
      <c r="H31" s="0" t="s">
        <v>874</v>
      </c>
    </row>
    <row r="32" customFormat="false" ht="15" hidden="false" customHeight="false" outlineLevel="0" collapsed="false">
      <c r="A32" s="8" t="s">
        <v>892</v>
      </c>
      <c r="B32" s="8" t="s">
        <v>285</v>
      </c>
      <c r="C32" s="25" t="n">
        <f aca="false">Budget!$P$47</f>
        <v>0.8</v>
      </c>
      <c r="D32" s="25" t="n">
        <f aca="false">Actuals!$H$50</f>
        <v>0.76</v>
      </c>
      <c r="E32" s="68" t="n">
        <f aca="false">D32-C32</f>
        <v>-0.0400000000000002</v>
      </c>
      <c r="H32" s="0" t="s">
        <v>874</v>
      </c>
    </row>
    <row r="33" customFormat="false" ht="15" hidden="false" customHeight="false" outlineLevel="0" collapsed="false">
      <c r="A33" s="8" t="s">
        <v>893</v>
      </c>
      <c r="B33" s="8" t="s">
        <v>285</v>
      </c>
      <c r="C33" s="25" t="n">
        <f aca="false">Budget!$P$73</f>
        <v>0.8</v>
      </c>
      <c r="D33" s="25" t="n">
        <f aca="false">Actuals!$H$76</f>
        <v>0.88</v>
      </c>
      <c r="E33" s="68" t="n">
        <f aca="false">D33-C33</f>
        <v>0.0800000000000001</v>
      </c>
      <c r="H33" s="0" t="s">
        <v>874</v>
      </c>
    </row>
    <row r="34" customFormat="false" ht="15" hidden="false" customHeight="false" outlineLevel="0" collapsed="false">
      <c r="A34" s="8" t="s">
        <v>894</v>
      </c>
      <c r="B34" s="8" t="s">
        <v>336</v>
      </c>
      <c r="C34" s="71" t="n">
        <f aca="false">Budget!$P$36</f>
        <v>0.715854037267081</v>
      </c>
      <c r="D34" s="71" t="n">
        <f aca="false">Actuals!$H$39</f>
        <v>0.711832187588285</v>
      </c>
      <c r="E34" s="72" t="n">
        <f aca="false">D34-C34</f>
        <v>-0.00402184967879549</v>
      </c>
      <c r="H34" s="0" t="s">
        <v>874</v>
      </c>
    </row>
    <row r="35" customFormat="false" ht="15" hidden="false" customHeight="false" outlineLevel="0" collapsed="false">
      <c r="A35" s="8" t="s">
        <v>895</v>
      </c>
      <c r="B35" s="8" t="s">
        <v>336</v>
      </c>
      <c r="C35" s="71" t="n">
        <f aca="false">Budget!$P$62</f>
        <v>0.314685476410731</v>
      </c>
      <c r="D35" s="71" t="n">
        <f aca="false">Actuals!$H$65</f>
        <v>0.322867387021378</v>
      </c>
      <c r="E35" s="72" t="n">
        <f aca="false">D35-C35</f>
        <v>0.00818191061064727</v>
      </c>
      <c r="H35" s="0" t="s">
        <v>874</v>
      </c>
    </row>
    <row r="36" customFormat="false" ht="15" hidden="false" customHeight="false" outlineLevel="0" collapsed="false">
      <c r="A36" s="8" t="s">
        <v>896</v>
      </c>
      <c r="B36" s="8" t="s">
        <v>336</v>
      </c>
      <c r="C36" s="71" t="n">
        <f aca="false">Budget!$P$88</f>
        <v>10.6726696832579</v>
      </c>
      <c r="D36" s="71" t="n">
        <f aca="false">Actuals!$H$91</f>
        <v>10.979242708511</v>
      </c>
      <c r="E36" s="72" t="n">
        <f aca="false">D36-C36</f>
        <v>0.30657302525308</v>
      </c>
      <c r="H36" s="0" t="s">
        <v>874</v>
      </c>
    </row>
    <row r="37" customFormat="false" ht="15" hidden="false" customHeight="false" outlineLevel="0" collapsed="false">
      <c r="A37" s="8" t="s">
        <v>897</v>
      </c>
      <c r="B37" s="8" t="s">
        <v>355</v>
      </c>
      <c r="C37" s="69" t="n">
        <f aca="false">Budget!$P$29</f>
        <v>0</v>
      </c>
      <c r="D37" s="69" t="n">
        <f aca="false">Actuals!$H$32</f>
        <v>0</v>
      </c>
      <c r="E37" s="70" t="n">
        <f aca="false">D37-C37</f>
        <v>0</v>
      </c>
      <c r="H37" s="0" t="s">
        <v>874</v>
      </c>
    </row>
    <row r="38" customFormat="false" ht="15" hidden="false" customHeight="false" outlineLevel="0" collapsed="false">
      <c r="A38" s="8" t="s">
        <v>898</v>
      </c>
      <c r="B38" s="8" t="s">
        <v>355</v>
      </c>
      <c r="C38" s="69" t="n">
        <f aca="false">Budget!$P$55</f>
        <v>0</v>
      </c>
      <c r="D38" s="69" t="n">
        <f aca="false">Actuals!$H$58</f>
        <v>0</v>
      </c>
      <c r="E38" s="70" t="n">
        <f aca="false">D38-C38</f>
        <v>0</v>
      </c>
      <c r="H38" s="0" t="s">
        <v>874</v>
      </c>
    </row>
    <row r="39" customFormat="false" ht="15" hidden="false" customHeight="false" outlineLevel="0" collapsed="false">
      <c r="A39" s="8" t="s">
        <v>899</v>
      </c>
      <c r="B39" s="8" t="s">
        <v>355</v>
      </c>
      <c r="C39" s="69" t="n">
        <f aca="false">Budget!$P$81</f>
        <v>0</v>
      </c>
      <c r="D39" s="69" t="n">
        <f aca="false">Actuals!$H$84</f>
        <v>0</v>
      </c>
      <c r="E39" s="70" t="n">
        <f aca="false">D39-C39</f>
        <v>0</v>
      </c>
      <c r="H39" s="0" t="s">
        <v>874</v>
      </c>
    </row>
    <row r="41" customFormat="false" ht="15" hidden="false" customHeight="false" outlineLevel="0" collapsed="false">
      <c r="A41" s="16" t="s">
        <v>900</v>
      </c>
      <c r="B41" s="17"/>
      <c r="C41" s="17"/>
      <c r="D41" s="17"/>
      <c r="E41" s="17"/>
      <c r="F41" s="17"/>
      <c r="G41" s="17"/>
      <c r="H41" s="17"/>
    </row>
    <row r="42" customFormat="false" ht="24.05" hidden="false" customHeight="false" outlineLevel="0" collapsed="false">
      <c r="A42" s="18" t="s">
        <v>45</v>
      </c>
      <c r="B42" s="19" t="s">
        <v>279</v>
      </c>
      <c r="C42" s="19" t="s">
        <v>837</v>
      </c>
      <c r="D42" s="19" t="s">
        <v>328</v>
      </c>
      <c r="E42" s="19" t="s">
        <v>838</v>
      </c>
      <c r="F42" s="19" t="s">
        <v>130</v>
      </c>
      <c r="G42" s="19"/>
      <c r="H42" s="19" t="s">
        <v>872</v>
      </c>
    </row>
    <row r="43" customFormat="false" ht="15" hidden="false" customHeight="false" outlineLevel="0" collapsed="false">
      <c r="A43" s="8" t="s">
        <v>901</v>
      </c>
      <c r="B43" s="8" t="s">
        <v>355</v>
      </c>
      <c r="C43" s="73" t="n">
        <f aca="false">Budget!$P$27</f>
        <v>122.939975812098</v>
      </c>
      <c r="D43" s="73" t="n">
        <f aca="false">Budget!$P$53</f>
        <v>166.191970253124</v>
      </c>
      <c r="E43" s="73" t="n">
        <f aca="false">Budget!$P$79</f>
        <v>4.4744117459846</v>
      </c>
      <c r="F43" s="74" t="n">
        <f aca="false">SUM(C43:E43)</f>
        <v>293.606357811207</v>
      </c>
    </row>
    <row r="44" customFormat="false" ht="15" hidden="false" customHeight="false" outlineLevel="0" collapsed="false">
      <c r="A44" s="8" t="s">
        <v>902</v>
      </c>
      <c r="B44" s="8" t="s">
        <v>355</v>
      </c>
      <c r="C44" s="73" t="n">
        <f aca="false">Actuals!$H$30</f>
        <v>127.870568500562</v>
      </c>
      <c r="D44" s="73" t="n">
        <f aca="false">Actuals!$H$56</f>
        <v>156.236328100136</v>
      </c>
      <c r="E44" s="73" t="n">
        <f aca="false">Actuals!$H$82</f>
        <v>5.0118504381405</v>
      </c>
      <c r="F44" s="74" t="n">
        <f aca="false">SUM(C44:E44)</f>
        <v>289.118747038839</v>
      </c>
    </row>
    <row r="45" customFormat="false" ht="15" hidden="false" customHeight="false" outlineLevel="0" collapsed="false">
      <c r="A45" s="8" t="s">
        <v>903</v>
      </c>
      <c r="B45" s="8" t="s">
        <v>285</v>
      </c>
      <c r="C45" s="36" t="n">
        <f aca="false">C43/$F$43</f>
        <v>0.418723820317101</v>
      </c>
      <c r="D45" s="36" t="n">
        <f aca="false">D43/$F$43</f>
        <v>0.566036687665967</v>
      </c>
      <c r="E45" s="36" t="n">
        <f aca="false">E43/$F$43</f>
        <v>0.0152394920169328</v>
      </c>
      <c r="F45" s="36" t="n">
        <f aca="false">SUM(C45:E45)</f>
        <v>1</v>
      </c>
    </row>
    <row r="46" customFormat="false" ht="15" hidden="false" customHeight="false" outlineLevel="0" collapsed="false">
      <c r="A46" s="8" t="s">
        <v>904</v>
      </c>
      <c r="B46" s="8" t="s">
        <v>285</v>
      </c>
      <c r="C46" s="36" t="n">
        <f aca="false">C44/$F$44</f>
        <v>0.442276987605321</v>
      </c>
      <c r="D46" s="36" t="n">
        <f aca="false">D44/$F$44</f>
        <v>0.540388092091268</v>
      </c>
      <c r="E46" s="36" t="n">
        <f aca="false">E44/$F$44</f>
        <v>0.0173349203034117</v>
      </c>
      <c r="F46" s="36" t="n">
        <f aca="false">SUM(C46:E46)</f>
        <v>1</v>
      </c>
    </row>
    <row r="47" customFormat="false" ht="15" hidden="false" customHeight="false" outlineLevel="0" collapsed="false">
      <c r="A47" s="8" t="s">
        <v>905</v>
      </c>
      <c r="B47" s="8" t="s">
        <v>336</v>
      </c>
      <c r="C47" s="75" t="n">
        <f aca="false">Budget!$P$30</f>
        <v>1.98</v>
      </c>
      <c r="D47" s="75" t="n">
        <f aca="false">Budget!$P$56</f>
        <v>0.792</v>
      </c>
      <c r="E47" s="75" t="n">
        <f aca="false">Budget!$P$82</f>
        <v>24.75</v>
      </c>
      <c r="F47" s="76" t="n">
        <f aca="false">Budget!$P$97/F43</f>
        <v>1.65455164827839</v>
      </c>
      <c r="H47" s="0" t="s">
        <v>906</v>
      </c>
    </row>
    <row r="48" customFormat="false" ht="15" hidden="false" customHeight="false" outlineLevel="0" collapsed="false">
      <c r="A48" s="8" t="s">
        <v>907</v>
      </c>
      <c r="B48" s="8" t="s">
        <v>336</v>
      </c>
      <c r="C48" s="75" t="n">
        <f aca="false">Actuals!$H$33</f>
        <v>1.96</v>
      </c>
      <c r="D48" s="75" t="n">
        <f aca="false">Actuals!$H$59</f>
        <v>0.796</v>
      </c>
      <c r="E48" s="75" t="n">
        <f aca="false">Actuals!$H$85</f>
        <v>25.5</v>
      </c>
    </row>
    <row r="49" customFormat="false" ht="15" hidden="false" customHeight="false" outlineLevel="0" collapsed="false">
      <c r="A49" s="8" t="s">
        <v>908</v>
      </c>
      <c r="B49" s="8" t="s">
        <v>336</v>
      </c>
      <c r="C49" s="75" t="n">
        <f aca="false">Budget!$P$39/C43</f>
        <v>0.728544110173387</v>
      </c>
      <c r="D49" s="75" t="n">
        <f aca="false">Budget!$P$65/D43</f>
        <v>0.318434624831734</v>
      </c>
      <c r="E49" s="75" t="n">
        <f aca="false">Budget!$P$91/E43</f>
        <v>10.8173103295808</v>
      </c>
      <c r="H49" s="0" t="s">
        <v>909</v>
      </c>
    </row>
    <row r="50" customFormat="false" ht="15" hidden="false" customHeight="false" outlineLevel="0" collapsed="false">
      <c r="A50" s="8" t="s">
        <v>910</v>
      </c>
      <c r="B50" s="8" t="s">
        <v>336</v>
      </c>
      <c r="C50" s="75" t="n">
        <f aca="false">Actuals!$H$42/C44</f>
        <v>0.724728203257844</v>
      </c>
      <c r="D50" s="75" t="n">
        <f aca="false">Actuals!$H$68/D44</f>
        <v>0.325351818535274</v>
      </c>
      <c r="E50" s="75" t="n">
        <f aca="false">Actuals!$H$94/E44</f>
        <v>11.0656012873545</v>
      </c>
    </row>
    <row r="51" customFormat="false" ht="15" hidden="false" customHeight="false" outlineLevel="0" collapsed="false">
      <c r="A51" s="8" t="s">
        <v>911</v>
      </c>
      <c r="B51" s="8" t="s">
        <v>336</v>
      </c>
      <c r="C51" s="76" t="n">
        <f aca="false">C47-C49</f>
        <v>1.25145588982661</v>
      </c>
      <c r="D51" s="76" t="n">
        <f aca="false">D47-D49</f>
        <v>0.473565375168266</v>
      </c>
      <c r="E51" s="76" t="n">
        <f aca="false">E47-E49</f>
        <v>13.9326896704192</v>
      </c>
    </row>
    <row r="52" customFormat="false" ht="15" hidden="false" customHeight="false" outlineLevel="0" collapsed="false">
      <c r="A52" s="8" t="s">
        <v>912</v>
      </c>
      <c r="B52" s="8" t="s">
        <v>355</v>
      </c>
      <c r="C52" s="73" t="n">
        <f aca="false">Budget!$P$22</f>
        <v>140</v>
      </c>
      <c r="D52" s="73" t="n">
        <f aca="false">Budget!$P$48</f>
        <v>184</v>
      </c>
      <c r="E52" s="73" t="n">
        <f aca="false">Budget!$P$74</f>
        <v>5.2</v>
      </c>
    </row>
    <row r="53" customFormat="false" ht="15" hidden="false" customHeight="false" outlineLevel="0" collapsed="false">
      <c r="A53" s="8" t="s">
        <v>913</v>
      </c>
      <c r="B53" s="8" t="s">
        <v>355</v>
      </c>
      <c r="C53" s="73" t="n">
        <f aca="false">Actuals!$H$25</f>
        <v>143.5</v>
      </c>
      <c r="D53" s="73" t="n">
        <f aca="false">Actuals!$H$51</f>
        <v>174.8</v>
      </c>
      <c r="E53" s="73" t="n">
        <f aca="false">Actuals!$H$77</f>
        <v>5.72</v>
      </c>
    </row>
    <row r="54" customFormat="false" ht="15" hidden="false" customHeight="false" outlineLevel="0" collapsed="false">
      <c r="A54" s="8" t="s">
        <v>914</v>
      </c>
      <c r="B54" s="8" t="s">
        <v>355</v>
      </c>
      <c r="C54" s="73" t="n">
        <f aca="false">Actuals!$H$27</f>
        <v>132.7375</v>
      </c>
      <c r="D54" s="73" t="n">
        <f aca="false">Actuals!$H$53</f>
        <v>163.438</v>
      </c>
      <c r="E54" s="73" t="n">
        <f aca="false">Actuals!$H$79</f>
        <v>4.6904</v>
      </c>
    </row>
    <row r="55" customFormat="false" ht="15" hidden="false" customHeight="false" outlineLevel="0" collapsed="false">
      <c r="A55" s="8" t="s">
        <v>915</v>
      </c>
      <c r="B55" s="8" t="s">
        <v>285</v>
      </c>
      <c r="C55" s="25" t="n">
        <f aca="false">Budget!$P$23</f>
        <v>0.92</v>
      </c>
      <c r="D55" s="25" t="n">
        <f aca="false">Budget!$P$49</f>
        <v>0.94</v>
      </c>
      <c r="E55" s="25" t="n">
        <f aca="false">Budget!$P$75</f>
        <v>0.85</v>
      </c>
    </row>
    <row r="56" customFormat="false" ht="15" hidden="false" customHeight="false" outlineLevel="0" collapsed="false">
      <c r="A56" s="8" t="s">
        <v>916</v>
      </c>
      <c r="B56" s="8" t="s">
        <v>336</v>
      </c>
      <c r="C56" s="75" t="n">
        <f aca="false">Budget!$P$32</f>
        <v>0.3193</v>
      </c>
      <c r="D56" s="75" t="n">
        <f aca="false">Budget!$P$58</f>
        <v>0.1545</v>
      </c>
      <c r="E56" s="75" t="n">
        <f aca="false">Budget!$P$84</f>
        <v>4.841</v>
      </c>
    </row>
    <row r="57" customFormat="false" ht="15" hidden="false" customHeight="false" outlineLevel="0" collapsed="false">
      <c r="A57" s="8" t="s">
        <v>917</v>
      </c>
      <c r="B57" s="8" t="s">
        <v>336</v>
      </c>
      <c r="C57" s="75" t="n">
        <f aca="false">Actuals!$H$35</f>
        <v>0.32395</v>
      </c>
      <c r="D57" s="75" t="n">
        <f aca="false">Actuals!$H$61</f>
        <v>0.156</v>
      </c>
      <c r="E57" s="75" t="n">
        <f aca="false">Actuals!$H$87</f>
        <v>4.982</v>
      </c>
    </row>
    <row r="58" customFormat="false" ht="15" hidden="false" customHeight="false" outlineLevel="0" collapsed="false">
      <c r="A58" s="8" t="s">
        <v>918</v>
      </c>
      <c r="B58" s="8" t="s">
        <v>318</v>
      </c>
      <c r="C58" s="40" t="n">
        <f aca="false">Budget!$P$34</f>
        <v>47.5</v>
      </c>
      <c r="D58" s="40" t="n">
        <f aca="false">Budget!$P$60</f>
        <v>26</v>
      </c>
      <c r="E58" s="40" t="n">
        <f aca="false">Budget!$P$86</f>
        <v>22</v>
      </c>
      <c r="F58" s="31" t="n">
        <f aca="false">SUM(C58:E58)</f>
        <v>95.5</v>
      </c>
    </row>
    <row r="59" customFormat="false" ht="15" hidden="false" customHeight="false" outlineLevel="0" collapsed="false">
      <c r="A59" s="8" t="s">
        <v>919</v>
      </c>
      <c r="B59" s="8" t="s">
        <v>318</v>
      </c>
      <c r="C59" s="40" t="n">
        <f aca="false">Actuals!$H$37</f>
        <v>48</v>
      </c>
      <c r="D59" s="40" t="n">
        <f aca="false">Actuals!$H$63</f>
        <v>25.5</v>
      </c>
      <c r="E59" s="40" t="n">
        <f aca="false">Actuals!$H$89</f>
        <v>23</v>
      </c>
      <c r="F59" s="31" t="n">
        <f aca="false">SUM(C59:E59)</f>
        <v>96.5</v>
      </c>
    </row>
    <row r="60" customFormat="false" ht="15" hidden="false" customHeight="false" outlineLevel="0" collapsed="false">
      <c r="A60" s="8" t="s">
        <v>920</v>
      </c>
      <c r="B60" s="8" t="s">
        <v>318</v>
      </c>
      <c r="C60" s="40" t="n">
        <f aca="false">Budget!$P$40</f>
        <v>19.1513065181074</v>
      </c>
      <c r="D60" s="40" t="n">
        <f aca="false">Budget!$P$66</f>
        <v>11.3938900742551</v>
      </c>
      <c r="E60" s="40" t="n">
        <f aca="false">Budget!$P$92</f>
        <v>7.19500447101956</v>
      </c>
      <c r="F60" s="31" t="n">
        <f aca="false">SUM(C60:E60)</f>
        <v>37.7402010633821</v>
      </c>
    </row>
    <row r="61" customFormat="false" ht="15" hidden="false" customHeight="false" outlineLevel="0" collapsed="false">
      <c r="A61" s="8" t="s">
        <v>921</v>
      </c>
      <c r="B61" s="8" t="s">
        <v>318</v>
      </c>
      <c r="C61" s="40" t="n">
        <f aca="false">Actuals!$H$43</f>
        <v>18.3319194418986</v>
      </c>
      <c r="D61" s="40" t="n">
        <f aca="false">Actuals!$H$69</f>
        <v>11.8241943032025</v>
      </c>
      <c r="E61" s="40" t="n">
        <f aca="false">Actuals!$H$95</f>
        <v>4.46080620934023</v>
      </c>
      <c r="F61" s="31" t="n">
        <f aca="false">SUM(C61:E61)</f>
        <v>34.6169199544413</v>
      </c>
    </row>
    <row r="63" customFormat="false" ht="15" hidden="false" customHeight="false" outlineLevel="0" collapsed="false">
      <c r="A63" s="16" t="s">
        <v>922</v>
      </c>
      <c r="B63" s="17"/>
      <c r="C63" s="17"/>
      <c r="D63" s="17"/>
      <c r="E63" s="17"/>
      <c r="F63" s="17"/>
      <c r="G63" s="17"/>
      <c r="H63" s="17"/>
    </row>
    <row r="64" customFormat="false" ht="24.05" hidden="false" customHeight="false" outlineLevel="0" collapsed="false">
      <c r="A64" s="18" t="s">
        <v>923</v>
      </c>
      <c r="B64" s="19" t="s">
        <v>279</v>
      </c>
      <c r="C64" s="19" t="s">
        <v>837</v>
      </c>
      <c r="D64" s="19" t="s">
        <v>328</v>
      </c>
      <c r="E64" s="19" t="s">
        <v>838</v>
      </c>
      <c r="F64" s="19" t="s">
        <v>130</v>
      </c>
      <c r="G64" s="19"/>
      <c r="H64" s="19" t="s">
        <v>680</v>
      </c>
    </row>
    <row r="65" customFormat="false" ht="15" hidden="false" customHeight="false" outlineLevel="0" collapsed="false">
      <c r="A65" s="8" t="s">
        <v>924</v>
      </c>
      <c r="B65" s="8" t="s">
        <v>318</v>
      </c>
      <c r="C65" s="31" t="n">
        <f aca="false">C44*(C48-C47)</f>
        <v>-2.55741137001125</v>
      </c>
      <c r="D65" s="31" t="n">
        <f aca="false">D44*(D48-D47)</f>
        <v>0.624945312400526</v>
      </c>
      <c r="E65" s="31" t="n">
        <f aca="false">E44*(E48-E47)</f>
        <v>3.75888782860538</v>
      </c>
      <c r="F65" s="31" t="n">
        <f aca="false">SUM(C65:E65)</f>
        <v>1.82642177099465</v>
      </c>
      <c r="H65" s="0" t="s">
        <v>925</v>
      </c>
    </row>
    <row r="66" customFormat="false" ht="15" hidden="false" customHeight="false" outlineLevel="0" collapsed="false">
      <c r="A66" s="8" t="s">
        <v>926</v>
      </c>
      <c r="B66" s="8" t="s">
        <v>318</v>
      </c>
      <c r="C66" s="31" t="n">
        <f aca="false">C45*($F$44-$F$43)*C47</f>
        <v>-3.72055766287053</v>
      </c>
      <c r="D66" s="31" t="n">
        <f aca="false">D45*($F$44-$F$43)*D47</f>
        <v>-2.01180065100343</v>
      </c>
      <c r="E66" s="31" t="n">
        <f aca="false">E45*($F$44-$F$43)*E47</f>
        <v>-1.69262548638011</v>
      </c>
      <c r="F66" s="31" t="n">
        <f aca="false">SUM(C66:E66)</f>
        <v>-7.42498380025407</v>
      </c>
      <c r="H66" s="0" t="s">
        <v>927</v>
      </c>
    </row>
    <row r="67" customFormat="false" ht="15" hidden="false" customHeight="false" outlineLevel="0" collapsed="false">
      <c r="A67" s="8" t="s">
        <v>928</v>
      </c>
      <c r="B67" s="8" t="s">
        <v>318</v>
      </c>
      <c r="C67" s="31" t="n">
        <f aca="false">(C46-C45)*$F$44*C47</f>
        <v>13.4831311860294</v>
      </c>
      <c r="D67" s="31" t="n">
        <f aca="false">(D46-D45)*$F$44*D47</f>
        <v>-5.87306793416345</v>
      </c>
      <c r="E67" s="31" t="n">
        <f aca="false">(E46-E45)*$F$44*E47</f>
        <v>14.9942331172388</v>
      </c>
      <c r="F67" s="31" t="n">
        <f aca="false">SUM(C67:E67)</f>
        <v>22.6042963691048</v>
      </c>
      <c r="H67" s="0" t="s">
        <v>929</v>
      </c>
    </row>
    <row r="68" customFormat="false" ht="15" hidden="false" customHeight="false" outlineLevel="0" collapsed="false">
      <c r="A68" s="8" t="s">
        <v>930</v>
      </c>
      <c r="B68" s="8" t="s">
        <v>318</v>
      </c>
      <c r="C68" s="31" t="n">
        <f aca="false">C65+C66+C67</f>
        <v>7.20516215314763</v>
      </c>
      <c r="D68" s="31" t="n">
        <f aca="false">D65+D66+D67</f>
        <v>-7.25992327276635</v>
      </c>
      <c r="E68" s="31" t="n">
        <f aca="false">E65+E66+E67</f>
        <v>17.0604954594641</v>
      </c>
      <c r="F68" s="31" t="n">
        <f aca="false">SUM(C68:E68)</f>
        <v>17.0057343398453</v>
      </c>
    </row>
    <row r="69" customFormat="false" ht="15" hidden="false" customHeight="false" outlineLevel="0" collapsed="false">
      <c r="A69" s="8" t="s">
        <v>931</v>
      </c>
      <c r="B69" s="8" t="s">
        <v>318</v>
      </c>
      <c r="C69" s="40" t="n">
        <f aca="false">Actuals!$H$34-Budget!$P$31</f>
        <v>7.20516215314763</v>
      </c>
      <c r="D69" s="40" t="n">
        <f aca="false">Actuals!$H$60-Budget!$P$57</f>
        <v>-7.25992327276634</v>
      </c>
      <c r="E69" s="40" t="n">
        <f aca="false">Actuals!$H$86-Budget!$P$83</f>
        <v>17.0604954594641</v>
      </c>
      <c r="F69" s="31" t="n">
        <f aca="false">Actuals!$H$100-Budget!$P$97</f>
        <v>17.0057343398453</v>
      </c>
    </row>
    <row r="70" customFormat="false" ht="15" hidden="false" customHeight="false" outlineLevel="0" collapsed="false">
      <c r="A70" s="7" t="s">
        <v>932</v>
      </c>
      <c r="F70" s="77" t="n">
        <f aca="false">F69-F68</f>
        <v>0</v>
      </c>
      <c r="G70" s="7" t="str">
        <f aca="false">IF(ABS(F70)&gt;0.001,"UNRECONCILED","Reconciled")</f>
        <v>Reconciled</v>
      </c>
    </row>
    <row r="71" customFormat="false" ht="15" hidden="false" customHeight="false" outlineLevel="0" collapsed="false">
      <c r="A71" s="4" t="s">
        <v>933</v>
      </c>
    </row>
    <row r="73" customFormat="false" ht="15" hidden="false" customHeight="false" outlineLevel="0" collapsed="false">
      <c r="A73" s="16" t="s">
        <v>934</v>
      </c>
      <c r="B73" s="17"/>
      <c r="C73" s="17"/>
      <c r="D73" s="17"/>
      <c r="E73" s="17"/>
      <c r="F73" s="17"/>
      <c r="G73" s="17"/>
      <c r="H73" s="17"/>
    </row>
    <row r="74" customFormat="false" ht="24.05" hidden="false" customHeight="false" outlineLevel="0" collapsed="false">
      <c r="A74" s="18" t="s">
        <v>935</v>
      </c>
      <c r="B74" s="19" t="s">
        <v>279</v>
      </c>
      <c r="C74" s="19" t="s">
        <v>837</v>
      </c>
      <c r="D74" s="19" t="s">
        <v>328</v>
      </c>
      <c r="E74" s="19" t="s">
        <v>838</v>
      </c>
      <c r="F74" s="19" t="s">
        <v>130</v>
      </c>
      <c r="G74" s="19"/>
      <c r="H74" s="19" t="s">
        <v>936</v>
      </c>
    </row>
    <row r="75" customFormat="false" ht="15" hidden="false" customHeight="false" outlineLevel="0" collapsed="false">
      <c r="A75" s="7" t="s">
        <v>937</v>
      </c>
      <c r="F75" s="40" t="n">
        <f aca="false">Budget!$P$109</f>
        <v>163.580658095238</v>
      </c>
    </row>
    <row r="76" customFormat="false" ht="15" hidden="false" customHeight="false" outlineLevel="0" collapsed="false">
      <c r="A76" s="8" t="s">
        <v>938</v>
      </c>
      <c r="B76" s="8" t="s">
        <v>318</v>
      </c>
      <c r="C76" s="31" t="n">
        <f aca="false">C65</f>
        <v>-2.55741137001125</v>
      </c>
      <c r="D76" s="31" t="n">
        <f aca="false">D65</f>
        <v>0.624945312400526</v>
      </c>
      <c r="E76" s="31" t="n">
        <f aca="false">E65</f>
        <v>3.75888782860538</v>
      </c>
      <c r="F76" s="31" t="n">
        <f aca="false">SUM(C76:E76)</f>
        <v>1.82642177099465</v>
      </c>
      <c r="H76" s="0" t="s">
        <v>939</v>
      </c>
    </row>
    <row r="77" customFormat="false" ht="15" hidden="false" customHeight="false" outlineLevel="0" collapsed="false">
      <c r="A77" s="8" t="s">
        <v>940</v>
      </c>
      <c r="B77" s="8" t="s">
        <v>318</v>
      </c>
      <c r="C77" s="31" t="n">
        <f aca="false">C45*($F$44-$F$43)*C51</f>
        <v>-2.35157262658529</v>
      </c>
      <c r="D77" s="31" t="n">
        <f aca="false">D45*($F$44-$F$43)*D51</f>
        <v>-1.20292819451541</v>
      </c>
      <c r="E77" s="31" t="n">
        <f aca="false">E45*($F$44-$F$43)*E51</f>
        <v>-0.952841439595009</v>
      </c>
      <c r="F77" s="31" t="n">
        <f aca="false">SUM(C77:E77)</f>
        <v>-4.5073422606957</v>
      </c>
      <c r="H77" s="0" t="s">
        <v>941</v>
      </c>
    </row>
    <row r="78" customFormat="false" ht="15" hidden="false" customHeight="false" outlineLevel="0" collapsed="false">
      <c r="A78" s="8" t="s">
        <v>942</v>
      </c>
      <c r="B78" s="8" t="s">
        <v>318</v>
      </c>
      <c r="C78" s="31" t="n">
        <f aca="false">(C46-C45)*$F$44*C51</f>
        <v>8.5219918868997</v>
      </c>
      <c r="D78" s="31" t="n">
        <f aca="false">(D46-D45)*$F$44*D51</f>
        <v>-3.51171921670559</v>
      </c>
      <c r="E78" s="31" t="n">
        <f aca="false">(E46-E45)*$F$44*E51</f>
        <v>8.44080795427924</v>
      </c>
      <c r="F78" s="31" t="n">
        <f aca="false">SUM(C78:E78)</f>
        <v>13.4510806244733</v>
      </c>
      <c r="H78" s="0" t="s">
        <v>943</v>
      </c>
    </row>
    <row r="79" customFormat="false" ht="15" hidden="false" customHeight="false" outlineLevel="0" collapsed="false">
      <c r="A79" s="8" t="s">
        <v>944</v>
      </c>
      <c r="B79" s="8" t="s">
        <v>318</v>
      </c>
      <c r="C79" s="31" t="n">
        <f aca="false">-C53*(C57-C56)</f>
        <v>-0.667274999999998</v>
      </c>
      <c r="D79" s="31" t="n">
        <f aca="false">-D53*(D57-D56)</f>
        <v>-0.262199999999995</v>
      </c>
      <c r="E79" s="31" t="n">
        <f aca="false">-E53*(E57-E56)</f>
        <v>-0.80652</v>
      </c>
      <c r="F79" s="31" t="n">
        <f aca="false">SUM(C79:E79)</f>
        <v>-1.73599499999999</v>
      </c>
      <c r="H79" s="0" t="s">
        <v>945</v>
      </c>
    </row>
    <row r="80" customFormat="false" ht="15" hidden="false" customHeight="false" outlineLevel="0" collapsed="false">
      <c r="A80" s="8" t="s">
        <v>946</v>
      </c>
      <c r="B80" s="8" t="s">
        <v>318</v>
      </c>
      <c r="C80" s="31" t="n">
        <f aca="false">-C56*(C53-C54/C55)</f>
        <v>0.249019293478266</v>
      </c>
      <c r="D80" s="31" t="n">
        <f aca="false">-D56*(D53-D54/D55)</f>
        <v>-0.143652127659565</v>
      </c>
      <c r="E80" s="31" t="n">
        <f aca="false">-E56*(E53-E54/E55)</f>
        <v>-0.977312470588234</v>
      </c>
      <c r="F80" s="31" t="n">
        <f aca="false">SUM(C80:E80)</f>
        <v>-0.871945304769533</v>
      </c>
      <c r="H80" s="0" t="s">
        <v>947</v>
      </c>
    </row>
    <row r="81" customFormat="false" ht="15" hidden="false" customHeight="false" outlineLevel="0" collapsed="false">
      <c r="A81" s="8" t="s">
        <v>948</v>
      </c>
      <c r="B81" s="8" t="s">
        <v>318</v>
      </c>
      <c r="C81" s="31" t="n">
        <f aca="false">-(C59-C58)</f>
        <v>-0.5</v>
      </c>
      <c r="D81" s="31" t="n">
        <f aca="false">-(D59-D58)</f>
        <v>0.5</v>
      </c>
      <c r="E81" s="31" t="n">
        <f aca="false">-(E59-E58)</f>
        <v>-1</v>
      </c>
      <c r="F81" s="31" t="n">
        <f aca="false">SUM(C81:E81)-(Actuals!$H$105-Budget!$P$102)</f>
        <v>-0.950221177809777</v>
      </c>
      <c r="H81" s="0" t="s">
        <v>949</v>
      </c>
    </row>
    <row r="82" customFormat="false" ht="15" hidden="false" customHeight="false" outlineLevel="0" collapsed="false">
      <c r="A82" s="8" t="s">
        <v>950</v>
      </c>
      <c r="B82" s="8" t="s">
        <v>318</v>
      </c>
      <c r="C82" s="31" t="n">
        <f aca="false">-(C56*(C54/C55-C52)-(C61-C60)-(C44-C43)*C49)</f>
        <v>1.40619789315738</v>
      </c>
      <c r="D82" s="31" t="n">
        <f aca="false">-(D56*(D54/D55-D52)-(D61-D60)-(D44-D43)*D49)</f>
        <v>-1.17486481733891</v>
      </c>
      <c r="E82" s="31" t="n">
        <f aca="false">-(E56*(E54/E55-E52)-(E61-E60)-(E44-E43)*E49)</f>
        <v>1.53943532508335</v>
      </c>
      <c r="F82" s="31" t="n">
        <f aca="false">SUM(C82:E82)</f>
        <v>1.77076840090181</v>
      </c>
      <c r="H82" s="0" t="s">
        <v>951</v>
      </c>
    </row>
    <row r="83" customFormat="false" ht="15" hidden="false" customHeight="false" outlineLevel="0" collapsed="false">
      <c r="A83" s="8" t="s">
        <v>952</v>
      </c>
      <c r="B83" s="8" t="s">
        <v>318</v>
      </c>
      <c r="C83" s="31" t="n">
        <f aca="false">0</f>
        <v>0</v>
      </c>
      <c r="D83" s="31" t="n">
        <f aca="false">0</f>
        <v>0</v>
      </c>
      <c r="E83" s="31" t="n">
        <f aca="false">0</f>
        <v>0</v>
      </c>
      <c r="F83" s="31" t="n">
        <f aca="false">-(Actuals!$H$109-Budget!$P$106)</f>
        <v>-2.5</v>
      </c>
      <c r="H83" s="0" t="s">
        <v>953</v>
      </c>
    </row>
    <row r="84" customFormat="false" ht="15" hidden="false" customHeight="false" outlineLevel="0" collapsed="false">
      <c r="A84" s="8" t="s">
        <v>954</v>
      </c>
      <c r="B84" s="8" t="s">
        <v>318</v>
      </c>
      <c r="C84" s="31" t="n">
        <f aca="false">0</f>
        <v>0</v>
      </c>
      <c r="D84" s="31" t="n">
        <f aca="false">0</f>
        <v>0</v>
      </c>
      <c r="E84" s="31" t="n">
        <f aca="false">0</f>
        <v>0</v>
      </c>
      <c r="F84" s="31" t="n">
        <f aca="false">-(Actuals!$H$110-Budget!$P$107)</f>
        <v>1.33333333333333</v>
      </c>
      <c r="H84" s="0" t="s">
        <v>955</v>
      </c>
    </row>
    <row r="85" customFormat="false" ht="15" hidden="false" customHeight="false" outlineLevel="0" collapsed="false">
      <c r="A85" s="7" t="s">
        <v>956</v>
      </c>
      <c r="F85" s="43" t="n">
        <f aca="false">F75+SUM(F76:F84)</f>
        <v>171.396758481666</v>
      </c>
    </row>
    <row r="86" customFormat="false" ht="15" hidden="false" customHeight="false" outlineLevel="0" collapsed="false">
      <c r="A86" s="7" t="s">
        <v>957</v>
      </c>
      <c r="F86" s="40" t="n">
        <f aca="false">Actuals!$H$112</f>
        <v>171.396758481666</v>
      </c>
    </row>
    <row r="87" customFormat="false" ht="15" hidden="false" customHeight="false" outlineLevel="0" collapsed="false">
      <c r="A87" s="7" t="s">
        <v>958</v>
      </c>
      <c r="F87" s="77" t="n">
        <f aca="false">F86-F85</f>
        <v>0</v>
      </c>
      <c r="G87" s="7" t="str">
        <f aca="false">IF(ABS(F87)&gt;0.001,"UNRECONCILED","Reconciled")</f>
        <v>Reconciled</v>
      </c>
    </row>
    <row r="89" customFormat="false" ht="15" hidden="false" customHeight="false" outlineLevel="0" collapsed="false">
      <c r="A89" s="16" t="s">
        <v>959</v>
      </c>
      <c r="B89" s="17"/>
      <c r="C89" s="17"/>
      <c r="D89" s="17"/>
      <c r="E89" s="17"/>
      <c r="F89" s="17"/>
      <c r="G89" s="17"/>
      <c r="H89" s="17"/>
    </row>
    <row r="90" customFormat="false" ht="15" hidden="false" customHeight="false" outlineLevel="0" collapsed="false">
      <c r="A90" s="7" t="s">
        <v>960</v>
      </c>
      <c r="F90" s="48" t="n">
        <f aca="false">F69</f>
        <v>17.0057343398453</v>
      </c>
      <c r="G90" s="0" t="str">
        <f aca="false">IF(ABS(F90)&lt;0.0005,"On budget",IF(F90&gt;0,"Favorable","Unfavorable"))</f>
        <v>Favorable</v>
      </c>
    </row>
    <row r="91" customFormat="false" ht="15" hidden="false" customHeight="false" outlineLevel="0" collapsed="false">
      <c r="A91" s="8" t="s">
        <v>924</v>
      </c>
      <c r="F91" s="48" t="n">
        <f aca="false">F65</f>
        <v>1.82642177099465</v>
      </c>
      <c r="G91" s="0" t="str">
        <f aca="false">IF(ABS(F91)&lt;0.0005,"On budget",IF(F91&gt;0,"Favorable","Unfavorable"))</f>
        <v>Favorable</v>
      </c>
    </row>
    <row r="92" customFormat="false" ht="15" hidden="false" customHeight="false" outlineLevel="0" collapsed="false">
      <c r="A92" s="8" t="s">
        <v>961</v>
      </c>
      <c r="F92" s="48" t="n">
        <f aca="false">F66</f>
        <v>-7.42498380025407</v>
      </c>
      <c r="G92" s="0" t="str">
        <f aca="false">IF(ABS(F92)&lt;0.0005,"On budget",IF(F92&gt;0,"Favorable","Unfavorable"))</f>
        <v>Unfavorable</v>
      </c>
    </row>
    <row r="93" customFormat="false" ht="15" hidden="false" customHeight="false" outlineLevel="0" collapsed="false">
      <c r="A93" s="8" t="s">
        <v>962</v>
      </c>
      <c r="F93" s="48" t="n">
        <f aca="false">F67</f>
        <v>22.6042963691048</v>
      </c>
      <c r="G93" s="0" t="str">
        <f aca="false">IF(ABS(F93)&lt;0.0005,"On budget",IF(F93&gt;0,"Favorable","Unfavorable"))</f>
        <v>Favorable</v>
      </c>
    </row>
    <row r="94" customFormat="false" ht="15" hidden="false" customHeight="false" outlineLevel="0" collapsed="false">
      <c r="A94" s="8" t="s">
        <v>963</v>
      </c>
      <c r="F94" s="48" t="n">
        <f aca="false">F79</f>
        <v>-1.73599499999999</v>
      </c>
      <c r="G94" s="0" t="str">
        <f aca="false">IF(ABS(F94)&lt;0.0005,"On budget",IF(F94&gt;0,"Favorable","Unfavorable"))</f>
        <v>Unfavorable</v>
      </c>
    </row>
    <row r="95" customFormat="false" ht="15" hidden="false" customHeight="false" outlineLevel="0" collapsed="false">
      <c r="A95" s="8" t="s">
        <v>964</v>
      </c>
      <c r="F95" s="48" t="n">
        <f aca="false">F80</f>
        <v>-0.871945304769533</v>
      </c>
      <c r="G95" s="0" t="str">
        <f aca="false">IF(ABS(F95)&lt;0.0005,"On budget",IF(F95&gt;0,"Favorable","Unfavorable"))</f>
        <v>Unfavorable</v>
      </c>
    </row>
    <row r="96" customFormat="false" ht="15" hidden="false" customHeight="false" outlineLevel="0" collapsed="false">
      <c r="A96" s="8" t="s">
        <v>965</v>
      </c>
      <c r="F96" s="48" t="n">
        <f aca="false">F83+F84</f>
        <v>-1.16666666666667</v>
      </c>
      <c r="G96" s="0" t="str">
        <f aca="false">IF(ABS(F96)&lt;0.0005,"On budget",IF(F96&gt;0,"Favorable","Unfavorable"))</f>
        <v>Unfavorable</v>
      </c>
    </row>
    <row r="97" customFormat="false" ht="15" hidden="false" customHeight="false" outlineLevel="0" collapsed="false">
      <c r="A97" s="7" t="s">
        <v>966</v>
      </c>
      <c r="F97" s="48" t="n">
        <f aca="false">F86-F75</f>
        <v>7.81610038642819</v>
      </c>
      <c r="G97" s="0" t="str">
        <f aca="false">IF(ABS(F97)&lt;0.0005,"On budget",IF(F97&gt;0,"Favorable","Unfavorable"))</f>
        <v>Favorable</v>
      </c>
    </row>
    <row r="99" customFormat="false" ht="15" hidden="false" customHeight="false" outlineLevel="0" collapsed="false">
      <c r="A99" s="16" t="s">
        <v>967</v>
      </c>
      <c r="B99" s="17"/>
      <c r="C99" s="17"/>
      <c r="D99" s="17"/>
      <c r="E99" s="17"/>
      <c r="F99" s="17"/>
      <c r="G99" s="17"/>
      <c r="H99" s="17"/>
    </row>
    <row r="100" customFormat="false" ht="15" hidden="false" customHeight="false" outlineLevel="0" collapsed="false">
      <c r="A100" s="18" t="s">
        <v>868</v>
      </c>
      <c r="B100" s="19" t="s">
        <v>279</v>
      </c>
      <c r="C100" s="78" t="n">
        <f aca="false">Ops_Model!C$6</f>
        <v>46113</v>
      </c>
      <c r="D100" s="78" t="n">
        <f aca="false">Ops_Model!D$6</f>
        <v>46143</v>
      </c>
      <c r="E100" s="78" t="n">
        <f aca="false">Ops_Model!E$6</f>
        <v>46174</v>
      </c>
      <c r="F100" s="78" t="n">
        <f aca="false">Ops_Model!F$6</f>
        <v>46204</v>
      </c>
      <c r="G100" s="78" t="n">
        <f aca="false">Ops_Model!G$6</f>
        <v>46235</v>
      </c>
      <c r="H100" s="19" t="s">
        <v>680</v>
      </c>
    </row>
    <row r="101" customFormat="false" ht="15" hidden="false" customHeight="false" outlineLevel="0" collapsed="false">
      <c r="A101" s="8" t="s">
        <v>968</v>
      </c>
      <c r="B101" s="8" t="s">
        <v>318</v>
      </c>
      <c r="C101" s="40" t="n">
        <f aca="false">Budget!C97</f>
        <v>94.7876845388385</v>
      </c>
      <c r="D101" s="40" t="n">
        <f aca="false">Budget!D97</f>
        <v>96.762427966731</v>
      </c>
      <c r="E101" s="40" t="n">
        <f aca="false">Budget!E97</f>
        <v>100.711914822516</v>
      </c>
      <c r="F101" s="40" t="n">
        <f aca="false">Budget!F97</f>
        <v>95.7750562527848</v>
      </c>
      <c r="G101" s="40" t="n">
        <f aca="false">Budget!G97</f>
        <v>97.7497996806772</v>
      </c>
    </row>
    <row r="102" customFormat="false" ht="15" hidden="false" customHeight="false" outlineLevel="0" collapsed="false">
      <c r="A102" s="8" t="s">
        <v>969</v>
      </c>
      <c r="B102" s="8" t="s">
        <v>318</v>
      </c>
      <c r="C102" s="40" t="n">
        <f aca="false">Actuals!C100</f>
        <v>97.1149484337697</v>
      </c>
      <c r="D102" s="40" t="n">
        <f aca="false">Actuals!D100</f>
        <v>102.142363693599</v>
      </c>
      <c r="E102" s="40" t="n">
        <f aca="false">Actuals!E100</f>
        <v>104.226901728162</v>
      </c>
      <c r="F102" s="40" t="n">
        <f aca="false">Actuals!F100</f>
        <v>97.1353850811674</v>
      </c>
      <c r="G102" s="40" t="n">
        <f aca="false">Actuals!G100</f>
        <v>102.173018664695</v>
      </c>
    </row>
    <row r="103" customFormat="false" ht="15" hidden="false" customHeight="false" outlineLevel="0" collapsed="false">
      <c r="A103" s="8" t="s">
        <v>970</v>
      </c>
      <c r="B103" s="8" t="s">
        <v>318</v>
      </c>
      <c r="C103" s="40" t="n">
        <f aca="false">Budget!C109</f>
        <v>30.414437730537</v>
      </c>
      <c r="D103" s="40" t="n">
        <f aca="false">Budget!D109</f>
        <v>32.369337323572</v>
      </c>
      <c r="E103" s="40" t="n">
        <f aca="false">Budget!E109</f>
        <v>35.1047726758235</v>
      </c>
      <c r="F103" s="40" t="n">
        <f aca="false">Budget!F109</f>
        <v>32.2243881361343</v>
      </c>
      <c r="G103" s="40" t="n">
        <f aca="false">Budget!G109</f>
        <v>33.4677222291709</v>
      </c>
    </row>
    <row r="104" customFormat="false" ht="15" hidden="false" customHeight="false" outlineLevel="0" collapsed="false">
      <c r="A104" s="8" t="s">
        <v>971</v>
      </c>
      <c r="B104" s="8" t="s">
        <v>318</v>
      </c>
      <c r="C104" s="40" t="n">
        <f aca="false">Actuals!C112</f>
        <v>31.4299937659406</v>
      </c>
      <c r="D104" s="40" t="n">
        <f aca="false">Actuals!D112</f>
        <v>35.1396421949418</v>
      </c>
      <c r="E104" s="40" t="n">
        <f aca="false">Actuals!E112</f>
        <v>36.7066149172733</v>
      </c>
      <c r="F104" s="40" t="n">
        <f aca="false">Actuals!F112</f>
        <v>32.5147733223458</v>
      </c>
      <c r="G104" s="40" t="n">
        <f aca="false">Actuals!G112</f>
        <v>35.6057342811644</v>
      </c>
    </row>
    <row r="105" customFormat="false" ht="15" hidden="false" customHeight="false" outlineLevel="0" collapsed="false">
      <c r="A105" s="7" t="s">
        <v>972</v>
      </c>
      <c r="B105" s="8" t="s">
        <v>318</v>
      </c>
      <c r="C105" s="43" t="n">
        <f aca="false">C102-C101</f>
        <v>2.32726389493116</v>
      </c>
      <c r="D105" s="43" t="n">
        <f aca="false">D102-D101</f>
        <v>5.37993572686769</v>
      </c>
      <c r="E105" s="43" t="n">
        <f aca="false">E102-E101</f>
        <v>3.51498690564597</v>
      </c>
      <c r="F105" s="43" t="n">
        <f aca="false">F102-F101</f>
        <v>1.36032882838259</v>
      </c>
      <c r="G105" s="43" t="n">
        <f aca="false">G102-G101</f>
        <v>4.42321898401796</v>
      </c>
    </row>
    <row r="106" customFormat="false" ht="15" hidden="false" customHeight="false" outlineLevel="0" collapsed="false">
      <c r="A106" s="7" t="s">
        <v>966</v>
      </c>
      <c r="B106" s="8" t="s">
        <v>318</v>
      </c>
      <c r="C106" s="43" t="n">
        <f aca="false">C104-C103</f>
        <v>1.01555603540363</v>
      </c>
      <c r="D106" s="43" t="n">
        <f aca="false">D104-D103</f>
        <v>2.77030487136984</v>
      </c>
      <c r="E106" s="43" t="n">
        <f aca="false">E104-E103</f>
        <v>1.60184224144977</v>
      </c>
      <c r="F106" s="43" t="n">
        <f aca="false">F104-F103</f>
        <v>0.290385186211502</v>
      </c>
      <c r="G106" s="43" t="n">
        <f aca="false">G104-G103</f>
        <v>2.13801205199344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9" min="2" style="0" width="12"/>
    <col collapsed="false" customWidth="true" hidden="false" outlineLevel="0" max="10" min="10" style="0" width="26"/>
    <col collapsed="false" customWidth="true" hidden="false" outlineLevel="0" max="11" min="11" style="0" width="70"/>
  </cols>
  <sheetData>
    <row r="1" customFormat="false" ht="19.7" hidden="false" customHeight="false" outlineLevel="0" collapsed="false">
      <c r="A1" s="14" t="s">
        <v>973</v>
      </c>
    </row>
    <row r="2" customFormat="false" ht="15" hidden="false" customHeight="false" outlineLevel="0" collapsed="false">
      <c r="A2" s="4" t="s">
        <v>974</v>
      </c>
    </row>
    <row r="3" customFormat="false" ht="15" hidden="false" customHeight="false" outlineLevel="0" collapsed="false">
      <c r="A3" s="15" t="s">
        <v>975</v>
      </c>
    </row>
    <row r="5" customFormat="false" ht="15" hidden="false" customHeight="false" outlineLevel="0" collapsed="false">
      <c r="A5" s="16" t="s">
        <v>976</v>
      </c>
      <c r="B5" s="17"/>
      <c r="C5" s="17"/>
      <c r="D5" s="17"/>
      <c r="E5" s="17"/>
      <c r="F5" s="17"/>
      <c r="G5" s="17"/>
      <c r="H5" s="17"/>
      <c r="I5" s="17"/>
      <c r="J5" s="17"/>
      <c r="K5" s="17"/>
    </row>
    <row r="6" customFormat="false" ht="15" hidden="false" customHeight="false" outlineLevel="0" collapsed="false">
      <c r="A6" s="8" t="s">
        <v>977</v>
      </c>
      <c r="B6" s="8" t="s">
        <v>318</v>
      </c>
      <c r="F6" s="28" t="n">
        <v>24</v>
      </c>
      <c r="J6" s="0" t="s">
        <v>978</v>
      </c>
      <c r="K6" s="0" t="s">
        <v>979</v>
      </c>
    </row>
    <row r="7" customFormat="false" ht="15" hidden="false" customHeight="false" outlineLevel="0" collapsed="false">
      <c r="A7" s="8" t="s">
        <v>980</v>
      </c>
      <c r="B7" s="8" t="s">
        <v>318</v>
      </c>
      <c r="F7" s="28" t="n">
        <v>3</v>
      </c>
      <c r="J7" s="0" t="s">
        <v>978</v>
      </c>
      <c r="K7" s="0" t="s">
        <v>981</v>
      </c>
    </row>
    <row r="8" customFormat="false" ht="15" hidden="false" customHeight="false" outlineLevel="0" collapsed="false">
      <c r="A8" s="8" t="s">
        <v>982</v>
      </c>
      <c r="B8" s="8" t="s">
        <v>346</v>
      </c>
      <c r="F8" s="33" t="n">
        <v>0.3</v>
      </c>
      <c r="J8" s="0" t="s">
        <v>978</v>
      </c>
      <c r="K8" s="0" t="s">
        <v>983</v>
      </c>
    </row>
    <row r="9" customFormat="false" ht="15" hidden="false" customHeight="false" outlineLevel="0" collapsed="false">
      <c r="A9" s="8" t="s">
        <v>984</v>
      </c>
      <c r="B9" s="8" t="s">
        <v>290</v>
      </c>
      <c r="F9" s="23" t="n">
        <v>0.03</v>
      </c>
      <c r="J9" s="0" t="s">
        <v>978</v>
      </c>
      <c r="K9" s="0" t="s">
        <v>985</v>
      </c>
    </row>
    <row r="10" customFormat="false" ht="15" hidden="false" customHeight="false" outlineLevel="0" collapsed="false">
      <c r="A10" s="8" t="s">
        <v>986</v>
      </c>
      <c r="B10" s="8" t="s">
        <v>987</v>
      </c>
      <c r="F10" s="28" t="n">
        <v>1.5</v>
      </c>
      <c r="J10" s="0" t="s">
        <v>978</v>
      </c>
      <c r="K10" s="0" t="s">
        <v>988</v>
      </c>
    </row>
    <row r="11" customFormat="false" ht="15" hidden="false" customHeight="false" outlineLevel="0" collapsed="false">
      <c r="A11" s="8" t="s">
        <v>989</v>
      </c>
      <c r="B11" s="8" t="s">
        <v>987</v>
      </c>
      <c r="F11" s="28" t="n">
        <v>1.2</v>
      </c>
      <c r="J11" s="0" t="s">
        <v>978</v>
      </c>
      <c r="K11" s="0" t="s">
        <v>990</v>
      </c>
    </row>
    <row r="12" customFormat="false" ht="15" hidden="false" customHeight="false" outlineLevel="0" collapsed="false">
      <c r="A12" s="8" t="s">
        <v>991</v>
      </c>
      <c r="B12" s="8" t="s">
        <v>992</v>
      </c>
      <c r="F12" s="41" t="n">
        <v>6</v>
      </c>
      <c r="J12" s="0" t="s">
        <v>978</v>
      </c>
      <c r="K12" s="0" t="s">
        <v>993</v>
      </c>
    </row>
    <row r="13" customFormat="false" ht="15" hidden="false" customHeight="false" outlineLevel="0" collapsed="false">
      <c r="A13" s="8" t="s">
        <v>994</v>
      </c>
      <c r="B13" s="8" t="s">
        <v>318</v>
      </c>
      <c r="F13" s="28" t="n">
        <v>0</v>
      </c>
      <c r="J13" s="0" t="s">
        <v>978</v>
      </c>
      <c r="K13" s="0" t="s">
        <v>995</v>
      </c>
    </row>
    <row r="14" customFormat="false" ht="15" hidden="false" customHeight="false" outlineLevel="0" collapsed="false">
      <c r="A14" s="8" t="s">
        <v>996</v>
      </c>
      <c r="B14" s="8" t="s">
        <v>285</v>
      </c>
      <c r="F14" s="23" t="n">
        <v>0.9</v>
      </c>
      <c r="J14" s="0" t="s">
        <v>978</v>
      </c>
      <c r="K14" s="0" t="s">
        <v>997</v>
      </c>
    </row>
    <row r="15" customFormat="false" ht="15" hidden="false" customHeight="false" outlineLevel="0" collapsed="false">
      <c r="A15" s="8" t="s">
        <v>998</v>
      </c>
      <c r="B15" s="8" t="s">
        <v>285</v>
      </c>
      <c r="F15" s="23" t="n">
        <v>0.02</v>
      </c>
      <c r="J15" s="0" t="s">
        <v>978</v>
      </c>
      <c r="K15" s="0" t="s">
        <v>999</v>
      </c>
    </row>
    <row r="16" customFormat="false" ht="15" hidden="false" customHeight="false" outlineLevel="0" collapsed="false">
      <c r="A16" s="8" t="s">
        <v>1000</v>
      </c>
      <c r="B16" s="8" t="s">
        <v>285</v>
      </c>
      <c r="F16" s="79" t="n">
        <v>0.09</v>
      </c>
      <c r="J16" s="0" t="s">
        <v>108</v>
      </c>
      <c r="K16" s="0" t="s">
        <v>1001</v>
      </c>
    </row>
    <row r="17" customFormat="false" ht="15" hidden="false" customHeight="false" outlineLevel="0" collapsed="false">
      <c r="A17" s="8" t="s">
        <v>1002</v>
      </c>
      <c r="B17" s="8" t="s">
        <v>285</v>
      </c>
      <c r="F17" s="79" t="n">
        <v>0.11</v>
      </c>
      <c r="J17" s="0" t="s">
        <v>108</v>
      </c>
      <c r="K17" s="0" t="s">
        <v>1003</v>
      </c>
    </row>
    <row r="18" customFormat="false" ht="15" hidden="false" customHeight="false" outlineLevel="0" collapsed="false">
      <c r="A18" s="8" t="s">
        <v>1004</v>
      </c>
      <c r="B18" s="8" t="s">
        <v>992</v>
      </c>
      <c r="F18" s="80" t="n">
        <v>4</v>
      </c>
      <c r="J18" s="0" t="s">
        <v>108</v>
      </c>
      <c r="K18" s="0" t="s">
        <v>1005</v>
      </c>
    </row>
    <row r="19" customFormat="false" ht="15" hidden="false" customHeight="false" outlineLevel="0" collapsed="false">
      <c r="A19" s="7" t="s">
        <v>1006</v>
      </c>
      <c r="B19" s="8" t="s">
        <v>318</v>
      </c>
      <c r="F19" s="43" t="n">
        <f aca="false">F6+F7</f>
        <v>27</v>
      </c>
      <c r="J19" s="0" t="s">
        <v>146</v>
      </c>
    </row>
    <row r="20" customFormat="false" ht="15" hidden="false" customHeight="false" outlineLevel="0" collapsed="false">
      <c r="A20" s="8" t="s">
        <v>1007</v>
      </c>
      <c r="B20" s="8" t="s">
        <v>399</v>
      </c>
      <c r="F20" s="81" t="n">
        <f aca="false">Assumptions!$F$82</f>
        <v>60</v>
      </c>
      <c r="J20" s="0" t="s">
        <v>1008</v>
      </c>
    </row>
    <row r="22" customFormat="false" ht="15" hidden="false" customHeight="false" outlineLevel="0" collapsed="false">
      <c r="A22" s="16" t="s">
        <v>1009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customFormat="false" ht="15" hidden="false" customHeight="false" outlineLevel="0" collapsed="false">
      <c r="A23" s="18" t="s">
        <v>45</v>
      </c>
      <c r="B23" s="19" t="s">
        <v>279</v>
      </c>
      <c r="C23" s="19" t="s">
        <v>280</v>
      </c>
      <c r="D23" s="19" t="s">
        <v>275</v>
      </c>
      <c r="E23" s="19" t="s">
        <v>281</v>
      </c>
      <c r="F23" s="19"/>
      <c r="G23" s="19"/>
      <c r="H23" s="19"/>
      <c r="I23" s="19"/>
      <c r="J23" s="19" t="s">
        <v>100</v>
      </c>
      <c r="K23" s="19" t="s">
        <v>571</v>
      </c>
    </row>
    <row r="24" customFormat="false" ht="15" hidden="false" customHeight="false" outlineLevel="0" collapsed="false">
      <c r="A24" s="8" t="s">
        <v>1010</v>
      </c>
      <c r="B24" s="8" t="s">
        <v>285</v>
      </c>
      <c r="C24" s="23" t="n">
        <v>0.02</v>
      </c>
      <c r="D24" s="23" t="n">
        <v>0.06</v>
      </c>
      <c r="E24" s="23" t="n">
        <v>0.1</v>
      </c>
      <c r="J24" s="0" t="s">
        <v>978</v>
      </c>
      <c r="K24" s="0" t="s">
        <v>1011</v>
      </c>
    </row>
    <row r="25" customFormat="false" ht="15" hidden="false" customHeight="false" outlineLevel="0" collapsed="false">
      <c r="A25" s="8" t="s">
        <v>1012</v>
      </c>
      <c r="B25" s="8" t="s">
        <v>355</v>
      </c>
      <c r="C25" s="73" t="n">
        <f aca="false">Assumptions!$E$51*(1+Assumptions!$C$10+Assumptions!$E$47)</f>
        <v>9.60361545479621</v>
      </c>
      <c r="D25" s="73" t="n">
        <f aca="false">Assumptions!$E$51*(1+Assumptions!$D$10+Assumptions!$E$47)</f>
        <v>10.9131993804502</v>
      </c>
      <c r="E25" s="73" t="n">
        <f aca="false">Assumptions!$E$51*(1+Assumptions!$E$10+Assumptions!$E$47)</f>
        <v>11.7862553308863</v>
      </c>
      <c r="J25" s="0" t="s">
        <v>146</v>
      </c>
      <c r="K25" s="0" t="s">
        <v>1013</v>
      </c>
    </row>
    <row r="26" customFormat="false" ht="15" hidden="false" customHeight="false" outlineLevel="0" collapsed="false">
      <c r="A26" s="8" t="s">
        <v>1014</v>
      </c>
      <c r="B26" s="8" t="s">
        <v>336</v>
      </c>
      <c r="C26" s="82" t="n">
        <f aca="false">Assumptions!$E$42*(1+Assumptions!$C$11)</f>
        <v>24</v>
      </c>
      <c r="D26" s="82" t="n">
        <f aca="false">Assumptions!$E$42*(1+Assumptions!$D$11)</f>
        <v>24.75</v>
      </c>
      <c r="E26" s="82" t="n">
        <f aca="false">Assumptions!$E$42*(1+Assumptions!$E$11)</f>
        <v>25.25</v>
      </c>
      <c r="J26" s="0" t="s">
        <v>146</v>
      </c>
      <c r="K26" s="0" t="s">
        <v>1015</v>
      </c>
    </row>
    <row r="27" customFormat="false" ht="15" hidden="false" customHeight="false" outlineLevel="0" collapsed="false">
      <c r="A27" s="8" t="s">
        <v>1016</v>
      </c>
      <c r="B27" s="8" t="s">
        <v>336</v>
      </c>
      <c r="C27" s="71" t="n">
        <f aca="false">Assumptions!$E$44*(1+Assumptions!$C$14)</f>
        <v>4.982</v>
      </c>
      <c r="D27" s="71" t="n">
        <f aca="false">Assumptions!$E$44*(1+Assumptions!$D$14)</f>
        <v>4.841</v>
      </c>
      <c r="E27" s="71" t="n">
        <f aca="false">Assumptions!$E$44*(1+Assumptions!$E$14)</f>
        <v>4.747</v>
      </c>
      <c r="J27" s="0" t="s">
        <v>146</v>
      </c>
      <c r="K27" s="0" t="s">
        <v>1017</v>
      </c>
    </row>
    <row r="28" customFormat="false" ht="15" hidden="false" customHeight="false" outlineLevel="0" collapsed="false">
      <c r="A28" s="8" t="s">
        <v>1018</v>
      </c>
      <c r="B28" s="8" t="s">
        <v>285</v>
      </c>
      <c r="C28" s="25" t="n">
        <f aca="false">MIN(1,MAX(0,Assumptions!$E$43+Assumptions!$C$12))</f>
        <v>0.83</v>
      </c>
      <c r="D28" s="25" t="n">
        <f aca="false">MIN(1,MAX(0,Assumptions!$E$43+Assumptions!$D$12))</f>
        <v>0.85</v>
      </c>
      <c r="E28" s="25" t="n">
        <f aca="false">MIN(1,MAX(0,Assumptions!$E$43+Assumptions!$E$12))</f>
        <v>0.86</v>
      </c>
      <c r="J28" s="0" t="s">
        <v>146</v>
      </c>
      <c r="K28" s="0" t="s">
        <v>1019</v>
      </c>
    </row>
    <row r="29" customFormat="false" ht="15" hidden="false" customHeight="false" outlineLevel="0" collapsed="false">
      <c r="A29" s="8" t="s">
        <v>1020</v>
      </c>
      <c r="B29" s="8" t="s">
        <v>285</v>
      </c>
      <c r="C29" s="25" t="n">
        <f aca="false">MIN(1,C28+$F$9)</f>
        <v>0.86</v>
      </c>
      <c r="D29" s="25" t="n">
        <f aca="false">MIN(1,D28+$F$9)</f>
        <v>0.88</v>
      </c>
      <c r="E29" s="25" t="n">
        <f aca="false">MIN(1,E28+$F$9)</f>
        <v>0.89</v>
      </c>
      <c r="J29" s="0" t="s">
        <v>146</v>
      </c>
      <c r="K29" s="0" t="s">
        <v>1021</v>
      </c>
    </row>
    <row r="30" customFormat="false" ht="15" hidden="false" customHeight="false" outlineLevel="0" collapsed="false">
      <c r="A30" s="8" t="s">
        <v>302</v>
      </c>
      <c r="B30" s="8" t="s">
        <v>285</v>
      </c>
      <c r="C30" s="25" t="n">
        <f aca="false">Assumptions!$C$18</f>
        <v>0.21</v>
      </c>
      <c r="D30" s="25" t="n">
        <f aca="false">Assumptions!$D$18</f>
        <v>0.18</v>
      </c>
      <c r="E30" s="25" t="n">
        <f aca="false">Assumptions!$E$18</f>
        <v>0.16</v>
      </c>
      <c r="J30" s="0" t="s">
        <v>108</v>
      </c>
      <c r="K30" s="0" t="s">
        <v>1022</v>
      </c>
    </row>
    <row r="31" customFormat="false" ht="15" hidden="false" customHeight="false" outlineLevel="0" collapsed="false">
      <c r="A31" s="8" t="s">
        <v>1023</v>
      </c>
      <c r="B31" s="8" t="s">
        <v>1024</v>
      </c>
      <c r="C31" s="73" t="n">
        <f aca="false">Assumptions!$E$46*12*$F$14*C28</f>
        <v>11.6532</v>
      </c>
      <c r="D31" s="73" t="n">
        <f aca="false">Assumptions!$E$46*12*$F$14*D28</f>
        <v>11.934</v>
      </c>
      <c r="E31" s="73" t="n">
        <f aca="false">Assumptions!$E$46*12*$F$14*E28</f>
        <v>12.0744</v>
      </c>
      <c r="J31" s="0" t="s">
        <v>146</v>
      </c>
      <c r="K31" s="0" t="s">
        <v>1025</v>
      </c>
    </row>
    <row r="32" customFormat="false" ht="15" hidden="false" customHeight="false" outlineLevel="0" collapsed="false">
      <c r="A32" s="8" t="s">
        <v>1026</v>
      </c>
      <c r="B32" s="8" t="s">
        <v>1024</v>
      </c>
      <c r="C32" s="73" t="n">
        <f aca="false">(Assumptions!$E$46+$F$8)*12*$F$14*C29</f>
        <v>14.8608</v>
      </c>
      <c r="D32" s="73" t="n">
        <f aca="false">(Assumptions!$E$46+$F$8)*12*$F$14*D29</f>
        <v>15.2064</v>
      </c>
      <c r="E32" s="73" t="n">
        <f aca="false">(Assumptions!$E$46+$F$8)*12*$F$14*E29</f>
        <v>15.3792</v>
      </c>
      <c r="J32" s="0" t="s">
        <v>146</v>
      </c>
      <c r="K32" s="0" t="s">
        <v>1027</v>
      </c>
    </row>
    <row r="33" customFormat="false" ht="15" hidden="false" customHeight="false" outlineLevel="0" collapsed="false">
      <c r="A33" s="8" t="s">
        <v>1028</v>
      </c>
      <c r="B33" s="8" t="s">
        <v>1024</v>
      </c>
      <c r="C33" s="73" t="n">
        <f aca="false">$F$8*12*C29</f>
        <v>3.096</v>
      </c>
      <c r="D33" s="73" t="n">
        <f aca="false">$F$8*12*D29</f>
        <v>3.168</v>
      </c>
      <c r="E33" s="73" t="n">
        <f aca="false">$F$8*12*E29</f>
        <v>3.204</v>
      </c>
      <c r="J33" s="0" t="s">
        <v>146</v>
      </c>
      <c r="K33" s="0" t="s">
        <v>1029</v>
      </c>
    </row>
    <row r="35" customFormat="false" ht="15" hidden="false" customHeight="false" outlineLevel="0" collapsed="false">
      <c r="A35" s="16" t="s">
        <v>1030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customFormat="false" ht="15" hidden="false" customHeight="false" outlineLevel="0" collapsed="false">
      <c r="A36" s="18" t="s">
        <v>868</v>
      </c>
      <c r="B36" s="19" t="s">
        <v>279</v>
      </c>
      <c r="C36" s="19" t="s">
        <v>1031</v>
      </c>
      <c r="D36" s="19" t="s">
        <v>1032</v>
      </c>
      <c r="E36" s="19" t="s">
        <v>1033</v>
      </c>
      <c r="F36" s="19" t="s">
        <v>1034</v>
      </c>
      <c r="G36" s="19" t="s">
        <v>1035</v>
      </c>
      <c r="H36" s="19" t="s">
        <v>1036</v>
      </c>
      <c r="I36" s="19" t="s">
        <v>1037</v>
      </c>
      <c r="J36" s="19" t="s">
        <v>100</v>
      </c>
      <c r="K36" s="19" t="s">
        <v>680</v>
      </c>
    </row>
    <row r="37" customFormat="false" ht="15" hidden="false" customHeight="false" outlineLevel="0" collapsed="false">
      <c r="A37" s="8" t="s">
        <v>1038</v>
      </c>
      <c r="B37" s="8" t="s">
        <v>1039</v>
      </c>
      <c r="C37" s="83" t="n">
        <f aca="false">0</f>
        <v>0</v>
      </c>
      <c r="D37" s="83" t="n">
        <f aca="false">1</f>
        <v>1</v>
      </c>
      <c r="E37" s="83" t="n">
        <f aca="false">2</f>
        <v>2</v>
      </c>
      <c r="F37" s="83" t="n">
        <f aca="false">3</f>
        <v>3</v>
      </c>
      <c r="G37" s="83" t="n">
        <f aca="false">4</f>
        <v>4</v>
      </c>
      <c r="H37" s="83" t="n">
        <f aca="false">5</f>
        <v>5</v>
      </c>
      <c r="I37" s="83" t="n">
        <f aca="false">6</f>
        <v>6</v>
      </c>
      <c r="J37" s="0" t="s">
        <v>1040</v>
      </c>
    </row>
    <row r="38" customFormat="false" ht="15" hidden="false" customHeight="false" outlineLevel="0" collapsed="false">
      <c r="A38" s="8" t="s">
        <v>1041</v>
      </c>
      <c r="B38" s="8"/>
      <c r="C38" s="84" t="str">
        <f aca="false">"FY"&amp;(2027+C37)</f>
        <v>FY2027</v>
      </c>
      <c r="D38" s="84" t="str">
        <f aca="false">"FY"&amp;(2027+D37)</f>
        <v>FY2028</v>
      </c>
      <c r="E38" s="84" t="str">
        <f aca="false">"FY"&amp;(2027+E37)</f>
        <v>FY2029</v>
      </c>
      <c r="F38" s="84" t="str">
        <f aca="false">"FY"&amp;(2027+F37)</f>
        <v>FY2030</v>
      </c>
      <c r="G38" s="84" t="str">
        <f aca="false">"FY"&amp;(2027+G37)</f>
        <v>FY2031</v>
      </c>
      <c r="H38" s="84" t="str">
        <f aca="false">"FY"&amp;(2027+H37)</f>
        <v>FY2032</v>
      </c>
      <c r="I38" s="84" t="str">
        <f aca="false">"FY"&amp;(2027+I37)</f>
        <v>FY2033</v>
      </c>
      <c r="J38" s="0" t="s">
        <v>1040</v>
      </c>
    </row>
    <row r="39" customFormat="false" ht="15" hidden="false" customHeight="false" outlineLevel="0" collapsed="false">
      <c r="A39" s="8" t="s">
        <v>1042</v>
      </c>
      <c r="B39" s="8" t="s">
        <v>355</v>
      </c>
      <c r="C39" s="74" t="n">
        <f aca="false">0</f>
        <v>0</v>
      </c>
      <c r="D39" s="74" t="n">
        <f aca="false">$C$25*(1+$C$24)^D37</f>
        <v>9.79568776389213</v>
      </c>
      <c r="E39" s="74" t="n">
        <f aca="false">$C$25*(1+$C$24)^E37</f>
        <v>9.99160151916997</v>
      </c>
      <c r="F39" s="74" t="n">
        <f aca="false">$C$25*(1+$C$24)^F37</f>
        <v>10.1914335495534</v>
      </c>
      <c r="G39" s="74" t="n">
        <f aca="false">$C$25*(1+$C$24)^G37</f>
        <v>10.3952622205444</v>
      </c>
      <c r="H39" s="74" t="n">
        <f aca="false">$C$25*(1+$C$24)^H37</f>
        <v>10.6031674649553</v>
      </c>
      <c r="I39" s="74" t="n">
        <f aca="false">$C$25*(1+$C$24)^I37</f>
        <v>10.8152308142544</v>
      </c>
      <c r="J39" s="0" t="s">
        <v>1040</v>
      </c>
    </row>
    <row r="40" customFormat="false" ht="15" hidden="false" customHeight="false" outlineLevel="0" collapsed="false">
      <c r="A40" s="8" t="s">
        <v>1043</v>
      </c>
      <c r="B40" s="8" t="s">
        <v>336</v>
      </c>
      <c r="C40" s="85" t="n">
        <f aca="false">0</f>
        <v>0</v>
      </c>
      <c r="D40" s="85" t="n">
        <f aca="false">$C$26*(1-$F$15)^D37</f>
        <v>23.52</v>
      </c>
      <c r="E40" s="85" t="n">
        <f aca="false">$C$26*(1-$F$15)^E37</f>
        <v>23.0496</v>
      </c>
      <c r="F40" s="85" t="n">
        <f aca="false">$C$26*(1-$F$15)^F37</f>
        <v>22.588608</v>
      </c>
      <c r="G40" s="85" t="n">
        <f aca="false">$C$26*(1-$F$15)^G37</f>
        <v>22.13683584</v>
      </c>
      <c r="H40" s="85" t="n">
        <f aca="false">$C$26*(1-$F$15)^H37</f>
        <v>21.6940991232</v>
      </c>
      <c r="I40" s="85" t="n">
        <f aca="false">$C$26*(1-$F$15)^I37</f>
        <v>21.260217140736</v>
      </c>
      <c r="J40" s="0" t="s">
        <v>1040</v>
      </c>
    </row>
    <row r="41" customFormat="false" ht="15" hidden="false" customHeight="false" outlineLevel="0" collapsed="false">
      <c r="A41" s="8" t="s">
        <v>1044</v>
      </c>
      <c r="B41" s="8" t="s">
        <v>355</v>
      </c>
      <c r="C41" s="74" t="n">
        <f aca="false">0</f>
        <v>0</v>
      </c>
      <c r="D41" s="74" t="n">
        <f aca="false">MIN(D39,$C$31)</f>
        <v>9.79568776389213</v>
      </c>
      <c r="E41" s="74" t="n">
        <f aca="false">MIN(E39,$C$31)</f>
        <v>9.99160151916997</v>
      </c>
      <c r="F41" s="74" t="n">
        <f aca="false">MIN(F39,$C$31)</f>
        <v>10.1914335495534</v>
      </c>
      <c r="G41" s="74" t="n">
        <f aca="false">MIN(G39,$C$31)</f>
        <v>10.3952622205444</v>
      </c>
      <c r="H41" s="74" t="n">
        <f aca="false">MIN(H39,$C$31)</f>
        <v>10.6031674649553</v>
      </c>
      <c r="I41" s="74" t="n">
        <f aca="false">MIN(I39,$C$31)</f>
        <v>10.8152308142544</v>
      </c>
      <c r="J41" s="0" t="s">
        <v>1040</v>
      </c>
      <c r="K41" s="0" t="s">
        <v>1045</v>
      </c>
    </row>
    <row r="42" customFormat="false" ht="15" hidden="false" customHeight="false" outlineLevel="0" collapsed="false">
      <c r="A42" s="8" t="s">
        <v>1046</v>
      </c>
      <c r="B42" s="8" t="s">
        <v>355</v>
      </c>
      <c r="C42" s="74" t="n">
        <f aca="false">0</f>
        <v>0</v>
      </c>
      <c r="D42" s="74" t="n">
        <f aca="false">MIN(D39,$C$32)</f>
        <v>9.79568776389213</v>
      </c>
      <c r="E42" s="74" t="n">
        <f aca="false">MIN(E39,$C$32)</f>
        <v>9.99160151916997</v>
      </c>
      <c r="F42" s="74" t="n">
        <f aca="false">MIN(F39,$C$32)</f>
        <v>10.1914335495534</v>
      </c>
      <c r="G42" s="74" t="n">
        <f aca="false">MIN(G39,$C$32)</f>
        <v>10.3952622205444</v>
      </c>
      <c r="H42" s="74" t="n">
        <f aca="false">MIN(H39,$C$32)</f>
        <v>10.6031674649553</v>
      </c>
      <c r="I42" s="74" t="n">
        <f aca="false">MIN(I39,$C$32)</f>
        <v>10.8152308142544</v>
      </c>
      <c r="J42" s="0" t="s">
        <v>1040</v>
      </c>
      <c r="K42" s="0" t="s">
        <v>1047</v>
      </c>
    </row>
    <row r="43" customFormat="false" ht="15" hidden="false" customHeight="false" outlineLevel="0" collapsed="false">
      <c r="A43" s="8" t="s">
        <v>1048</v>
      </c>
      <c r="B43" s="8" t="s">
        <v>355</v>
      </c>
      <c r="C43" s="74" t="n">
        <f aca="false">0</f>
        <v>0</v>
      </c>
      <c r="D43" s="74" t="n">
        <f aca="false">D42-D41</f>
        <v>0</v>
      </c>
      <c r="E43" s="74" t="n">
        <f aca="false">E42-E41</f>
        <v>0</v>
      </c>
      <c r="F43" s="74" t="n">
        <f aca="false">F42-F41</f>
        <v>0</v>
      </c>
      <c r="G43" s="74" t="n">
        <f aca="false">G42-G41</f>
        <v>0</v>
      </c>
      <c r="H43" s="74" t="n">
        <f aca="false">H42-H41</f>
        <v>0</v>
      </c>
      <c r="I43" s="74" t="n">
        <f aca="false">I42-I41</f>
        <v>0</v>
      </c>
      <c r="J43" s="0" t="s">
        <v>1040</v>
      </c>
    </row>
    <row r="44" customFormat="false" ht="15" hidden="false" customHeight="false" outlineLevel="0" collapsed="false">
      <c r="A44" s="8" t="s">
        <v>1049</v>
      </c>
      <c r="B44" s="8" t="s">
        <v>318</v>
      </c>
      <c r="C44" s="31" t="n">
        <f aca="false">0</f>
        <v>0</v>
      </c>
      <c r="D44" s="31" t="n">
        <f aca="false">D43*D40</f>
        <v>0</v>
      </c>
      <c r="E44" s="31" t="n">
        <f aca="false">E43*E40</f>
        <v>0</v>
      </c>
      <c r="F44" s="31" t="n">
        <f aca="false">F43*F40</f>
        <v>0</v>
      </c>
      <c r="G44" s="31" t="n">
        <f aca="false">G43*G40</f>
        <v>0</v>
      </c>
      <c r="H44" s="31" t="n">
        <f aca="false">H43*H40</f>
        <v>0</v>
      </c>
      <c r="I44" s="31" t="n">
        <f aca="false">I43*I40</f>
        <v>0</v>
      </c>
      <c r="J44" s="0" t="s">
        <v>1040</v>
      </c>
      <c r="K44" s="0" t="s">
        <v>1050</v>
      </c>
    </row>
    <row r="45" customFormat="false" ht="15" hidden="false" customHeight="false" outlineLevel="0" collapsed="false">
      <c r="A45" s="8" t="s">
        <v>1051</v>
      </c>
      <c r="B45" s="8" t="s">
        <v>318</v>
      </c>
      <c r="C45" s="31" t="n">
        <f aca="false">0</f>
        <v>0</v>
      </c>
      <c r="D45" s="31" t="n">
        <f aca="false">D43*(D40-$C$27/$C$29)</f>
        <v>0</v>
      </c>
      <c r="E45" s="31" t="n">
        <f aca="false">E43*(E40-$C$27/$C$29)</f>
        <v>0</v>
      </c>
      <c r="F45" s="31" t="n">
        <f aca="false">F43*(F40-$C$27/$C$29)</f>
        <v>0</v>
      </c>
      <c r="G45" s="31" t="n">
        <f aca="false">G43*(G40-$C$27/$C$29)</f>
        <v>0</v>
      </c>
      <c r="H45" s="31" t="n">
        <f aca="false">H43*(H40-$C$27/$C$29)</f>
        <v>0</v>
      </c>
      <c r="I45" s="31" t="n">
        <f aca="false">I43*(I40-$C$27/$C$29)</f>
        <v>0</v>
      </c>
      <c r="J45" s="0" t="s">
        <v>1040</v>
      </c>
      <c r="K45" s="0" t="s">
        <v>1052</v>
      </c>
    </row>
    <row r="46" customFormat="false" ht="15" hidden="false" customHeight="false" outlineLevel="0" collapsed="false">
      <c r="A46" s="8" t="s">
        <v>1053</v>
      </c>
      <c r="B46" s="8" t="s">
        <v>355</v>
      </c>
      <c r="C46" s="74" t="n">
        <f aca="false">0</f>
        <v>0</v>
      </c>
      <c r="D46" s="74" t="n">
        <f aca="false">D41*(1/$C$28-1/$C$29)</f>
        <v>0.411698841295551</v>
      </c>
      <c r="E46" s="74" t="n">
        <f aca="false">E41*(1/$C$28-1/$C$29)</f>
        <v>0.419932818121462</v>
      </c>
      <c r="F46" s="74" t="n">
        <f aca="false">F41*(1/$C$28-1/$C$29)</f>
        <v>0.428331474483891</v>
      </c>
      <c r="G46" s="74" t="n">
        <f aca="false">G41*(1/$C$28-1/$C$29)</f>
        <v>0.436898103973569</v>
      </c>
      <c r="H46" s="74" t="n">
        <f aca="false">H41*(1/$C$28-1/$C$29)</f>
        <v>0.44563606605304</v>
      </c>
      <c r="I46" s="74" t="n">
        <f aca="false">I41*(1/$C$28-1/$C$29)</f>
        <v>0.454548787374101</v>
      </c>
      <c r="J46" s="0" t="s">
        <v>1040</v>
      </c>
      <c r="K46" s="0" t="s">
        <v>1054</v>
      </c>
    </row>
    <row r="47" customFormat="false" ht="15" hidden="false" customHeight="false" outlineLevel="0" collapsed="false">
      <c r="A47" s="8" t="s">
        <v>1055</v>
      </c>
      <c r="B47" s="8" t="s">
        <v>318</v>
      </c>
      <c r="C47" s="31" t="n">
        <f aca="false">0</f>
        <v>0</v>
      </c>
      <c r="D47" s="31" t="n">
        <f aca="false">D46*$C$27</f>
        <v>2.05108362733443</v>
      </c>
      <c r="E47" s="31" t="n">
        <f aca="false">E46*$C$27</f>
        <v>2.09210529988112</v>
      </c>
      <c r="F47" s="31" t="n">
        <f aca="false">F46*$C$27</f>
        <v>2.13394740587875</v>
      </c>
      <c r="G47" s="31" t="n">
        <f aca="false">G46*$C$27</f>
        <v>2.17662635399632</v>
      </c>
      <c r="H47" s="31" t="n">
        <f aca="false">H46*$C$27</f>
        <v>2.22015888107625</v>
      </c>
      <c r="I47" s="31" t="n">
        <f aca="false">I46*$C$27</f>
        <v>2.26456205869777</v>
      </c>
      <c r="J47" s="0" t="s">
        <v>1040</v>
      </c>
      <c r="K47" s="0" t="s">
        <v>1056</v>
      </c>
    </row>
    <row r="48" customFormat="false" ht="15" hidden="false" customHeight="false" outlineLevel="0" collapsed="false">
      <c r="A48" s="8" t="s">
        <v>986</v>
      </c>
      <c r="B48" s="8" t="s">
        <v>318</v>
      </c>
      <c r="C48" s="31" t="n">
        <f aca="false">0</f>
        <v>0</v>
      </c>
      <c r="D48" s="31" t="n">
        <f aca="false">$F$10</f>
        <v>1.5</v>
      </c>
      <c r="E48" s="31" t="n">
        <f aca="false">$F$10</f>
        <v>1.5</v>
      </c>
      <c r="F48" s="31" t="n">
        <f aca="false">$F$10</f>
        <v>1.5</v>
      </c>
      <c r="G48" s="31" t="n">
        <f aca="false">$F$10</f>
        <v>1.5</v>
      </c>
      <c r="H48" s="31" t="n">
        <f aca="false">$F$10</f>
        <v>1.5</v>
      </c>
      <c r="I48" s="31" t="n">
        <f aca="false">$F$10</f>
        <v>1.5</v>
      </c>
      <c r="J48" s="0" t="s">
        <v>1040</v>
      </c>
    </row>
    <row r="49" customFormat="false" ht="15" hidden="false" customHeight="false" outlineLevel="0" collapsed="false">
      <c r="A49" s="8" t="s">
        <v>1057</v>
      </c>
      <c r="B49" s="8" t="s">
        <v>318</v>
      </c>
      <c r="C49" s="31" t="n">
        <f aca="false">0</f>
        <v>0</v>
      </c>
      <c r="D49" s="31" t="n">
        <f aca="false">-$F$11</f>
        <v>-1.2</v>
      </c>
      <c r="E49" s="31" t="n">
        <f aca="false">-$F$11</f>
        <v>-1.2</v>
      </c>
      <c r="F49" s="31" t="n">
        <f aca="false">-$F$11</f>
        <v>-1.2</v>
      </c>
      <c r="G49" s="31" t="n">
        <f aca="false">-$F$11</f>
        <v>-1.2</v>
      </c>
      <c r="H49" s="31" t="n">
        <f aca="false">-$F$11</f>
        <v>-1.2</v>
      </c>
      <c r="I49" s="31" t="n">
        <f aca="false">-$F$11</f>
        <v>-1.2</v>
      </c>
      <c r="J49" s="0" t="s">
        <v>1040</v>
      </c>
    </row>
    <row r="50" customFormat="false" ht="15" hidden="false" customHeight="false" outlineLevel="0" collapsed="false">
      <c r="A50" s="7" t="s">
        <v>1058</v>
      </c>
      <c r="B50" s="8" t="s">
        <v>318</v>
      </c>
      <c r="C50" s="31" t="n">
        <f aca="false">0</f>
        <v>0</v>
      </c>
      <c r="D50" s="31" t="n">
        <f aca="false">D45+D47+D48+D49</f>
        <v>2.35108362733443</v>
      </c>
      <c r="E50" s="31" t="n">
        <f aca="false">E45+E47+E48+E49</f>
        <v>2.39210529988112</v>
      </c>
      <c r="F50" s="31" t="n">
        <f aca="false">F45+F47+F48+F49</f>
        <v>2.43394740587875</v>
      </c>
      <c r="G50" s="31" t="n">
        <f aca="false">G45+G47+G48+G49</f>
        <v>2.47662635399632</v>
      </c>
      <c r="H50" s="31" t="n">
        <f aca="false">H45+H47+H48+H49</f>
        <v>2.52015888107625</v>
      </c>
      <c r="I50" s="31" t="n">
        <f aca="false">I45+I47+I48+I49</f>
        <v>2.56456205869777</v>
      </c>
      <c r="J50" s="0" t="s">
        <v>1040</v>
      </c>
      <c r="K50" s="0" t="s">
        <v>1059</v>
      </c>
    </row>
    <row r="51" customFormat="false" ht="15" hidden="false" customHeight="false" outlineLevel="0" collapsed="false">
      <c r="A51" s="8" t="s">
        <v>1060</v>
      </c>
      <c r="B51" s="8" t="s">
        <v>318</v>
      </c>
      <c r="C51" s="31" t="n">
        <f aca="false">0</f>
        <v>0</v>
      </c>
      <c r="D51" s="31" t="n">
        <f aca="false">IF(D37&lt;=$F$12,($F$19-$F$13)/$F$12,0)</f>
        <v>4.5</v>
      </c>
      <c r="E51" s="31" t="n">
        <f aca="false">IF(E37&lt;=$F$12,($F$19-$F$13)/$F$12,0)</f>
        <v>4.5</v>
      </c>
      <c r="F51" s="31" t="n">
        <f aca="false">IF(F37&lt;=$F$12,($F$19-$F$13)/$F$12,0)</f>
        <v>4.5</v>
      </c>
      <c r="G51" s="31" t="n">
        <f aca="false">IF(G37&lt;=$F$12,($F$19-$F$13)/$F$12,0)</f>
        <v>4.5</v>
      </c>
      <c r="H51" s="31" t="n">
        <f aca="false">IF(H37&lt;=$F$12,($F$19-$F$13)/$F$12,0)</f>
        <v>4.5</v>
      </c>
      <c r="I51" s="31" t="n">
        <f aca="false">IF(I37&lt;=$F$12,($F$19-$F$13)/$F$12,0)</f>
        <v>4.5</v>
      </c>
      <c r="J51" s="0" t="s">
        <v>1040</v>
      </c>
      <c r="K51" s="0" t="s">
        <v>1061</v>
      </c>
    </row>
    <row r="52" customFormat="false" ht="15" hidden="false" customHeight="false" outlineLevel="0" collapsed="false">
      <c r="A52" s="8" t="s">
        <v>1062</v>
      </c>
      <c r="B52" s="8" t="s">
        <v>318</v>
      </c>
      <c r="C52" s="31" t="n">
        <f aca="false">0</f>
        <v>0</v>
      </c>
      <c r="D52" s="31" t="n">
        <f aca="false">D50-D51</f>
        <v>-2.14891637266557</v>
      </c>
      <c r="E52" s="31" t="n">
        <f aca="false">E50-E51</f>
        <v>-2.10789470011888</v>
      </c>
      <c r="F52" s="31" t="n">
        <f aca="false">F50-F51</f>
        <v>-2.06605259412125</v>
      </c>
      <c r="G52" s="31" t="n">
        <f aca="false">G50-G51</f>
        <v>-2.02337364600368</v>
      </c>
      <c r="H52" s="31" t="n">
        <f aca="false">H50-H51</f>
        <v>-1.97984111892375</v>
      </c>
      <c r="I52" s="31" t="n">
        <f aca="false">I50-I51</f>
        <v>-1.93543794130223</v>
      </c>
      <c r="J52" s="0" t="s">
        <v>1040</v>
      </c>
      <c r="K52" s="0" t="s">
        <v>1063</v>
      </c>
    </row>
    <row r="53" customFormat="false" ht="15" hidden="false" customHeight="false" outlineLevel="0" collapsed="false">
      <c r="A53" s="8" t="s">
        <v>1064</v>
      </c>
      <c r="B53" s="8" t="s">
        <v>318</v>
      </c>
      <c r="C53" s="31" t="n">
        <f aca="false">0</f>
        <v>0</v>
      </c>
      <c r="D53" s="31" t="n">
        <f aca="false">D52*$C$30</f>
        <v>-0.451272438259769</v>
      </c>
      <c r="E53" s="31" t="n">
        <f aca="false">E52*$C$30</f>
        <v>-0.442657887024964</v>
      </c>
      <c r="F53" s="31" t="n">
        <f aca="false">F52*$C$30</f>
        <v>-0.433871044765463</v>
      </c>
      <c r="G53" s="31" t="n">
        <f aca="false">G52*$C$30</f>
        <v>-0.424908465660773</v>
      </c>
      <c r="H53" s="31" t="n">
        <f aca="false">H52*$C$30</f>
        <v>-0.415766634973988</v>
      </c>
      <c r="I53" s="31" t="n">
        <f aca="false">I52*$C$30</f>
        <v>-0.406441967673468</v>
      </c>
      <c r="J53" s="0" t="s">
        <v>1040</v>
      </c>
      <c r="K53" s="0" t="s">
        <v>1065</v>
      </c>
    </row>
    <row r="54" customFormat="false" ht="15" hidden="false" customHeight="false" outlineLevel="0" collapsed="false">
      <c r="A54" s="8" t="s">
        <v>1066</v>
      </c>
      <c r="B54" s="8" t="s">
        <v>318</v>
      </c>
      <c r="C54" s="31" t="n">
        <f aca="false">0</f>
        <v>0</v>
      </c>
      <c r="D54" s="31" t="n">
        <f aca="false">D52-D53</f>
        <v>-1.6976439344058</v>
      </c>
      <c r="E54" s="31" t="n">
        <f aca="false">E52-E53</f>
        <v>-1.66523681309391</v>
      </c>
      <c r="F54" s="31" t="n">
        <f aca="false">F52-F53</f>
        <v>-1.63218154935579</v>
      </c>
      <c r="G54" s="31" t="n">
        <f aca="false">G52-G53</f>
        <v>-1.59846518034291</v>
      </c>
      <c r="H54" s="31" t="n">
        <f aca="false">H52-H53</f>
        <v>-1.56407448394977</v>
      </c>
      <c r="I54" s="31" t="n">
        <f aca="false">I52-I53</f>
        <v>-1.52899597362876</v>
      </c>
      <c r="J54" s="0" t="s">
        <v>1040</v>
      </c>
      <c r="K54" s="0" t="s">
        <v>1067</v>
      </c>
    </row>
    <row r="55" customFormat="false" ht="15" hidden="false" customHeight="false" outlineLevel="0" collapsed="false">
      <c r="A55" s="8" t="s">
        <v>1068</v>
      </c>
      <c r="B55" s="8" t="s">
        <v>318</v>
      </c>
      <c r="C55" s="31" t="n">
        <f aca="false">0</f>
        <v>0</v>
      </c>
      <c r="D55" s="31" t="n">
        <f aca="false">IF(D37=$F$12,0,D44*$F$20/365)</f>
        <v>0</v>
      </c>
      <c r="E55" s="31" t="n">
        <f aca="false">IF(E37=$F$12,0,E44*$F$20/365)</f>
        <v>0</v>
      </c>
      <c r="F55" s="31" t="n">
        <f aca="false">IF(F37=$F$12,0,F44*$F$20/365)</f>
        <v>0</v>
      </c>
      <c r="G55" s="31" t="n">
        <f aca="false">IF(G37=$F$12,0,G44*$F$20/365)</f>
        <v>0</v>
      </c>
      <c r="H55" s="31" t="n">
        <f aca="false">IF(H37=$F$12,0,H44*$F$20/365)</f>
        <v>0</v>
      </c>
      <c r="I55" s="31" t="n">
        <f aca="false">IF(I37=$F$12,0,I44*$F$20/365)</f>
        <v>0</v>
      </c>
      <c r="J55" s="0" t="s">
        <v>1040</v>
      </c>
      <c r="K55" s="0" t="s">
        <v>1069</v>
      </c>
    </row>
    <row r="56" customFormat="false" ht="15" hidden="false" customHeight="false" outlineLevel="0" collapsed="false">
      <c r="A56" s="8" t="s">
        <v>1070</v>
      </c>
      <c r="B56" s="8" t="s">
        <v>318</v>
      </c>
      <c r="C56" s="31" t="n">
        <f aca="false">0</f>
        <v>0</v>
      </c>
      <c r="D56" s="31" t="n">
        <f aca="false">D55-C55</f>
        <v>0</v>
      </c>
      <c r="E56" s="31" t="n">
        <f aca="false">E55-D55</f>
        <v>0</v>
      </c>
      <c r="F56" s="31" t="n">
        <f aca="false">F55-E55</f>
        <v>0</v>
      </c>
      <c r="G56" s="31" t="n">
        <f aca="false">G55-F55</f>
        <v>0</v>
      </c>
      <c r="H56" s="31" t="n">
        <f aca="false">H55-G55</f>
        <v>0</v>
      </c>
      <c r="I56" s="31" t="n">
        <f aca="false">I55-H55</f>
        <v>0</v>
      </c>
      <c r="J56" s="0" t="s">
        <v>1040</v>
      </c>
      <c r="K56" s="0" t="s">
        <v>1071</v>
      </c>
    </row>
    <row r="57" customFormat="false" ht="15" hidden="false" customHeight="false" outlineLevel="0" collapsed="false">
      <c r="A57" s="8" t="s">
        <v>1072</v>
      </c>
      <c r="B57" s="8" t="s">
        <v>318</v>
      </c>
      <c r="C57" s="31" t="n">
        <f aca="false">-$F$19</f>
        <v>-27</v>
      </c>
      <c r="D57" s="31" t="n">
        <f aca="false">IF(D37=$F$12,$F$13,0)</f>
        <v>0</v>
      </c>
      <c r="E57" s="31" t="n">
        <f aca="false">IF(E37=$F$12,$F$13,0)</f>
        <v>0</v>
      </c>
      <c r="F57" s="31" t="n">
        <f aca="false">IF(F37=$F$12,$F$13,0)</f>
        <v>0</v>
      </c>
      <c r="G57" s="31" t="n">
        <f aca="false">IF(G37=$F$12,$F$13,0)</f>
        <v>0</v>
      </c>
      <c r="H57" s="31" t="n">
        <f aca="false">IF(H37=$F$12,$F$13,0)</f>
        <v>0</v>
      </c>
      <c r="I57" s="31" t="n">
        <f aca="false">IF(I37=$F$12,$F$13,0)</f>
        <v>0</v>
      </c>
      <c r="J57" s="0" t="s">
        <v>1040</v>
      </c>
      <c r="K57" s="0" t="s">
        <v>1073</v>
      </c>
    </row>
    <row r="58" customFormat="false" ht="15" hidden="false" customHeight="false" outlineLevel="0" collapsed="false">
      <c r="A58" s="45" t="s">
        <v>1074</v>
      </c>
      <c r="B58" s="46" t="s">
        <v>318</v>
      </c>
      <c r="C58" s="64" t="n">
        <f aca="false">C54+C51-C56+C57</f>
        <v>-27</v>
      </c>
      <c r="D58" s="64" t="n">
        <f aca="false">D54+D51-D56+D57</f>
        <v>2.8023560655942</v>
      </c>
      <c r="E58" s="64" t="n">
        <f aca="false">E54+E51-E56+E57</f>
        <v>2.83476318690609</v>
      </c>
      <c r="F58" s="64" t="n">
        <f aca="false">F54+F51-F56+F57</f>
        <v>2.86781845064421</v>
      </c>
      <c r="G58" s="64" t="n">
        <f aca="false">G54+G51-G56+G57</f>
        <v>2.90153481965709</v>
      </c>
      <c r="H58" s="64" t="n">
        <f aca="false">H54+H51-H56+H57</f>
        <v>2.93592551605024</v>
      </c>
      <c r="I58" s="64" t="n">
        <f aca="false">I54+I51-I56+I57</f>
        <v>2.97100402637124</v>
      </c>
      <c r="J58" s="0" t="s">
        <v>1040</v>
      </c>
      <c r="K58" s="0" t="s">
        <v>1075</v>
      </c>
    </row>
    <row r="59" customFormat="false" ht="15" hidden="false" customHeight="false" outlineLevel="0" collapsed="false">
      <c r="A59" s="8" t="s">
        <v>1076</v>
      </c>
      <c r="B59" s="8" t="s">
        <v>644</v>
      </c>
      <c r="C59" s="86" t="n">
        <f aca="false">1/(1+$F$16)^C37</f>
        <v>1</v>
      </c>
      <c r="D59" s="86" t="n">
        <f aca="false">1/(1+$F$16)^D37</f>
        <v>0.91743119266055</v>
      </c>
      <c r="E59" s="86" t="n">
        <f aca="false">1/(1+$F$16)^E37</f>
        <v>0.84167999326656</v>
      </c>
      <c r="F59" s="86" t="n">
        <f aca="false">1/(1+$F$16)^F37</f>
        <v>0.772183480061064</v>
      </c>
      <c r="G59" s="86" t="n">
        <f aca="false">1/(1+$F$16)^G37</f>
        <v>0.708425211065196</v>
      </c>
      <c r="H59" s="86" t="n">
        <f aca="false">1/(1+$F$16)^H37</f>
        <v>0.649931386298345</v>
      </c>
      <c r="I59" s="86" t="n">
        <f aca="false">1/(1+$F$16)^I37</f>
        <v>0.596267326879216</v>
      </c>
      <c r="J59" s="0" t="s">
        <v>1040</v>
      </c>
      <c r="K59" s="0" t="s">
        <v>1077</v>
      </c>
    </row>
    <row r="60" customFormat="false" ht="15" hidden="false" customHeight="false" outlineLevel="0" collapsed="false">
      <c r="A60" s="8" t="s">
        <v>1078</v>
      </c>
      <c r="B60" s="8" t="s">
        <v>318</v>
      </c>
      <c r="C60" s="31" t="n">
        <f aca="false">C58*C59</f>
        <v>-27</v>
      </c>
      <c r="D60" s="31" t="n">
        <f aca="false">D58*D59</f>
        <v>2.57096886751762</v>
      </c>
      <c r="E60" s="31" t="n">
        <f aca="false">E58*E59</f>
        <v>2.38596346006741</v>
      </c>
      <c r="F60" s="31" t="n">
        <f aca="false">F58*F59</f>
        <v>2.21448203140177</v>
      </c>
      <c r="G60" s="31" t="n">
        <f aca="false">G58*G59</f>
        <v>2.05552041702859</v>
      </c>
      <c r="H60" s="31" t="n">
        <f aca="false">H58*H59</f>
        <v>1.90815014071521</v>
      </c>
      <c r="I60" s="31" t="n">
        <f aca="false">I58*I59</f>
        <v>1.77151262895177</v>
      </c>
      <c r="J60" s="0" t="s">
        <v>1040</v>
      </c>
      <c r="K60" s="0" t="s">
        <v>1079</v>
      </c>
    </row>
    <row r="61" customFormat="false" ht="15" hidden="false" customHeight="false" outlineLevel="0" collapsed="false">
      <c r="A61" s="8" t="s">
        <v>812</v>
      </c>
      <c r="B61" s="8" t="s">
        <v>318</v>
      </c>
      <c r="C61" s="31" t="n">
        <f aca="false">C58</f>
        <v>-27</v>
      </c>
      <c r="D61" s="31" t="n">
        <f aca="false">C61+D58</f>
        <v>-24.1976439344058</v>
      </c>
      <c r="E61" s="31" t="n">
        <f aca="false">D61+E58</f>
        <v>-21.3628807474997</v>
      </c>
      <c r="F61" s="31" t="n">
        <f aca="false">E61+F58</f>
        <v>-18.4950622968555</v>
      </c>
      <c r="G61" s="31" t="n">
        <f aca="false">F61+G58</f>
        <v>-15.5935274771984</v>
      </c>
      <c r="H61" s="31" t="n">
        <f aca="false">G61+H58</f>
        <v>-12.6576019611482</v>
      </c>
      <c r="I61" s="31" t="n">
        <f aca="false">H61+I58</f>
        <v>-9.68659793477693</v>
      </c>
      <c r="J61" s="0" t="s">
        <v>1040</v>
      </c>
      <c r="K61" s="0" t="s">
        <v>1080</v>
      </c>
    </row>
    <row r="62" customFormat="false" ht="15" hidden="false" customHeight="false" outlineLevel="0" collapsed="false">
      <c r="A62" s="8" t="s">
        <v>1081</v>
      </c>
      <c r="B62" s="8" t="s">
        <v>992</v>
      </c>
      <c r="C62" s="56" t="n">
        <f aca="false">0</f>
        <v>0</v>
      </c>
      <c r="D62" s="56" t="n">
        <f aca="false">IF(AND(C61&lt;0,D61&gt;=0),C37+(-C61)/D58,0)</f>
        <v>0</v>
      </c>
      <c r="E62" s="56" t="n">
        <f aca="false">IF(AND(D61&lt;0,E61&gt;=0),D37+(-D61)/E58,0)</f>
        <v>0</v>
      </c>
      <c r="F62" s="56" t="n">
        <f aca="false">IF(AND(E61&lt;0,F61&gt;=0),E37+(-E61)/F58,0)</f>
        <v>0</v>
      </c>
      <c r="G62" s="56" t="n">
        <f aca="false">IF(AND(F61&lt;0,G61&gt;=0),F37+(-F61)/G58,0)</f>
        <v>0</v>
      </c>
      <c r="H62" s="56" t="n">
        <f aca="false">IF(AND(G61&lt;0,H61&gt;=0),G37+(-G61)/H58,0)</f>
        <v>0</v>
      </c>
      <c r="I62" s="56" t="n">
        <f aca="false">IF(AND(H61&lt;0,I61&gt;=0),H37+(-H61)/I58,0)</f>
        <v>0</v>
      </c>
      <c r="J62" s="0" t="s">
        <v>1040</v>
      </c>
      <c r="K62" s="0" t="s">
        <v>1082</v>
      </c>
    </row>
    <row r="63" customFormat="false" ht="15" hidden="false" customHeight="false" outlineLevel="0" collapsed="false">
      <c r="A63" s="8" t="s">
        <v>1083</v>
      </c>
      <c r="B63" s="8" t="s">
        <v>318</v>
      </c>
      <c r="C63" s="31" t="n">
        <f aca="false">0</f>
        <v>0</v>
      </c>
      <c r="D63" s="31" t="n">
        <f aca="false">D45*(1-$C$30)-((IF(D37=$F$12,0,D44*$F$20/365))-(0))</f>
        <v>0</v>
      </c>
      <c r="E63" s="31" t="n">
        <f aca="false">E45*(1-$C$30)-((IF(E37=$F$12,0,E44*$F$20/365))-(IF(D37=$F$12,0,D44*$F$20/365)))</f>
        <v>0</v>
      </c>
      <c r="F63" s="31" t="n">
        <f aca="false">F45*(1-$C$30)-((IF(F37=$F$12,0,F44*$F$20/365))-(IF(E37=$F$12,0,E44*$F$20/365)))</f>
        <v>0</v>
      </c>
      <c r="G63" s="31" t="n">
        <f aca="false">G45*(1-$C$30)-((IF(G37=$F$12,0,G44*$F$20/365))-(IF(F37=$F$12,0,F44*$F$20/365)))</f>
        <v>0</v>
      </c>
      <c r="H63" s="31" t="n">
        <f aca="false">H45*(1-$C$30)-((IF(H37=$F$12,0,H44*$F$20/365))-(IF(G37=$F$12,0,G44*$F$20/365)))</f>
        <v>0</v>
      </c>
      <c r="I63" s="31" t="n">
        <f aca="false">I45*(1-$C$30)-((IF(I37=$F$12,0,I44*$F$20/365))-(IF(H37=$F$12,0,H44*$F$20/365)))</f>
        <v>0</v>
      </c>
      <c r="J63" s="0" t="s">
        <v>1040</v>
      </c>
      <c r="K63" s="0" t="s">
        <v>1084</v>
      </c>
    </row>
    <row r="64" customFormat="false" ht="15" hidden="false" customHeight="false" outlineLevel="0" collapsed="false">
      <c r="A64" s="8" t="s">
        <v>1085</v>
      </c>
      <c r="B64" s="8" t="s">
        <v>318</v>
      </c>
      <c r="C64" s="31" t="n">
        <f aca="false">0</f>
        <v>0</v>
      </c>
      <c r="D64" s="31" t="n">
        <f aca="false">$C$33*(D40-$C$27/$C$29)*(1-$C$30)-((IF(D37=$F$12,0,$C$33*D40*$F$20/365))-(0))</f>
        <v>31.3872797589041</v>
      </c>
      <c r="E64" s="31" t="n">
        <f aca="false">$C$33*(E40-$C$27/$C$29)*(1-$C$30)-((IF(E37=$F$12,0,$C$33*E40*$F$20/365))-(IF(D37=$F$12,0,$C$33*D40*$F$20/365)))</f>
        <v>42.4462270448219</v>
      </c>
      <c r="F64" s="31" t="n">
        <f aca="false">$C$33*(F40-$C$27/$C$29)*(1-$C$30)-((IF(F37=$F$12,0,$C$33*F40*$F$20/365))-(IF(E37=$F$12,0,$C$33*E40*$F$20/365)))</f>
        <v>41.3139263439255</v>
      </c>
      <c r="G64" s="31" t="n">
        <f aca="false">$C$33*(G40-$C$27/$C$29)*(1-$C$30)-((IF(G37=$F$12,0,$C$33*G40*$F$20/365))-(IF(F37=$F$12,0,$C$33*F40*$F$20/365)))</f>
        <v>40.204271657047</v>
      </c>
      <c r="H64" s="31" t="n">
        <f aca="false">$C$33*(H40-$C$27/$C$29)*(1-$C$30)-((IF(H37=$F$12,0,$C$33*H40*$F$20/365))-(IF(G37=$F$12,0,$C$33*G40*$F$20/365)))</f>
        <v>39.116810063906</v>
      </c>
      <c r="I64" s="31" t="n">
        <f aca="false">$C$33*(I40-$C$27/$C$29)*(1-$C$30)-((IF(I37=$F$12,0,$C$33*I40*$F$20/365))-(IF(H37=$F$12,0,$C$33*H40*$F$20/365)))</f>
        <v>48.8710920480063</v>
      </c>
      <c r="J64" s="0" t="s">
        <v>1040</v>
      </c>
      <c r="K64" s="0" t="s">
        <v>1086</v>
      </c>
    </row>
    <row r="65" customFormat="false" ht="15" hidden="false" customHeight="false" outlineLevel="0" collapsed="false">
      <c r="A65" s="7" t="s">
        <v>1087</v>
      </c>
      <c r="F65" s="43" t="n">
        <f aca="false">C58+NPV($F$16,D58:I58)</f>
        <v>-14.0934024543176</v>
      </c>
      <c r="J65" s="0" t="s">
        <v>146</v>
      </c>
      <c r="K65" s="0" t="s">
        <v>1088</v>
      </c>
    </row>
    <row r="66" customFormat="false" ht="15" hidden="false" customHeight="false" outlineLevel="0" collapsed="false">
      <c r="A66" s="7" t="s">
        <v>1089</v>
      </c>
      <c r="F66" s="59" t="n">
        <f aca="false">IFERROR(IRR(C58:I58),"n.m.")</f>
        <v>-0.112941614981494</v>
      </c>
      <c r="J66" s="0" t="s">
        <v>146</v>
      </c>
      <c r="K66" s="0" t="s">
        <v>1090</v>
      </c>
    </row>
    <row r="67" customFormat="false" ht="15" hidden="false" customHeight="false" outlineLevel="0" collapsed="false">
      <c r="A67" s="7" t="s">
        <v>1091</v>
      </c>
      <c r="F67" s="87" t="str">
        <f aca="false">IF(SUM(D62:I62)=0,"Not within life",SUM(D62:I62))</f>
        <v>Not within life</v>
      </c>
      <c r="J67" s="0" t="s">
        <v>146</v>
      </c>
      <c r="K67" s="0" t="s">
        <v>1092</v>
      </c>
    </row>
    <row r="68" customFormat="false" ht="15" hidden="false" customHeight="false" outlineLevel="0" collapsed="false">
      <c r="A68" s="7" t="s">
        <v>1093</v>
      </c>
      <c r="F68" s="43" t="n">
        <f aca="false">F65-SUMPRODUCT(D63:I63,D59:I59)</f>
        <v>-14.0934024543176</v>
      </c>
      <c r="J68" s="0" t="s">
        <v>146</v>
      </c>
      <c r="K68" s="0" t="s">
        <v>1094</v>
      </c>
    </row>
    <row r="69" customFormat="false" ht="15" hidden="false" customHeight="false" outlineLevel="0" collapsed="false">
      <c r="A69" s="7" t="s">
        <v>1095</v>
      </c>
      <c r="F69" s="43" t="n">
        <f aca="false">SUMPRODUCT(D64:I64,D59:I59)</f>
        <v>179.468938659999</v>
      </c>
      <c r="J69" s="0" t="s">
        <v>146</v>
      </c>
      <c r="K69" s="0" t="s">
        <v>1096</v>
      </c>
    </row>
    <row r="70" customFormat="false" ht="15" hidden="false" customHeight="false" outlineLevel="0" collapsed="false">
      <c r="A70" s="7" t="s">
        <v>1097</v>
      </c>
      <c r="F70" s="59" t="n">
        <f aca="false">IF(F68&gt;=0,0,IFERROR(-F68/F69,"n.m."))</f>
        <v>0.078528365741424</v>
      </c>
      <c r="J70" s="0" t="s">
        <v>146</v>
      </c>
      <c r="K70" s="0" t="s">
        <v>1098</v>
      </c>
    </row>
    <row r="71" customFormat="false" ht="15" hidden="false" customHeight="false" outlineLevel="0" collapsed="false">
      <c r="A71" s="7" t="s">
        <v>1099</v>
      </c>
      <c r="F71" s="59" t="n">
        <f aca="false">IFERROR(SUM(D43:I43)/($C$33*$F$12),0)</f>
        <v>0</v>
      </c>
      <c r="J71" s="0" t="s">
        <v>146</v>
      </c>
      <c r="K71" s="0" t="s">
        <v>1100</v>
      </c>
    </row>
    <row r="73" customFormat="false" ht="15" hidden="false" customHeight="false" outlineLevel="0" collapsed="false">
      <c r="A73" s="16" t="s">
        <v>1101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customFormat="false" ht="15" hidden="false" customHeight="false" outlineLevel="0" collapsed="false">
      <c r="A74" s="18" t="s">
        <v>868</v>
      </c>
      <c r="B74" s="19" t="s">
        <v>279</v>
      </c>
      <c r="C74" s="19" t="s">
        <v>1031</v>
      </c>
      <c r="D74" s="19" t="s">
        <v>1032</v>
      </c>
      <c r="E74" s="19" t="s">
        <v>1033</v>
      </c>
      <c r="F74" s="19" t="s">
        <v>1034</v>
      </c>
      <c r="G74" s="19" t="s">
        <v>1035</v>
      </c>
      <c r="H74" s="19" t="s">
        <v>1036</v>
      </c>
      <c r="I74" s="19" t="s">
        <v>1037</v>
      </c>
      <c r="J74" s="19" t="s">
        <v>100</v>
      </c>
      <c r="K74" s="19" t="s">
        <v>680</v>
      </c>
    </row>
    <row r="75" customFormat="false" ht="15" hidden="false" customHeight="false" outlineLevel="0" collapsed="false">
      <c r="A75" s="8" t="s">
        <v>1038</v>
      </c>
      <c r="B75" s="8" t="s">
        <v>1039</v>
      </c>
      <c r="C75" s="83" t="n">
        <f aca="false">0</f>
        <v>0</v>
      </c>
      <c r="D75" s="83" t="n">
        <f aca="false">1</f>
        <v>1</v>
      </c>
      <c r="E75" s="83" t="n">
        <f aca="false">2</f>
        <v>2</v>
      </c>
      <c r="F75" s="83" t="n">
        <f aca="false">3</f>
        <v>3</v>
      </c>
      <c r="G75" s="83" t="n">
        <f aca="false">4</f>
        <v>4</v>
      </c>
      <c r="H75" s="83" t="n">
        <f aca="false">5</f>
        <v>5</v>
      </c>
      <c r="I75" s="83" t="n">
        <f aca="false">6</f>
        <v>6</v>
      </c>
      <c r="J75" s="0" t="s">
        <v>1040</v>
      </c>
    </row>
    <row r="76" customFormat="false" ht="15" hidden="false" customHeight="false" outlineLevel="0" collapsed="false">
      <c r="A76" s="8" t="s">
        <v>1041</v>
      </c>
      <c r="B76" s="8"/>
      <c r="C76" s="84" t="str">
        <f aca="false">"FY"&amp;(2027+C75)</f>
        <v>FY2027</v>
      </c>
      <c r="D76" s="84" t="str">
        <f aca="false">"FY"&amp;(2027+D75)</f>
        <v>FY2028</v>
      </c>
      <c r="E76" s="84" t="str">
        <f aca="false">"FY"&amp;(2027+E75)</f>
        <v>FY2029</v>
      </c>
      <c r="F76" s="84" t="str">
        <f aca="false">"FY"&amp;(2027+F75)</f>
        <v>FY2030</v>
      </c>
      <c r="G76" s="84" t="str">
        <f aca="false">"FY"&amp;(2027+G75)</f>
        <v>FY2031</v>
      </c>
      <c r="H76" s="84" t="str">
        <f aca="false">"FY"&amp;(2027+H75)</f>
        <v>FY2032</v>
      </c>
      <c r="I76" s="84" t="str">
        <f aca="false">"FY"&amp;(2027+I75)</f>
        <v>FY2033</v>
      </c>
      <c r="J76" s="0" t="s">
        <v>1040</v>
      </c>
    </row>
    <row r="77" customFormat="false" ht="15" hidden="false" customHeight="false" outlineLevel="0" collapsed="false">
      <c r="A77" s="8" t="s">
        <v>1042</v>
      </c>
      <c r="B77" s="8" t="s">
        <v>355</v>
      </c>
      <c r="C77" s="74" t="n">
        <f aca="false">0</f>
        <v>0</v>
      </c>
      <c r="D77" s="74" t="n">
        <f aca="false">$D$25*(1+$D$24)^D75</f>
        <v>11.5679913432772</v>
      </c>
      <c r="E77" s="74" t="n">
        <f aca="false">$D$25*(1+$D$24)^E75</f>
        <v>12.2620708238739</v>
      </c>
      <c r="F77" s="74" t="n">
        <f aca="false">$D$25*(1+$D$24)^F75</f>
        <v>12.9977950733063</v>
      </c>
      <c r="G77" s="74" t="n">
        <f aca="false">$D$25*(1+$D$24)^G75</f>
        <v>13.7776627777047</v>
      </c>
      <c r="H77" s="74" t="n">
        <f aca="false">$D$25*(1+$D$24)^H75</f>
        <v>14.604322544367</v>
      </c>
      <c r="I77" s="74" t="n">
        <f aca="false">$D$25*(1+$D$24)^I75</f>
        <v>15.480581897029</v>
      </c>
      <c r="J77" s="0" t="s">
        <v>1040</v>
      </c>
    </row>
    <row r="78" customFormat="false" ht="15" hidden="false" customHeight="false" outlineLevel="0" collapsed="false">
      <c r="A78" s="8" t="s">
        <v>1043</v>
      </c>
      <c r="B78" s="8" t="s">
        <v>336</v>
      </c>
      <c r="C78" s="85" t="n">
        <f aca="false">0</f>
        <v>0</v>
      </c>
      <c r="D78" s="85" t="n">
        <f aca="false">$D$26*(1-$F$15)^D75</f>
        <v>24.255</v>
      </c>
      <c r="E78" s="85" t="n">
        <f aca="false">$D$26*(1-$F$15)^E75</f>
        <v>23.7699</v>
      </c>
      <c r="F78" s="85" t="n">
        <f aca="false">$D$26*(1-$F$15)^F75</f>
        <v>23.294502</v>
      </c>
      <c r="G78" s="85" t="n">
        <f aca="false">$D$26*(1-$F$15)^G75</f>
        <v>22.82861196</v>
      </c>
      <c r="H78" s="85" t="n">
        <f aca="false">$D$26*(1-$F$15)^H75</f>
        <v>22.3720397208</v>
      </c>
      <c r="I78" s="85" t="n">
        <f aca="false">$D$26*(1-$F$15)^I75</f>
        <v>21.924598926384</v>
      </c>
      <c r="J78" s="0" t="s">
        <v>1040</v>
      </c>
    </row>
    <row r="79" customFormat="false" ht="15" hidden="false" customHeight="false" outlineLevel="0" collapsed="false">
      <c r="A79" s="8" t="s">
        <v>1044</v>
      </c>
      <c r="B79" s="8" t="s">
        <v>355</v>
      </c>
      <c r="C79" s="74" t="n">
        <f aca="false">0</f>
        <v>0</v>
      </c>
      <c r="D79" s="74" t="n">
        <f aca="false">MIN(D77,$D$31)</f>
        <v>11.5679913432772</v>
      </c>
      <c r="E79" s="74" t="n">
        <f aca="false">MIN(E77,$D$31)</f>
        <v>11.934</v>
      </c>
      <c r="F79" s="74" t="n">
        <f aca="false">MIN(F77,$D$31)</f>
        <v>11.934</v>
      </c>
      <c r="G79" s="74" t="n">
        <f aca="false">MIN(G77,$D$31)</f>
        <v>11.934</v>
      </c>
      <c r="H79" s="74" t="n">
        <f aca="false">MIN(H77,$D$31)</f>
        <v>11.934</v>
      </c>
      <c r="I79" s="74" t="n">
        <f aca="false">MIN(I77,$D$31)</f>
        <v>11.934</v>
      </c>
      <c r="J79" s="0" t="s">
        <v>1040</v>
      </c>
      <c r="K79" s="0" t="s">
        <v>1045</v>
      </c>
    </row>
    <row r="80" customFormat="false" ht="15" hidden="false" customHeight="false" outlineLevel="0" collapsed="false">
      <c r="A80" s="8" t="s">
        <v>1046</v>
      </c>
      <c r="B80" s="8" t="s">
        <v>355</v>
      </c>
      <c r="C80" s="74" t="n">
        <f aca="false">0</f>
        <v>0</v>
      </c>
      <c r="D80" s="74" t="n">
        <f aca="false">MIN(D77,$D$32)</f>
        <v>11.5679913432772</v>
      </c>
      <c r="E80" s="74" t="n">
        <f aca="false">MIN(E77,$D$32)</f>
        <v>12.2620708238739</v>
      </c>
      <c r="F80" s="74" t="n">
        <f aca="false">MIN(F77,$D$32)</f>
        <v>12.9977950733063</v>
      </c>
      <c r="G80" s="74" t="n">
        <f aca="false">MIN(G77,$D$32)</f>
        <v>13.7776627777047</v>
      </c>
      <c r="H80" s="74" t="n">
        <f aca="false">MIN(H77,$D$32)</f>
        <v>14.604322544367</v>
      </c>
      <c r="I80" s="74" t="n">
        <f aca="false">MIN(I77,$D$32)</f>
        <v>15.2064</v>
      </c>
      <c r="J80" s="0" t="s">
        <v>1040</v>
      </c>
      <c r="K80" s="0" t="s">
        <v>1047</v>
      </c>
    </row>
    <row r="81" customFormat="false" ht="15" hidden="false" customHeight="false" outlineLevel="0" collapsed="false">
      <c r="A81" s="8" t="s">
        <v>1048</v>
      </c>
      <c r="B81" s="8" t="s">
        <v>355</v>
      </c>
      <c r="C81" s="74" t="n">
        <f aca="false">0</f>
        <v>0</v>
      </c>
      <c r="D81" s="74" t="n">
        <f aca="false">D80-D79</f>
        <v>0</v>
      </c>
      <c r="E81" s="74" t="n">
        <f aca="false">E80-E79</f>
        <v>0.328070823873883</v>
      </c>
      <c r="F81" s="74" t="n">
        <f aca="false">F80-F79</f>
        <v>1.06379507330631</v>
      </c>
      <c r="G81" s="74" t="n">
        <f aca="false">G80-G79</f>
        <v>1.8436627777047</v>
      </c>
      <c r="H81" s="74" t="n">
        <f aca="false">H80-H79</f>
        <v>2.67032254436698</v>
      </c>
      <c r="I81" s="74" t="n">
        <f aca="false">I80-I79</f>
        <v>3.2724</v>
      </c>
      <c r="J81" s="0" t="s">
        <v>1040</v>
      </c>
    </row>
    <row r="82" customFormat="false" ht="15" hidden="false" customHeight="false" outlineLevel="0" collapsed="false">
      <c r="A82" s="8" t="s">
        <v>1049</v>
      </c>
      <c r="B82" s="8" t="s">
        <v>318</v>
      </c>
      <c r="C82" s="31" t="n">
        <f aca="false">0</f>
        <v>0</v>
      </c>
      <c r="D82" s="31" t="n">
        <f aca="false">D81*D78</f>
        <v>0</v>
      </c>
      <c r="E82" s="31" t="n">
        <f aca="false">E81*E78</f>
        <v>7.79821067639982</v>
      </c>
      <c r="F82" s="31" t="n">
        <f aca="false">F81*F78</f>
        <v>24.7805764627241</v>
      </c>
      <c r="G82" s="31" t="n">
        <f aca="false">G81*G78</f>
        <v>42.0882621373163</v>
      </c>
      <c r="H82" s="31" t="n">
        <f aca="false">H81*H78</f>
        <v>59.7405620299258</v>
      </c>
      <c r="I82" s="31" t="n">
        <f aca="false">I81*I78</f>
        <v>71.7460575266991</v>
      </c>
      <c r="J82" s="0" t="s">
        <v>1040</v>
      </c>
      <c r="K82" s="0" t="s">
        <v>1050</v>
      </c>
    </row>
    <row r="83" customFormat="false" ht="15" hidden="false" customHeight="false" outlineLevel="0" collapsed="false">
      <c r="A83" s="8" t="s">
        <v>1051</v>
      </c>
      <c r="B83" s="8" t="s">
        <v>318</v>
      </c>
      <c r="C83" s="31" t="n">
        <f aca="false">0</f>
        <v>0</v>
      </c>
      <c r="D83" s="31" t="n">
        <f aca="false">D81*(D78-$D$27/$D$29)</f>
        <v>0</v>
      </c>
      <c r="E83" s="31" t="n">
        <f aca="false">E81*(E78-$D$27/$D$29)</f>
        <v>5.99344833733906</v>
      </c>
      <c r="F83" s="31" t="n">
        <f aca="false">F81*(F78-$D$27/$D$29)</f>
        <v>18.9284947015015</v>
      </c>
      <c r="G83" s="31" t="n">
        <f aca="false">G81*(G78-$D$27/$D$29)</f>
        <v>31.9460217886021</v>
      </c>
      <c r="H83" s="31" t="n">
        <f aca="false">H81*(H78-$D$27/$D$29)</f>
        <v>45.0507535784706</v>
      </c>
      <c r="I83" s="31" t="n">
        <f aca="false">I81*(I78-$D$27/$D$29)</f>
        <v>53.7441388903354</v>
      </c>
      <c r="J83" s="0" t="s">
        <v>1040</v>
      </c>
      <c r="K83" s="0" t="s">
        <v>1052</v>
      </c>
    </row>
    <row r="84" customFormat="false" ht="15" hidden="false" customHeight="false" outlineLevel="0" collapsed="false">
      <c r="A84" s="8" t="s">
        <v>1053</v>
      </c>
      <c r="B84" s="8" t="s">
        <v>355</v>
      </c>
      <c r="C84" s="74" t="n">
        <f aca="false">0</f>
        <v>0</v>
      </c>
      <c r="D84" s="74" t="n">
        <f aca="false">D79*(1/$D$28-1/$D$29)</f>
        <v>0.463956872056573</v>
      </c>
      <c r="E84" s="74" t="n">
        <f aca="false">E79*(1/$D$28-1/$D$29)</f>
        <v>0.478636363636363</v>
      </c>
      <c r="F84" s="74" t="n">
        <f aca="false">F79*(1/$D$28-1/$D$29)</f>
        <v>0.478636363636363</v>
      </c>
      <c r="G84" s="74" t="n">
        <f aca="false">G79*(1/$D$28-1/$D$29)</f>
        <v>0.478636363636363</v>
      </c>
      <c r="H84" s="74" t="n">
        <f aca="false">H79*(1/$D$28-1/$D$29)</f>
        <v>0.478636363636363</v>
      </c>
      <c r="I84" s="74" t="n">
        <f aca="false">I79*(1/$D$28-1/$D$29)</f>
        <v>0.478636363636363</v>
      </c>
      <c r="J84" s="0" t="s">
        <v>1040</v>
      </c>
      <c r="K84" s="0" t="s">
        <v>1054</v>
      </c>
    </row>
    <row r="85" customFormat="false" ht="15" hidden="false" customHeight="false" outlineLevel="0" collapsed="false">
      <c r="A85" s="8" t="s">
        <v>1055</v>
      </c>
      <c r="B85" s="8" t="s">
        <v>318</v>
      </c>
      <c r="C85" s="31" t="n">
        <f aca="false">0</f>
        <v>0</v>
      </c>
      <c r="D85" s="31" t="n">
        <f aca="false">D84*$D$27</f>
        <v>2.24601521762587</v>
      </c>
      <c r="E85" s="31" t="n">
        <f aca="false">E84*$D$27</f>
        <v>2.31707863636363</v>
      </c>
      <c r="F85" s="31" t="n">
        <f aca="false">F84*$D$27</f>
        <v>2.31707863636363</v>
      </c>
      <c r="G85" s="31" t="n">
        <f aca="false">G84*$D$27</f>
        <v>2.31707863636363</v>
      </c>
      <c r="H85" s="31" t="n">
        <f aca="false">H84*$D$27</f>
        <v>2.31707863636363</v>
      </c>
      <c r="I85" s="31" t="n">
        <f aca="false">I84*$D$27</f>
        <v>2.31707863636363</v>
      </c>
      <c r="J85" s="0" t="s">
        <v>1040</v>
      </c>
      <c r="K85" s="0" t="s">
        <v>1056</v>
      </c>
    </row>
    <row r="86" customFormat="false" ht="15" hidden="false" customHeight="false" outlineLevel="0" collapsed="false">
      <c r="A86" s="8" t="s">
        <v>986</v>
      </c>
      <c r="B86" s="8" t="s">
        <v>318</v>
      </c>
      <c r="C86" s="31" t="n">
        <f aca="false">0</f>
        <v>0</v>
      </c>
      <c r="D86" s="31" t="n">
        <f aca="false">$F$10</f>
        <v>1.5</v>
      </c>
      <c r="E86" s="31" t="n">
        <f aca="false">$F$10</f>
        <v>1.5</v>
      </c>
      <c r="F86" s="31" t="n">
        <f aca="false">$F$10</f>
        <v>1.5</v>
      </c>
      <c r="G86" s="31" t="n">
        <f aca="false">$F$10</f>
        <v>1.5</v>
      </c>
      <c r="H86" s="31" t="n">
        <f aca="false">$F$10</f>
        <v>1.5</v>
      </c>
      <c r="I86" s="31" t="n">
        <f aca="false">$F$10</f>
        <v>1.5</v>
      </c>
      <c r="J86" s="0" t="s">
        <v>1040</v>
      </c>
    </row>
    <row r="87" customFormat="false" ht="15" hidden="false" customHeight="false" outlineLevel="0" collapsed="false">
      <c r="A87" s="8" t="s">
        <v>1057</v>
      </c>
      <c r="B87" s="8" t="s">
        <v>318</v>
      </c>
      <c r="C87" s="31" t="n">
        <f aca="false">0</f>
        <v>0</v>
      </c>
      <c r="D87" s="31" t="n">
        <f aca="false">-$F$11</f>
        <v>-1.2</v>
      </c>
      <c r="E87" s="31" t="n">
        <f aca="false">-$F$11</f>
        <v>-1.2</v>
      </c>
      <c r="F87" s="31" t="n">
        <f aca="false">-$F$11</f>
        <v>-1.2</v>
      </c>
      <c r="G87" s="31" t="n">
        <f aca="false">-$F$11</f>
        <v>-1.2</v>
      </c>
      <c r="H87" s="31" t="n">
        <f aca="false">-$F$11</f>
        <v>-1.2</v>
      </c>
      <c r="I87" s="31" t="n">
        <f aca="false">-$F$11</f>
        <v>-1.2</v>
      </c>
      <c r="J87" s="0" t="s">
        <v>1040</v>
      </c>
    </row>
    <row r="88" customFormat="false" ht="15" hidden="false" customHeight="false" outlineLevel="0" collapsed="false">
      <c r="A88" s="7" t="s">
        <v>1058</v>
      </c>
      <c r="B88" s="8" t="s">
        <v>318</v>
      </c>
      <c r="C88" s="31" t="n">
        <f aca="false">0</f>
        <v>0</v>
      </c>
      <c r="D88" s="31" t="n">
        <f aca="false">D83+D85+D86+D87</f>
        <v>2.54601521762587</v>
      </c>
      <c r="E88" s="31" t="n">
        <f aca="false">E83+E85+E86+E87</f>
        <v>8.61052697370269</v>
      </c>
      <c r="F88" s="31" t="n">
        <f aca="false">F83+F85+F86+F87</f>
        <v>21.5455733378651</v>
      </c>
      <c r="G88" s="31" t="n">
        <f aca="false">G83+G85+G86+G87</f>
        <v>34.5631004249658</v>
      </c>
      <c r="H88" s="31" t="n">
        <f aca="false">H83+H85+H86+H87</f>
        <v>47.6678322148342</v>
      </c>
      <c r="I88" s="31" t="n">
        <f aca="false">I83+I85+I86+I87</f>
        <v>56.361217526699</v>
      </c>
      <c r="J88" s="0" t="s">
        <v>1040</v>
      </c>
      <c r="K88" s="0" t="s">
        <v>1059</v>
      </c>
    </row>
    <row r="89" customFormat="false" ht="15" hidden="false" customHeight="false" outlineLevel="0" collapsed="false">
      <c r="A89" s="8" t="s">
        <v>1060</v>
      </c>
      <c r="B89" s="8" t="s">
        <v>318</v>
      </c>
      <c r="C89" s="31" t="n">
        <f aca="false">0</f>
        <v>0</v>
      </c>
      <c r="D89" s="31" t="n">
        <f aca="false">IF(D75&lt;=$F$12,($F$19-$F$13)/$F$12,0)</f>
        <v>4.5</v>
      </c>
      <c r="E89" s="31" t="n">
        <f aca="false">IF(E75&lt;=$F$12,($F$19-$F$13)/$F$12,0)</f>
        <v>4.5</v>
      </c>
      <c r="F89" s="31" t="n">
        <f aca="false">IF(F75&lt;=$F$12,($F$19-$F$13)/$F$12,0)</f>
        <v>4.5</v>
      </c>
      <c r="G89" s="31" t="n">
        <f aca="false">IF(G75&lt;=$F$12,($F$19-$F$13)/$F$12,0)</f>
        <v>4.5</v>
      </c>
      <c r="H89" s="31" t="n">
        <f aca="false">IF(H75&lt;=$F$12,($F$19-$F$13)/$F$12,0)</f>
        <v>4.5</v>
      </c>
      <c r="I89" s="31" t="n">
        <f aca="false">IF(I75&lt;=$F$12,($F$19-$F$13)/$F$12,0)</f>
        <v>4.5</v>
      </c>
      <c r="J89" s="0" t="s">
        <v>1040</v>
      </c>
      <c r="K89" s="0" t="s">
        <v>1061</v>
      </c>
    </row>
    <row r="90" customFormat="false" ht="15" hidden="false" customHeight="false" outlineLevel="0" collapsed="false">
      <c r="A90" s="8" t="s">
        <v>1062</v>
      </c>
      <c r="B90" s="8" t="s">
        <v>318</v>
      </c>
      <c r="C90" s="31" t="n">
        <f aca="false">0</f>
        <v>0</v>
      </c>
      <c r="D90" s="31" t="n">
        <f aca="false">D88-D89</f>
        <v>-1.95398478237413</v>
      </c>
      <c r="E90" s="31" t="n">
        <f aca="false">E88-E89</f>
        <v>4.11052697370269</v>
      </c>
      <c r="F90" s="31" t="n">
        <f aca="false">F88-F89</f>
        <v>17.0455733378651</v>
      </c>
      <c r="G90" s="31" t="n">
        <f aca="false">G88-G89</f>
        <v>30.0631004249658</v>
      </c>
      <c r="H90" s="31" t="n">
        <f aca="false">H88-H89</f>
        <v>43.1678322148342</v>
      </c>
      <c r="I90" s="31" t="n">
        <f aca="false">I88-I89</f>
        <v>51.861217526699</v>
      </c>
      <c r="J90" s="0" t="s">
        <v>1040</v>
      </c>
      <c r="K90" s="0" t="s">
        <v>1063</v>
      </c>
    </row>
    <row r="91" customFormat="false" ht="15" hidden="false" customHeight="false" outlineLevel="0" collapsed="false">
      <c r="A91" s="8" t="s">
        <v>1064</v>
      </c>
      <c r="B91" s="8" t="s">
        <v>318</v>
      </c>
      <c r="C91" s="31" t="n">
        <f aca="false">0</f>
        <v>0</v>
      </c>
      <c r="D91" s="31" t="n">
        <f aca="false">D90*$D$30</f>
        <v>-0.351717260827343</v>
      </c>
      <c r="E91" s="31" t="n">
        <f aca="false">E90*$D$30</f>
        <v>0.739894855266484</v>
      </c>
      <c r="F91" s="31" t="n">
        <f aca="false">F90*$D$30</f>
        <v>3.06820320081573</v>
      </c>
      <c r="G91" s="31" t="n">
        <f aca="false">G90*$D$30</f>
        <v>5.41135807649384</v>
      </c>
      <c r="H91" s="31" t="n">
        <f aca="false">H90*$D$30</f>
        <v>7.77020979867016</v>
      </c>
      <c r="I91" s="31" t="n">
        <f aca="false">I90*$D$30</f>
        <v>9.33501915480583</v>
      </c>
      <c r="J91" s="0" t="s">
        <v>1040</v>
      </c>
      <c r="K91" s="0" t="s">
        <v>1065</v>
      </c>
    </row>
    <row r="92" customFormat="false" ht="15" hidden="false" customHeight="false" outlineLevel="0" collapsed="false">
      <c r="A92" s="8" t="s">
        <v>1066</v>
      </c>
      <c r="B92" s="8" t="s">
        <v>318</v>
      </c>
      <c r="C92" s="31" t="n">
        <f aca="false">0</f>
        <v>0</v>
      </c>
      <c r="D92" s="31" t="n">
        <f aca="false">D90-D91</f>
        <v>-1.60226752154679</v>
      </c>
      <c r="E92" s="31" t="n">
        <f aca="false">E90-E91</f>
        <v>3.37063211843621</v>
      </c>
      <c r="F92" s="31" t="n">
        <f aca="false">F90-F91</f>
        <v>13.9773701370494</v>
      </c>
      <c r="G92" s="31" t="n">
        <f aca="false">G90-G91</f>
        <v>24.6517423484719</v>
      </c>
      <c r="H92" s="31" t="n">
        <f aca="false">H90-H91</f>
        <v>35.3976224161641</v>
      </c>
      <c r="I92" s="31" t="n">
        <f aca="false">I90-I91</f>
        <v>42.5261983718932</v>
      </c>
      <c r="J92" s="0" t="s">
        <v>1040</v>
      </c>
      <c r="K92" s="0" t="s">
        <v>1067</v>
      </c>
    </row>
    <row r="93" customFormat="false" ht="15" hidden="false" customHeight="false" outlineLevel="0" collapsed="false">
      <c r="A93" s="8" t="s">
        <v>1068</v>
      </c>
      <c r="B93" s="8" t="s">
        <v>318</v>
      </c>
      <c r="C93" s="31" t="n">
        <f aca="false">0</f>
        <v>0</v>
      </c>
      <c r="D93" s="31" t="n">
        <f aca="false">IF(D75=$F$12,0,D82*$F$20/365)</f>
        <v>0</v>
      </c>
      <c r="E93" s="31" t="n">
        <f aca="false">IF(E75=$F$12,0,E82*$F$20/365)</f>
        <v>1.28189764543559</v>
      </c>
      <c r="F93" s="31" t="n">
        <f aca="false">IF(F75=$F$12,0,F82*$F$20/365)</f>
        <v>4.07351941852999</v>
      </c>
      <c r="G93" s="31" t="n">
        <f aca="false">IF(G75=$F$12,0,G82*$F$20/365)</f>
        <v>6.91861843353144</v>
      </c>
      <c r="H93" s="31" t="n">
        <f aca="false">IF(H75=$F$12,0,H82*$F$20/365)</f>
        <v>9.82036636108369</v>
      </c>
      <c r="I93" s="31" t="n">
        <f aca="false">IF(I75=$F$12,0,I82*$F$20/365)</f>
        <v>0</v>
      </c>
      <c r="J93" s="0" t="s">
        <v>1040</v>
      </c>
      <c r="K93" s="0" t="s">
        <v>1069</v>
      </c>
    </row>
    <row r="94" customFormat="false" ht="15" hidden="false" customHeight="false" outlineLevel="0" collapsed="false">
      <c r="A94" s="8" t="s">
        <v>1070</v>
      </c>
      <c r="B94" s="8" t="s">
        <v>318</v>
      </c>
      <c r="C94" s="31" t="n">
        <f aca="false">0</f>
        <v>0</v>
      </c>
      <c r="D94" s="31" t="n">
        <f aca="false">D93-C93</f>
        <v>0</v>
      </c>
      <c r="E94" s="31" t="n">
        <f aca="false">E93-D93</f>
        <v>1.28189764543559</v>
      </c>
      <c r="F94" s="31" t="n">
        <f aca="false">F93-E93</f>
        <v>2.7916217730944</v>
      </c>
      <c r="G94" s="31" t="n">
        <f aca="false">G93-F93</f>
        <v>2.84509901500145</v>
      </c>
      <c r="H94" s="31" t="n">
        <f aca="false">H93-G93</f>
        <v>2.90174792755225</v>
      </c>
      <c r="I94" s="31" t="n">
        <f aca="false">I93-H93</f>
        <v>-9.82036636108369</v>
      </c>
      <c r="J94" s="0" t="s">
        <v>1040</v>
      </c>
      <c r="K94" s="0" t="s">
        <v>1071</v>
      </c>
    </row>
    <row r="95" customFormat="false" ht="15" hidden="false" customHeight="false" outlineLevel="0" collapsed="false">
      <c r="A95" s="8" t="s">
        <v>1072</v>
      </c>
      <c r="B95" s="8" t="s">
        <v>318</v>
      </c>
      <c r="C95" s="31" t="n">
        <f aca="false">-$F$19</f>
        <v>-27</v>
      </c>
      <c r="D95" s="31" t="n">
        <f aca="false">IF(D75=$F$12,$F$13,0)</f>
        <v>0</v>
      </c>
      <c r="E95" s="31" t="n">
        <f aca="false">IF(E75=$F$12,$F$13,0)</f>
        <v>0</v>
      </c>
      <c r="F95" s="31" t="n">
        <f aca="false">IF(F75=$F$12,$F$13,0)</f>
        <v>0</v>
      </c>
      <c r="G95" s="31" t="n">
        <f aca="false">IF(G75=$F$12,$F$13,0)</f>
        <v>0</v>
      </c>
      <c r="H95" s="31" t="n">
        <f aca="false">IF(H75=$F$12,$F$13,0)</f>
        <v>0</v>
      </c>
      <c r="I95" s="31" t="n">
        <f aca="false">IF(I75=$F$12,$F$13,0)</f>
        <v>0</v>
      </c>
      <c r="J95" s="0" t="s">
        <v>1040</v>
      </c>
      <c r="K95" s="0" t="s">
        <v>1073</v>
      </c>
    </row>
    <row r="96" customFormat="false" ht="15" hidden="false" customHeight="false" outlineLevel="0" collapsed="false">
      <c r="A96" s="45" t="s">
        <v>1074</v>
      </c>
      <c r="B96" s="46" t="s">
        <v>318</v>
      </c>
      <c r="C96" s="64" t="n">
        <f aca="false">C92+C89-C94+C95</f>
        <v>-27</v>
      </c>
      <c r="D96" s="64" t="n">
        <f aca="false">D92+D89-D94+D95</f>
        <v>2.89773247845322</v>
      </c>
      <c r="E96" s="64" t="n">
        <f aca="false">E92+E89-E94+E95</f>
        <v>6.58873447300062</v>
      </c>
      <c r="F96" s="64" t="n">
        <f aca="false">F92+F89-F94+F95</f>
        <v>15.685748363955</v>
      </c>
      <c r="G96" s="64" t="n">
        <f aca="false">G92+G89-G94+G95</f>
        <v>26.3066433334705</v>
      </c>
      <c r="H96" s="64" t="n">
        <f aca="false">H92+H89-H94+H95</f>
        <v>36.9958744886118</v>
      </c>
      <c r="I96" s="64" t="n">
        <f aca="false">I92+I89-I94+I95</f>
        <v>56.8465647329769</v>
      </c>
      <c r="J96" s="0" t="s">
        <v>1040</v>
      </c>
      <c r="K96" s="0" t="s">
        <v>1075</v>
      </c>
    </row>
    <row r="97" customFormat="false" ht="15" hidden="false" customHeight="false" outlineLevel="0" collapsed="false">
      <c r="A97" s="8" t="s">
        <v>1076</v>
      </c>
      <c r="B97" s="8" t="s">
        <v>644</v>
      </c>
      <c r="C97" s="86" t="n">
        <f aca="false">1/(1+$F$16)^C75</f>
        <v>1</v>
      </c>
      <c r="D97" s="86" t="n">
        <f aca="false">1/(1+$F$16)^D75</f>
        <v>0.91743119266055</v>
      </c>
      <c r="E97" s="86" t="n">
        <f aca="false">1/(1+$F$16)^E75</f>
        <v>0.84167999326656</v>
      </c>
      <c r="F97" s="86" t="n">
        <f aca="false">1/(1+$F$16)^F75</f>
        <v>0.772183480061064</v>
      </c>
      <c r="G97" s="86" t="n">
        <f aca="false">1/(1+$F$16)^G75</f>
        <v>0.708425211065196</v>
      </c>
      <c r="H97" s="86" t="n">
        <f aca="false">1/(1+$F$16)^H75</f>
        <v>0.649931386298345</v>
      </c>
      <c r="I97" s="86" t="n">
        <f aca="false">1/(1+$F$16)^I75</f>
        <v>0.596267326879216</v>
      </c>
      <c r="J97" s="0" t="s">
        <v>1040</v>
      </c>
      <c r="K97" s="0" t="s">
        <v>1077</v>
      </c>
    </row>
    <row r="98" customFormat="false" ht="15" hidden="false" customHeight="false" outlineLevel="0" collapsed="false">
      <c r="A98" s="8" t="s">
        <v>1078</v>
      </c>
      <c r="B98" s="8" t="s">
        <v>318</v>
      </c>
      <c r="C98" s="31" t="n">
        <f aca="false">C96*C97</f>
        <v>-27</v>
      </c>
      <c r="D98" s="31" t="n">
        <f aca="false">D96*D97</f>
        <v>2.65847016371855</v>
      </c>
      <c r="E98" s="31" t="n">
        <f aca="false">E96*E97</f>
        <v>5.54560598687031</v>
      </c>
      <c r="F98" s="31" t="n">
        <f aca="false">F96*F97</f>
        <v>12.1122757590409</v>
      </c>
      <c r="G98" s="31" t="n">
        <f aca="false">G96*G97</f>
        <v>18.6362893559307</v>
      </c>
      <c r="H98" s="31" t="n">
        <f aca="false">H96*H97</f>
        <v>24.0447799937031</v>
      </c>
      <c r="I98" s="31" t="n">
        <f aca="false">I96*I97</f>
        <v>33.8957491955984</v>
      </c>
      <c r="J98" s="0" t="s">
        <v>1040</v>
      </c>
      <c r="K98" s="0" t="s">
        <v>1079</v>
      </c>
    </row>
    <row r="99" customFormat="false" ht="15" hidden="false" customHeight="false" outlineLevel="0" collapsed="false">
      <c r="A99" s="8" t="s">
        <v>812</v>
      </c>
      <c r="B99" s="8" t="s">
        <v>318</v>
      </c>
      <c r="C99" s="31" t="n">
        <f aca="false">C96</f>
        <v>-27</v>
      </c>
      <c r="D99" s="31" t="n">
        <f aca="false">C99+D96</f>
        <v>-24.1022675215468</v>
      </c>
      <c r="E99" s="31" t="n">
        <f aca="false">D99+E96</f>
        <v>-17.5135330485462</v>
      </c>
      <c r="F99" s="31" t="n">
        <f aca="false">E99+F96</f>
        <v>-1.82778468459115</v>
      </c>
      <c r="G99" s="31" t="n">
        <f aca="false">F99+G96</f>
        <v>24.4788586488793</v>
      </c>
      <c r="H99" s="31" t="n">
        <f aca="false">G99+H96</f>
        <v>61.4747331374912</v>
      </c>
      <c r="I99" s="31" t="n">
        <f aca="false">H99+I96</f>
        <v>118.321297870468</v>
      </c>
      <c r="J99" s="0" t="s">
        <v>1040</v>
      </c>
      <c r="K99" s="0" t="s">
        <v>1080</v>
      </c>
    </row>
    <row r="100" customFormat="false" ht="15" hidden="false" customHeight="false" outlineLevel="0" collapsed="false">
      <c r="A100" s="8" t="s">
        <v>1081</v>
      </c>
      <c r="B100" s="8" t="s">
        <v>992</v>
      </c>
      <c r="C100" s="56" t="n">
        <f aca="false">0</f>
        <v>0</v>
      </c>
      <c r="D100" s="56" t="n">
        <f aca="false">IF(AND(C99&lt;0,D99&gt;=0),C75+(-C99)/D96,0)</f>
        <v>0</v>
      </c>
      <c r="E100" s="56" t="n">
        <f aca="false">IF(AND(D99&lt;0,E99&gt;=0),D75+(-D99)/E96,0)</f>
        <v>0</v>
      </c>
      <c r="F100" s="56" t="n">
        <f aca="false">IF(AND(E99&lt;0,F99&gt;=0),E75+(-E99)/F96,0)</f>
        <v>0</v>
      </c>
      <c r="G100" s="56" t="n">
        <f aca="false">IF(AND(F99&lt;0,G99&gt;=0),F75+(-F99)/G96,0)</f>
        <v>3.06947996600789</v>
      </c>
      <c r="H100" s="56" t="n">
        <f aca="false">IF(AND(G99&lt;0,H99&gt;=0),G75+(-G99)/H96,0)</f>
        <v>0</v>
      </c>
      <c r="I100" s="56" t="n">
        <f aca="false">IF(AND(H99&lt;0,I99&gt;=0),H75+(-H99)/I96,0)</f>
        <v>0</v>
      </c>
      <c r="J100" s="0" t="s">
        <v>1040</v>
      </c>
      <c r="K100" s="0" t="s">
        <v>1082</v>
      </c>
    </row>
    <row r="101" customFormat="false" ht="15" hidden="false" customHeight="false" outlineLevel="0" collapsed="false">
      <c r="A101" s="8" t="s">
        <v>1083</v>
      </c>
      <c r="B101" s="8" t="s">
        <v>318</v>
      </c>
      <c r="C101" s="31" t="n">
        <f aca="false">0</f>
        <v>0</v>
      </c>
      <c r="D101" s="31" t="n">
        <f aca="false">D83*(1-$D$30)-((IF(D75=$F$12,0,D82*$F$20/365))-(0))</f>
        <v>0</v>
      </c>
      <c r="E101" s="31" t="n">
        <f aca="false">E83*(1-$D$30)-((IF(E75=$F$12,0,E82*$F$20/365))-(IF(D75=$F$12,0,D82*$F$20/365)))</f>
        <v>3.63272999118244</v>
      </c>
      <c r="F101" s="31" t="n">
        <f aca="false">F83*(1-$D$30)-((IF(F75=$F$12,0,F82*$F$20/365))-(IF(E75=$F$12,0,E82*$F$20/365)))</f>
        <v>12.7297438821368</v>
      </c>
      <c r="G101" s="31" t="n">
        <f aca="false">G83*(1-$D$30)-((IF(G75=$F$12,0,G82*$F$20/365))-(IF(F75=$F$12,0,F82*$F$20/365)))</f>
        <v>23.3506388516523</v>
      </c>
      <c r="H101" s="31" t="n">
        <f aca="false">H83*(1-$D$30)-((IF(H75=$F$12,0,H82*$F$20/365))-(IF(G75=$F$12,0,G82*$F$20/365)))</f>
        <v>34.0398700067937</v>
      </c>
      <c r="I101" s="31" t="n">
        <f aca="false">I83*(1-$D$30)-((IF(I75=$F$12,0,I82*$F$20/365))-(IF(H75=$F$12,0,H82*$F$20/365)))</f>
        <v>53.8905602511587</v>
      </c>
      <c r="J101" s="0" t="s">
        <v>1040</v>
      </c>
      <c r="K101" s="0" t="s">
        <v>1084</v>
      </c>
    </row>
    <row r="102" customFormat="false" ht="15" hidden="false" customHeight="false" outlineLevel="0" collapsed="false">
      <c r="A102" s="8" t="s">
        <v>1085</v>
      </c>
      <c r="B102" s="8" t="s">
        <v>318</v>
      </c>
      <c r="C102" s="31" t="n">
        <f aca="false">0</f>
        <v>0</v>
      </c>
      <c r="D102" s="31" t="n">
        <f aca="false">$D$33*(D78-$D$27/$D$29)*(1-$D$30)-((IF(D75=$F$12,0,$D$33*D78*$F$20/365))-(0))</f>
        <v>36.0868302246575</v>
      </c>
      <c r="E102" s="31" t="n">
        <f aca="false">$D$33*(E78-$D$27/$D$29)*(1-$D$30)-((IF(E75=$F$12,0,$D$33*E78*$F$20/365))-(IF(D75=$F$12,0,$D$33*D78*$F$20/365)))</f>
        <v>47.7104875555069</v>
      </c>
      <c r="F102" s="31" t="n">
        <f aca="false">$D$33*(F78-$D$27/$D$29)*(1-$D$30)-((IF(F75=$F$12,0,$D$33*F78*$F$20/365))-(IF(E75=$F$12,0,$D$33*E78*$F$20/365)))</f>
        <v>46.4704651643967</v>
      </c>
      <c r="G102" s="31" t="n">
        <f aca="false">$D$33*(G78-$D$27/$D$29)*(1-$D$30)-((IF(G75=$F$12,0,$D$33*G78*$F$20/365))-(IF(F75=$F$12,0,$D$33*F78*$F$20/365)))</f>
        <v>45.2552432211088</v>
      </c>
      <c r="H102" s="31" t="n">
        <f aca="false">$D$33*(H78-$D$27/$D$29)*(1-$D$30)-((IF(H75=$F$12,0,$D$33*H78*$F$20/365))-(IF(G75=$F$12,0,$D$33*G78*$F$20/365)))</f>
        <v>44.0643257166866</v>
      </c>
      <c r="I102" s="31" t="n">
        <f aca="false">$D$33*(I78-$D$27/$D$29)*(1-$D$30)-((IF(I75=$F$12,0,$D$33*I78*$F$20/365))-(IF(H75=$F$12,0,$D$33*H78*$F$20/365)))</f>
        <v>54.3148368744818</v>
      </c>
      <c r="J102" s="0" t="s">
        <v>1040</v>
      </c>
      <c r="K102" s="0" t="s">
        <v>1086</v>
      </c>
    </row>
    <row r="103" customFormat="false" ht="15" hidden="false" customHeight="false" outlineLevel="0" collapsed="false">
      <c r="A103" s="7" t="s">
        <v>1087</v>
      </c>
      <c r="F103" s="43" t="n">
        <f aca="false">C96+NPV($F$16,D96:I96)</f>
        <v>69.893170454862</v>
      </c>
      <c r="J103" s="0" t="s">
        <v>146</v>
      </c>
      <c r="K103" s="0" t="s">
        <v>1088</v>
      </c>
    </row>
    <row r="104" customFormat="false" ht="15" hidden="false" customHeight="false" outlineLevel="0" collapsed="false">
      <c r="A104" s="7" t="s">
        <v>1089</v>
      </c>
      <c r="F104" s="59" t="n">
        <f aca="false">IFERROR(IRR(C96:I96),"n.m.")</f>
        <v>0.464730571316749</v>
      </c>
      <c r="J104" s="0" t="s">
        <v>146</v>
      </c>
      <c r="K104" s="0" t="s">
        <v>1090</v>
      </c>
    </row>
    <row r="105" customFormat="false" ht="15" hidden="false" customHeight="false" outlineLevel="0" collapsed="false">
      <c r="A105" s="7" t="s">
        <v>1091</v>
      </c>
      <c r="F105" s="87" t="n">
        <f aca="false">IF(SUM(D100:I100)=0,"Not within life",SUM(D100:I100))</f>
        <v>3.06947996600789</v>
      </c>
      <c r="J105" s="0" t="s">
        <v>146</v>
      </c>
      <c r="K105" s="0" t="s">
        <v>1092</v>
      </c>
    </row>
    <row r="106" customFormat="false" ht="15" hidden="false" customHeight="false" outlineLevel="0" collapsed="false">
      <c r="A106" s="7" t="s">
        <v>1093</v>
      </c>
      <c r="F106" s="43" t="n">
        <f aca="false">F103-SUMPRODUCT(D101:I101,D97:I97)</f>
        <v>-13.7930650957517</v>
      </c>
      <c r="J106" s="0" t="s">
        <v>146</v>
      </c>
      <c r="K106" s="0" t="s">
        <v>1094</v>
      </c>
    </row>
    <row r="107" customFormat="false" ht="15" hidden="false" customHeight="false" outlineLevel="0" collapsed="false">
      <c r="A107" s="7" t="s">
        <v>1095</v>
      </c>
      <c r="F107" s="43" t="n">
        <f aca="false">SUMPRODUCT(D102:I102,D97:I97)</f>
        <v>202.232778170607</v>
      </c>
      <c r="J107" s="0" t="s">
        <v>146</v>
      </c>
      <c r="K107" s="0" t="s">
        <v>1096</v>
      </c>
    </row>
    <row r="108" customFormat="false" ht="15" hidden="false" customHeight="false" outlineLevel="0" collapsed="false">
      <c r="A108" s="7" t="s">
        <v>1097</v>
      </c>
      <c r="F108" s="59" t="n">
        <f aca="false">IF(F106&gt;=0,0,IFERROR(-F106/F107,"n.m."))</f>
        <v>0.0682039045328038</v>
      </c>
      <c r="J108" s="0" t="s">
        <v>146</v>
      </c>
      <c r="K108" s="0" t="s">
        <v>1098</v>
      </c>
    </row>
    <row r="109" customFormat="false" ht="15" hidden="false" customHeight="false" outlineLevel="0" collapsed="false">
      <c r="A109" s="7" t="s">
        <v>1099</v>
      </c>
      <c r="F109" s="59" t="n">
        <f aca="false">IFERROR(SUM(D81:I81)/($D$33*$F$12),0)</f>
        <v>0.482862543100372</v>
      </c>
      <c r="J109" s="0" t="s">
        <v>146</v>
      </c>
      <c r="K109" s="0" t="s">
        <v>1100</v>
      </c>
    </row>
    <row r="111" customFormat="false" ht="15" hidden="false" customHeight="false" outlineLevel="0" collapsed="false">
      <c r="A111" s="16" t="s">
        <v>1102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</row>
    <row r="112" customFormat="false" ht="15" hidden="false" customHeight="false" outlineLevel="0" collapsed="false">
      <c r="A112" s="18" t="s">
        <v>868</v>
      </c>
      <c r="B112" s="19" t="s">
        <v>279</v>
      </c>
      <c r="C112" s="19" t="s">
        <v>1031</v>
      </c>
      <c r="D112" s="19" t="s">
        <v>1032</v>
      </c>
      <c r="E112" s="19" t="s">
        <v>1033</v>
      </c>
      <c r="F112" s="19" t="s">
        <v>1034</v>
      </c>
      <c r="G112" s="19" t="s">
        <v>1035</v>
      </c>
      <c r="H112" s="19" t="s">
        <v>1036</v>
      </c>
      <c r="I112" s="19" t="s">
        <v>1037</v>
      </c>
      <c r="J112" s="19" t="s">
        <v>100</v>
      </c>
      <c r="K112" s="19" t="s">
        <v>680</v>
      </c>
    </row>
    <row r="113" customFormat="false" ht="15" hidden="false" customHeight="false" outlineLevel="0" collapsed="false">
      <c r="A113" s="8" t="s">
        <v>1038</v>
      </c>
      <c r="B113" s="8" t="s">
        <v>1039</v>
      </c>
      <c r="C113" s="83" t="n">
        <f aca="false">0</f>
        <v>0</v>
      </c>
      <c r="D113" s="83" t="n">
        <f aca="false">1</f>
        <v>1</v>
      </c>
      <c r="E113" s="83" t="n">
        <f aca="false">2</f>
        <v>2</v>
      </c>
      <c r="F113" s="83" t="n">
        <f aca="false">3</f>
        <v>3</v>
      </c>
      <c r="G113" s="83" t="n">
        <f aca="false">4</f>
        <v>4</v>
      </c>
      <c r="H113" s="83" t="n">
        <f aca="false">5</f>
        <v>5</v>
      </c>
      <c r="I113" s="83" t="n">
        <f aca="false">6</f>
        <v>6</v>
      </c>
      <c r="J113" s="0" t="s">
        <v>1040</v>
      </c>
    </row>
    <row r="114" customFormat="false" ht="15" hidden="false" customHeight="false" outlineLevel="0" collapsed="false">
      <c r="A114" s="8" t="s">
        <v>1041</v>
      </c>
      <c r="B114" s="8"/>
      <c r="C114" s="84" t="str">
        <f aca="false">"FY"&amp;(2027+C113)</f>
        <v>FY2027</v>
      </c>
      <c r="D114" s="84" t="str">
        <f aca="false">"FY"&amp;(2027+D113)</f>
        <v>FY2028</v>
      </c>
      <c r="E114" s="84" t="str">
        <f aca="false">"FY"&amp;(2027+E113)</f>
        <v>FY2029</v>
      </c>
      <c r="F114" s="84" t="str">
        <f aca="false">"FY"&amp;(2027+F113)</f>
        <v>FY2030</v>
      </c>
      <c r="G114" s="84" t="str">
        <f aca="false">"FY"&amp;(2027+G113)</f>
        <v>FY2031</v>
      </c>
      <c r="H114" s="84" t="str">
        <f aca="false">"FY"&amp;(2027+H113)</f>
        <v>FY2032</v>
      </c>
      <c r="I114" s="84" t="str">
        <f aca="false">"FY"&amp;(2027+I113)</f>
        <v>FY2033</v>
      </c>
      <c r="J114" s="0" t="s">
        <v>1040</v>
      </c>
    </row>
    <row r="115" customFormat="false" ht="15" hidden="false" customHeight="false" outlineLevel="0" collapsed="false">
      <c r="A115" s="8" t="s">
        <v>1042</v>
      </c>
      <c r="B115" s="8" t="s">
        <v>355</v>
      </c>
      <c r="C115" s="74" t="n">
        <f aca="false">0</f>
        <v>0</v>
      </c>
      <c r="D115" s="74" t="n">
        <f aca="false">$E$25*(1+$E$24)^D113</f>
        <v>12.9648808639749</v>
      </c>
      <c r="E115" s="74" t="n">
        <f aca="false">$E$25*(1+$E$24)^E113</f>
        <v>14.2613689503724</v>
      </c>
      <c r="F115" s="74" t="n">
        <f aca="false">$E$25*(1+$E$24)^F113</f>
        <v>15.6875058454096</v>
      </c>
      <c r="G115" s="74" t="n">
        <f aca="false">$E$25*(1+$E$24)^G113</f>
        <v>17.2562564299506</v>
      </c>
      <c r="H115" s="74" t="n">
        <f aca="false">$E$25*(1+$E$24)^H113</f>
        <v>18.9818820729456</v>
      </c>
      <c r="I115" s="74" t="n">
        <f aca="false">$E$25*(1+$E$24)^I113</f>
        <v>20.8800702802402</v>
      </c>
      <c r="J115" s="0" t="s">
        <v>1040</v>
      </c>
    </row>
    <row r="116" customFormat="false" ht="15" hidden="false" customHeight="false" outlineLevel="0" collapsed="false">
      <c r="A116" s="8" t="s">
        <v>1043</v>
      </c>
      <c r="B116" s="8" t="s">
        <v>336</v>
      </c>
      <c r="C116" s="85" t="n">
        <f aca="false">0</f>
        <v>0</v>
      </c>
      <c r="D116" s="85" t="n">
        <f aca="false">$E$26*(1-$F$15)^D113</f>
        <v>24.745</v>
      </c>
      <c r="E116" s="85" t="n">
        <f aca="false">$E$26*(1-$F$15)^E113</f>
        <v>24.2501</v>
      </c>
      <c r="F116" s="85" t="n">
        <f aca="false">$E$26*(1-$F$15)^F113</f>
        <v>23.765098</v>
      </c>
      <c r="G116" s="85" t="n">
        <f aca="false">$E$26*(1-$F$15)^G113</f>
        <v>23.28979604</v>
      </c>
      <c r="H116" s="85" t="n">
        <f aca="false">$E$26*(1-$F$15)^H113</f>
        <v>22.8240001192</v>
      </c>
      <c r="I116" s="85" t="n">
        <f aca="false">$E$26*(1-$F$15)^I113</f>
        <v>22.367520116816</v>
      </c>
      <c r="J116" s="0" t="s">
        <v>1040</v>
      </c>
    </row>
    <row r="117" customFormat="false" ht="15" hidden="false" customHeight="false" outlineLevel="0" collapsed="false">
      <c r="A117" s="8" t="s">
        <v>1044</v>
      </c>
      <c r="B117" s="8" t="s">
        <v>355</v>
      </c>
      <c r="C117" s="74" t="n">
        <f aca="false">0</f>
        <v>0</v>
      </c>
      <c r="D117" s="74" t="n">
        <f aca="false">MIN(D115,$E$31)</f>
        <v>12.0744</v>
      </c>
      <c r="E117" s="74" t="n">
        <f aca="false">MIN(E115,$E$31)</f>
        <v>12.0744</v>
      </c>
      <c r="F117" s="74" t="n">
        <f aca="false">MIN(F115,$E$31)</f>
        <v>12.0744</v>
      </c>
      <c r="G117" s="74" t="n">
        <f aca="false">MIN(G115,$E$31)</f>
        <v>12.0744</v>
      </c>
      <c r="H117" s="74" t="n">
        <f aca="false">MIN(H115,$E$31)</f>
        <v>12.0744</v>
      </c>
      <c r="I117" s="74" t="n">
        <f aca="false">MIN(I115,$E$31)</f>
        <v>12.0744</v>
      </c>
      <c r="J117" s="0" t="s">
        <v>1040</v>
      </c>
      <c r="K117" s="0" t="s">
        <v>1045</v>
      </c>
    </row>
    <row r="118" customFormat="false" ht="15" hidden="false" customHeight="false" outlineLevel="0" collapsed="false">
      <c r="A118" s="8" t="s">
        <v>1046</v>
      </c>
      <c r="B118" s="8" t="s">
        <v>355</v>
      </c>
      <c r="C118" s="74" t="n">
        <f aca="false">0</f>
        <v>0</v>
      </c>
      <c r="D118" s="74" t="n">
        <f aca="false">MIN(D115,$E$32)</f>
        <v>12.9648808639749</v>
      </c>
      <c r="E118" s="74" t="n">
        <f aca="false">MIN(E115,$E$32)</f>
        <v>14.2613689503724</v>
      </c>
      <c r="F118" s="74" t="n">
        <f aca="false">MIN(F115,$E$32)</f>
        <v>15.3792</v>
      </c>
      <c r="G118" s="74" t="n">
        <f aca="false">MIN(G115,$E$32)</f>
        <v>15.3792</v>
      </c>
      <c r="H118" s="74" t="n">
        <f aca="false">MIN(H115,$E$32)</f>
        <v>15.3792</v>
      </c>
      <c r="I118" s="74" t="n">
        <f aca="false">MIN(I115,$E$32)</f>
        <v>15.3792</v>
      </c>
      <c r="J118" s="0" t="s">
        <v>1040</v>
      </c>
      <c r="K118" s="0" t="s">
        <v>1047</v>
      </c>
    </row>
    <row r="119" customFormat="false" ht="15" hidden="false" customHeight="false" outlineLevel="0" collapsed="false">
      <c r="A119" s="8" t="s">
        <v>1048</v>
      </c>
      <c r="B119" s="8" t="s">
        <v>355</v>
      </c>
      <c r="C119" s="74" t="n">
        <f aca="false">0</f>
        <v>0</v>
      </c>
      <c r="D119" s="74" t="n">
        <f aca="false">D118-D117</f>
        <v>0.890480863974878</v>
      </c>
      <c r="E119" s="74" t="n">
        <f aca="false">E118-E117</f>
        <v>2.18696895037237</v>
      </c>
      <c r="F119" s="74" t="n">
        <f aca="false">F118-F117</f>
        <v>3.3048</v>
      </c>
      <c r="G119" s="74" t="n">
        <f aca="false">G118-G117</f>
        <v>3.3048</v>
      </c>
      <c r="H119" s="74" t="n">
        <f aca="false">H118-H117</f>
        <v>3.3048</v>
      </c>
      <c r="I119" s="74" t="n">
        <f aca="false">I118-I117</f>
        <v>3.3048</v>
      </c>
      <c r="J119" s="0" t="s">
        <v>1040</v>
      </c>
    </row>
    <row r="120" customFormat="false" ht="15" hidden="false" customHeight="false" outlineLevel="0" collapsed="false">
      <c r="A120" s="8" t="s">
        <v>1049</v>
      </c>
      <c r="B120" s="8" t="s">
        <v>318</v>
      </c>
      <c r="C120" s="31" t="n">
        <f aca="false">0</f>
        <v>0</v>
      </c>
      <c r="D120" s="31" t="n">
        <f aca="false">D119*D116</f>
        <v>22.0349489790583</v>
      </c>
      <c r="E120" s="31" t="n">
        <f aca="false">E119*E116</f>
        <v>53.0342157434249</v>
      </c>
      <c r="F120" s="31" t="n">
        <f aca="false">F119*F116</f>
        <v>78.5388958704001</v>
      </c>
      <c r="G120" s="31" t="n">
        <f aca="false">G119*G116</f>
        <v>76.9681179529921</v>
      </c>
      <c r="H120" s="31" t="n">
        <f aca="false">H119*H116</f>
        <v>75.4287555939322</v>
      </c>
      <c r="I120" s="31" t="n">
        <f aca="false">I119*I116</f>
        <v>73.9201804820536</v>
      </c>
      <c r="J120" s="0" t="s">
        <v>1040</v>
      </c>
      <c r="K120" s="0" t="s">
        <v>1050</v>
      </c>
    </row>
    <row r="121" customFormat="false" ht="15" hidden="false" customHeight="false" outlineLevel="0" collapsed="false">
      <c r="A121" s="8" t="s">
        <v>1051</v>
      </c>
      <c r="B121" s="8" t="s">
        <v>318</v>
      </c>
      <c r="C121" s="31" t="n">
        <f aca="false">0</f>
        <v>0</v>
      </c>
      <c r="D121" s="31" t="n">
        <f aca="false">D119*(D116-$E$27/$E$29)</f>
        <v>17.2853841910935</v>
      </c>
      <c r="E121" s="31" t="n">
        <f aca="false">E119*(E116-$E$27/$E$29)</f>
        <v>41.3695622519444</v>
      </c>
      <c r="F121" s="31" t="n">
        <f aca="false">F119*(F116-$E$27/$E$29)</f>
        <v>60.9120581175911</v>
      </c>
      <c r="G121" s="31" t="n">
        <f aca="false">G119*(G116-$E$27/$E$29)</f>
        <v>59.3412802001831</v>
      </c>
      <c r="H121" s="31" t="n">
        <f aca="false">H119*(H116-$E$27/$E$29)</f>
        <v>57.8019178411232</v>
      </c>
      <c r="I121" s="31" t="n">
        <f aca="false">I119*(I116-$E$27/$E$29)</f>
        <v>56.2933427292446</v>
      </c>
      <c r="J121" s="0" t="s">
        <v>1040</v>
      </c>
      <c r="K121" s="0" t="s">
        <v>1052</v>
      </c>
    </row>
    <row r="122" customFormat="false" ht="15" hidden="false" customHeight="false" outlineLevel="0" collapsed="false">
      <c r="A122" s="8" t="s">
        <v>1053</v>
      </c>
      <c r="B122" s="8" t="s">
        <v>355</v>
      </c>
      <c r="C122" s="74" t="n">
        <f aca="false">0</f>
        <v>0</v>
      </c>
      <c r="D122" s="74" t="n">
        <f aca="false">D117*(1/$E$28-1/$E$29)</f>
        <v>0.473258426966292</v>
      </c>
      <c r="E122" s="74" t="n">
        <f aca="false">E117*(1/$E$28-1/$E$29)</f>
        <v>0.473258426966292</v>
      </c>
      <c r="F122" s="74" t="n">
        <f aca="false">F117*(1/$E$28-1/$E$29)</f>
        <v>0.473258426966292</v>
      </c>
      <c r="G122" s="74" t="n">
        <f aca="false">G117*(1/$E$28-1/$E$29)</f>
        <v>0.473258426966292</v>
      </c>
      <c r="H122" s="74" t="n">
        <f aca="false">H117*(1/$E$28-1/$E$29)</f>
        <v>0.473258426966292</v>
      </c>
      <c r="I122" s="74" t="n">
        <f aca="false">I117*(1/$E$28-1/$E$29)</f>
        <v>0.473258426966292</v>
      </c>
      <c r="J122" s="0" t="s">
        <v>1040</v>
      </c>
      <c r="K122" s="0" t="s">
        <v>1054</v>
      </c>
    </row>
    <row r="123" customFormat="false" ht="15" hidden="false" customHeight="false" outlineLevel="0" collapsed="false">
      <c r="A123" s="8" t="s">
        <v>1055</v>
      </c>
      <c r="B123" s="8" t="s">
        <v>318</v>
      </c>
      <c r="C123" s="31" t="n">
        <f aca="false">0</f>
        <v>0</v>
      </c>
      <c r="D123" s="31" t="n">
        <f aca="false">D122*$E$27</f>
        <v>2.24655775280899</v>
      </c>
      <c r="E123" s="31" t="n">
        <f aca="false">E122*$E$27</f>
        <v>2.24655775280899</v>
      </c>
      <c r="F123" s="31" t="n">
        <f aca="false">F122*$E$27</f>
        <v>2.24655775280899</v>
      </c>
      <c r="G123" s="31" t="n">
        <f aca="false">G122*$E$27</f>
        <v>2.24655775280899</v>
      </c>
      <c r="H123" s="31" t="n">
        <f aca="false">H122*$E$27</f>
        <v>2.24655775280899</v>
      </c>
      <c r="I123" s="31" t="n">
        <f aca="false">I122*$E$27</f>
        <v>2.24655775280899</v>
      </c>
      <c r="J123" s="0" t="s">
        <v>1040</v>
      </c>
      <c r="K123" s="0" t="s">
        <v>1056</v>
      </c>
    </row>
    <row r="124" customFormat="false" ht="15" hidden="false" customHeight="false" outlineLevel="0" collapsed="false">
      <c r="A124" s="8" t="s">
        <v>986</v>
      </c>
      <c r="B124" s="8" t="s">
        <v>318</v>
      </c>
      <c r="C124" s="31" t="n">
        <f aca="false">0</f>
        <v>0</v>
      </c>
      <c r="D124" s="31" t="n">
        <f aca="false">$F$10</f>
        <v>1.5</v>
      </c>
      <c r="E124" s="31" t="n">
        <f aca="false">$F$10</f>
        <v>1.5</v>
      </c>
      <c r="F124" s="31" t="n">
        <f aca="false">$F$10</f>
        <v>1.5</v>
      </c>
      <c r="G124" s="31" t="n">
        <f aca="false">$F$10</f>
        <v>1.5</v>
      </c>
      <c r="H124" s="31" t="n">
        <f aca="false">$F$10</f>
        <v>1.5</v>
      </c>
      <c r="I124" s="31" t="n">
        <f aca="false">$F$10</f>
        <v>1.5</v>
      </c>
      <c r="J124" s="0" t="s">
        <v>1040</v>
      </c>
    </row>
    <row r="125" customFormat="false" ht="15" hidden="false" customHeight="false" outlineLevel="0" collapsed="false">
      <c r="A125" s="8" t="s">
        <v>1057</v>
      </c>
      <c r="B125" s="8" t="s">
        <v>318</v>
      </c>
      <c r="C125" s="31" t="n">
        <f aca="false">0</f>
        <v>0</v>
      </c>
      <c r="D125" s="31" t="n">
        <f aca="false">-$F$11</f>
        <v>-1.2</v>
      </c>
      <c r="E125" s="31" t="n">
        <f aca="false">-$F$11</f>
        <v>-1.2</v>
      </c>
      <c r="F125" s="31" t="n">
        <f aca="false">-$F$11</f>
        <v>-1.2</v>
      </c>
      <c r="G125" s="31" t="n">
        <f aca="false">-$F$11</f>
        <v>-1.2</v>
      </c>
      <c r="H125" s="31" t="n">
        <f aca="false">-$F$11</f>
        <v>-1.2</v>
      </c>
      <c r="I125" s="31" t="n">
        <f aca="false">-$F$11</f>
        <v>-1.2</v>
      </c>
      <c r="J125" s="0" t="s">
        <v>1040</v>
      </c>
    </row>
    <row r="126" customFormat="false" ht="15" hidden="false" customHeight="false" outlineLevel="0" collapsed="false">
      <c r="A126" s="7" t="s">
        <v>1058</v>
      </c>
      <c r="B126" s="8" t="s">
        <v>318</v>
      </c>
      <c r="C126" s="31" t="n">
        <f aca="false">0</f>
        <v>0</v>
      </c>
      <c r="D126" s="31" t="n">
        <f aca="false">D121+D123+D124+D125</f>
        <v>19.8319419439025</v>
      </c>
      <c r="E126" s="31" t="n">
        <f aca="false">E121+E123+E124+E125</f>
        <v>43.9161200047534</v>
      </c>
      <c r="F126" s="31" t="n">
        <f aca="false">F121+F123+F124+F125</f>
        <v>63.4586158704001</v>
      </c>
      <c r="G126" s="31" t="n">
        <f aca="false">G121+G123+G124+G125</f>
        <v>61.8878379529921</v>
      </c>
      <c r="H126" s="31" t="n">
        <f aca="false">H121+H123+H124+H125</f>
        <v>60.3484755939322</v>
      </c>
      <c r="I126" s="31" t="n">
        <f aca="false">I121+I123+I124+I125</f>
        <v>58.8399004820536</v>
      </c>
      <c r="J126" s="0" t="s">
        <v>1040</v>
      </c>
      <c r="K126" s="0" t="s">
        <v>1059</v>
      </c>
    </row>
    <row r="127" customFormat="false" ht="15" hidden="false" customHeight="false" outlineLevel="0" collapsed="false">
      <c r="A127" s="8" t="s">
        <v>1060</v>
      </c>
      <c r="B127" s="8" t="s">
        <v>318</v>
      </c>
      <c r="C127" s="31" t="n">
        <f aca="false">0</f>
        <v>0</v>
      </c>
      <c r="D127" s="31" t="n">
        <f aca="false">IF(D113&lt;=$F$12,($F$19-$F$13)/$F$12,0)</f>
        <v>4.5</v>
      </c>
      <c r="E127" s="31" t="n">
        <f aca="false">IF(E113&lt;=$F$12,($F$19-$F$13)/$F$12,0)</f>
        <v>4.5</v>
      </c>
      <c r="F127" s="31" t="n">
        <f aca="false">IF(F113&lt;=$F$12,($F$19-$F$13)/$F$12,0)</f>
        <v>4.5</v>
      </c>
      <c r="G127" s="31" t="n">
        <f aca="false">IF(G113&lt;=$F$12,($F$19-$F$13)/$F$12,0)</f>
        <v>4.5</v>
      </c>
      <c r="H127" s="31" t="n">
        <f aca="false">IF(H113&lt;=$F$12,($F$19-$F$13)/$F$12,0)</f>
        <v>4.5</v>
      </c>
      <c r="I127" s="31" t="n">
        <f aca="false">IF(I113&lt;=$F$12,($F$19-$F$13)/$F$12,0)</f>
        <v>4.5</v>
      </c>
      <c r="J127" s="0" t="s">
        <v>1040</v>
      </c>
      <c r="K127" s="0" t="s">
        <v>1061</v>
      </c>
    </row>
    <row r="128" customFormat="false" ht="15" hidden="false" customHeight="false" outlineLevel="0" collapsed="false">
      <c r="A128" s="8" t="s">
        <v>1062</v>
      </c>
      <c r="B128" s="8" t="s">
        <v>318</v>
      </c>
      <c r="C128" s="31" t="n">
        <f aca="false">0</f>
        <v>0</v>
      </c>
      <c r="D128" s="31" t="n">
        <f aca="false">D126-D127</f>
        <v>15.3319419439025</v>
      </c>
      <c r="E128" s="31" t="n">
        <f aca="false">E126-E127</f>
        <v>39.4161200047534</v>
      </c>
      <c r="F128" s="31" t="n">
        <f aca="false">F126-F127</f>
        <v>58.9586158704001</v>
      </c>
      <c r="G128" s="31" t="n">
        <f aca="false">G126-G127</f>
        <v>57.3878379529921</v>
      </c>
      <c r="H128" s="31" t="n">
        <f aca="false">H126-H127</f>
        <v>55.8484755939322</v>
      </c>
      <c r="I128" s="31" t="n">
        <f aca="false">I126-I127</f>
        <v>54.3399004820536</v>
      </c>
      <c r="J128" s="0" t="s">
        <v>1040</v>
      </c>
      <c r="K128" s="0" t="s">
        <v>1063</v>
      </c>
    </row>
    <row r="129" customFormat="false" ht="15" hidden="false" customHeight="false" outlineLevel="0" collapsed="false">
      <c r="A129" s="8" t="s">
        <v>1064</v>
      </c>
      <c r="B129" s="8" t="s">
        <v>318</v>
      </c>
      <c r="C129" s="31" t="n">
        <f aca="false">0</f>
        <v>0</v>
      </c>
      <c r="D129" s="31" t="n">
        <f aca="false">D128*$E$30</f>
        <v>2.45311071102439</v>
      </c>
      <c r="E129" s="31" t="n">
        <f aca="false">E128*$E$30</f>
        <v>6.30657920076055</v>
      </c>
      <c r="F129" s="31" t="n">
        <f aca="false">F128*$E$30</f>
        <v>9.43337853926401</v>
      </c>
      <c r="G129" s="31" t="n">
        <f aca="false">G128*$E$30</f>
        <v>9.18205407247873</v>
      </c>
      <c r="H129" s="31" t="n">
        <f aca="false">H128*$E$30</f>
        <v>8.93575609502916</v>
      </c>
      <c r="I129" s="31" t="n">
        <f aca="false">I128*$E$30</f>
        <v>8.69438407712857</v>
      </c>
      <c r="J129" s="0" t="s">
        <v>1040</v>
      </c>
      <c r="K129" s="0" t="s">
        <v>1065</v>
      </c>
    </row>
    <row r="130" customFormat="false" ht="15" hidden="false" customHeight="false" outlineLevel="0" collapsed="false">
      <c r="A130" s="8" t="s">
        <v>1066</v>
      </c>
      <c r="B130" s="8" t="s">
        <v>318</v>
      </c>
      <c r="C130" s="31" t="n">
        <f aca="false">0</f>
        <v>0</v>
      </c>
      <c r="D130" s="31" t="n">
        <f aca="false">D128-D129</f>
        <v>12.8788312328781</v>
      </c>
      <c r="E130" s="31" t="n">
        <f aca="false">E128-E129</f>
        <v>33.1095408039929</v>
      </c>
      <c r="F130" s="31" t="n">
        <f aca="false">F128-F129</f>
        <v>49.5252373311361</v>
      </c>
      <c r="G130" s="31" t="n">
        <f aca="false">G128-G129</f>
        <v>48.2057838805133</v>
      </c>
      <c r="H130" s="31" t="n">
        <f aca="false">H128-H129</f>
        <v>46.9127194989031</v>
      </c>
      <c r="I130" s="31" t="n">
        <f aca="false">I128-I129</f>
        <v>45.645516404925</v>
      </c>
      <c r="J130" s="0" t="s">
        <v>1040</v>
      </c>
      <c r="K130" s="0" t="s">
        <v>1067</v>
      </c>
    </row>
    <row r="131" customFormat="false" ht="15" hidden="false" customHeight="false" outlineLevel="0" collapsed="false">
      <c r="A131" s="8" t="s">
        <v>1068</v>
      </c>
      <c r="B131" s="8" t="s">
        <v>318</v>
      </c>
      <c r="C131" s="31" t="n">
        <f aca="false">0</f>
        <v>0</v>
      </c>
      <c r="D131" s="31" t="n">
        <f aca="false">IF(D113=$F$12,0,D120*$F$20/365)</f>
        <v>3.62218339381781</v>
      </c>
      <c r="E131" s="31" t="n">
        <f aca="false">IF(E113=$F$12,0,E120*$F$20/365)</f>
        <v>8.71795327289177</v>
      </c>
      <c r="F131" s="31" t="n">
        <f aca="false">IF(F113=$F$12,0,F120*$F$20/365)</f>
        <v>12.9105034307507</v>
      </c>
      <c r="G131" s="31" t="n">
        <f aca="false">IF(G113=$F$12,0,G120*$F$20/365)</f>
        <v>12.6522933621357</v>
      </c>
      <c r="H131" s="31" t="n">
        <f aca="false">IF(H113=$F$12,0,H120*$F$20/365)</f>
        <v>12.399247494893</v>
      </c>
      <c r="I131" s="31" t="n">
        <f aca="false">IF(I113=$F$12,0,I120*$F$20/365)</f>
        <v>0</v>
      </c>
      <c r="J131" s="0" t="s">
        <v>1040</v>
      </c>
      <c r="K131" s="0" t="s">
        <v>1069</v>
      </c>
    </row>
    <row r="132" customFormat="false" ht="15" hidden="false" customHeight="false" outlineLevel="0" collapsed="false">
      <c r="A132" s="8" t="s">
        <v>1070</v>
      </c>
      <c r="B132" s="8" t="s">
        <v>318</v>
      </c>
      <c r="C132" s="31" t="n">
        <f aca="false">0</f>
        <v>0</v>
      </c>
      <c r="D132" s="31" t="n">
        <f aca="false">D131-C131</f>
        <v>3.62218339381781</v>
      </c>
      <c r="E132" s="31" t="n">
        <f aca="false">E131-D131</f>
        <v>5.09576987907396</v>
      </c>
      <c r="F132" s="31" t="n">
        <f aca="false">F131-E131</f>
        <v>4.19255015785893</v>
      </c>
      <c r="G132" s="31" t="n">
        <f aca="false">G131-F131</f>
        <v>-0.258210068615016</v>
      </c>
      <c r="H132" s="31" t="n">
        <f aca="false">H131-G131</f>
        <v>-0.253045867242713</v>
      </c>
      <c r="I132" s="31" t="n">
        <f aca="false">I131-H131</f>
        <v>-12.399247494893</v>
      </c>
      <c r="J132" s="0" t="s">
        <v>1040</v>
      </c>
      <c r="K132" s="0" t="s">
        <v>1071</v>
      </c>
    </row>
    <row r="133" customFormat="false" ht="15" hidden="false" customHeight="false" outlineLevel="0" collapsed="false">
      <c r="A133" s="8" t="s">
        <v>1072</v>
      </c>
      <c r="B133" s="8" t="s">
        <v>318</v>
      </c>
      <c r="C133" s="31" t="n">
        <f aca="false">-$F$19</f>
        <v>-27</v>
      </c>
      <c r="D133" s="31" t="n">
        <f aca="false">IF(D113=$F$12,$F$13,0)</f>
        <v>0</v>
      </c>
      <c r="E133" s="31" t="n">
        <f aca="false">IF(E113=$F$12,$F$13,0)</f>
        <v>0</v>
      </c>
      <c r="F133" s="31" t="n">
        <f aca="false">IF(F113=$F$12,$F$13,0)</f>
        <v>0</v>
      </c>
      <c r="G133" s="31" t="n">
        <f aca="false">IF(G113=$F$12,$F$13,0)</f>
        <v>0</v>
      </c>
      <c r="H133" s="31" t="n">
        <f aca="false">IF(H113=$F$12,$F$13,0)</f>
        <v>0</v>
      </c>
      <c r="I133" s="31" t="n">
        <f aca="false">IF(I113=$F$12,$F$13,0)</f>
        <v>0</v>
      </c>
      <c r="J133" s="0" t="s">
        <v>1040</v>
      </c>
      <c r="K133" s="0" t="s">
        <v>1073</v>
      </c>
    </row>
    <row r="134" customFormat="false" ht="15" hidden="false" customHeight="false" outlineLevel="0" collapsed="false">
      <c r="A134" s="45" t="s">
        <v>1074</v>
      </c>
      <c r="B134" s="46" t="s">
        <v>318</v>
      </c>
      <c r="C134" s="64" t="n">
        <f aca="false">C130+C127-C132+C133</f>
        <v>-27</v>
      </c>
      <c r="D134" s="64" t="n">
        <f aca="false">D130+D127-D132+D133</f>
        <v>13.7566478390603</v>
      </c>
      <c r="E134" s="64" t="n">
        <f aca="false">E130+E127-E132+E133</f>
        <v>32.5137709249189</v>
      </c>
      <c r="F134" s="64" t="n">
        <f aca="false">F130+F127-F132+F133</f>
        <v>49.8326871732771</v>
      </c>
      <c r="G134" s="64" t="n">
        <f aca="false">G130+G127-G132+G133</f>
        <v>52.9639939491283</v>
      </c>
      <c r="H134" s="64" t="n">
        <f aca="false">H130+H127-H132+H133</f>
        <v>51.6657653661458</v>
      </c>
      <c r="I134" s="64" t="n">
        <f aca="false">I130+I127-I132+I133</f>
        <v>62.544763899818</v>
      </c>
      <c r="J134" s="0" t="s">
        <v>1040</v>
      </c>
      <c r="K134" s="0" t="s">
        <v>1075</v>
      </c>
    </row>
    <row r="135" customFormat="false" ht="15" hidden="false" customHeight="false" outlineLevel="0" collapsed="false">
      <c r="A135" s="8" t="s">
        <v>1076</v>
      </c>
      <c r="B135" s="8" t="s">
        <v>644</v>
      </c>
      <c r="C135" s="86" t="n">
        <f aca="false">1/(1+$F$16)^C113</f>
        <v>1</v>
      </c>
      <c r="D135" s="86" t="n">
        <f aca="false">1/(1+$F$16)^D113</f>
        <v>0.91743119266055</v>
      </c>
      <c r="E135" s="86" t="n">
        <f aca="false">1/(1+$F$16)^E113</f>
        <v>0.84167999326656</v>
      </c>
      <c r="F135" s="86" t="n">
        <f aca="false">1/(1+$F$16)^F113</f>
        <v>0.772183480061064</v>
      </c>
      <c r="G135" s="86" t="n">
        <f aca="false">1/(1+$F$16)^G113</f>
        <v>0.708425211065196</v>
      </c>
      <c r="H135" s="86" t="n">
        <f aca="false">1/(1+$F$16)^H113</f>
        <v>0.649931386298345</v>
      </c>
      <c r="I135" s="86" t="n">
        <f aca="false">1/(1+$F$16)^I113</f>
        <v>0.596267326879216</v>
      </c>
      <c r="J135" s="0" t="s">
        <v>1040</v>
      </c>
      <c r="K135" s="0" t="s">
        <v>1077</v>
      </c>
    </row>
    <row r="136" customFormat="false" ht="15" hidden="false" customHeight="false" outlineLevel="0" collapsed="false">
      <c r="A136" s="8" t="s">
        <v>1078</v>
      </c>
      <c r="B136" s="8" t="s">
        <v>318</v>
      </c>
      <c r="C136" s="31" t="n">
        <f aca="false">C134*C135</f>
        <v>-27</v>
      </c>
      <c r="D136" s="31" t="n">
        <f aca="false">D134*D135</f>
        <v>12.6207778340002</v>
      </c>
      <c r="E136" s="31" t="n">
        <f aca="false">E134*E135</f>
        <v>27.3661904931562</v>
      </c>
      <c r="F136" s="31" t="n">
        <f aca="false">F134*F135</f>
        <v>38.4799778022555</v>
      </c>
      <c r="G136" s="31" t="n">
        <f aca="false">G134*G135</f>
        <v>37.521028592267</v>
      </c>
      <c r="H136" s="31" t="n">
        <f aca="false">H134*H135</f>
        <v>33.5792025085842</v>
      </c>
      <c r="I136" s="31" t="n">
        <f aca="false">I134*I135</f>
        <v>37.2933991808361</v>
      </c>
      <c r="J136" s="0" t="s">
        <v>1040</v>
      </c>
      <c r="K136" s="0" t="s">
        <v>1079</v>
      </c>
    </row>
    <row r="137" customFormat="false" ht="15" hidden="false" customHeight="false" outlineLevel="0" collapsed="false">
      <c r="A137" s="8" t="s">
        <v>812</v>
      </c>
      <c r="B137" s="8" t="s">
        <v>318</v>
      </c>
      <c r="C137" s="31" t="n">
        <f aca="false">C134</f>
        <v>-27</v>
      </c>
      <c r="D137" s="31" t="n">
        <f aca="false">C137+D134</f>
        <v>-13.2433521609397</v>
      </c>
      <c r="E137" s="31" t="n">
        <f aca="false">D137+E134</f>
        <v>19.2704187639792</v>
      </c>
      <c r="F137" s="31" t="n">
        <f aca="false">E137+F134</f>
        <v>69.1031059372563</v>
      </c>
      <c r="G137" s="31" t="n">
        <f aca="false">F137+G134</f>
        <v>122.067099886385</v>
      </c>
      <c r="H137" s="31" t="n">
        <f aca="false">G137+H134</f>
        <v>173.73286525253</v>
      </c>
      <c r="I137" s="31" t="n">
        <f aca="false">H137+I134</f>
        <v>236.277629152348</v>
      </c>
      <c r="J137" s="0" t="s">
        <v>1040</v>
      </c>
      <c r="K137" s="0" t="s">
        <v>1080</v>
      </c>
    </row>
    <row r="138" customFormat="false" ht="15" hidden="false" customHeight="false" outlineLevel="0" collapsed="false">
      <c r="A138" s="8" t="s">
        <v>1081</v>
      </c>
      <c r="B138" s="8" t="s">
        <v>992</v>
      </c>
      <c r="C138" s="56" t="n">
        <f aca="false">0</f>
        <v>0</v>
      </c>
      <c r="D138" s="56" t="n">
        <f aca="false">IF(AND(C137&lt;0,D137&gt;=0),C113+(-C137)/D134,0)</f>
        <v>0</v>
      </c>
      <c r="E138" s="56" t="n">
        <f aca="false">IF(AND(D137&lt;0,E137&gt;=0),D113+(-D137)/E134,0)</f>
        <v>1.40731517090163</v>
      </c>
      <c r="F138" s="56" t="n">
        <f aca="false">IF(AND(E137&lt;0,F137&gt;=0),E113+(-E137)/F134,0)</f>
        <v>0</v>
      </c>
      <c r="G138" s="56" t="n">
        <f aca="false">IF(AND(F137&lt;0,G137&gt;=0),F113+(-F137)/G134,0)</f>
        <v>0</v>
      </c>
      <c r="H138" s="56" t="n">
        <f aca="false">IF(AND(G137&lt;0,H137&gt;=0),G113+(-G137)/H134,0)</f>
        <v>0</v>
      </c>
      <c r="I138" s="56" t="n">
        <f aca="false">IF(AND(H137&lt;0,I137&gt;=0),H113+(-H137)/I134,0)</f>
        <v>0</v>
      </c>
      <c r="J138" s="0" t="s">
        <v>1040</v>
      </c>
      <c r="K138" s="0" t="s">
        <v>1082</v>
      </c>
    </row>
    <row r="139" customFormat="false" ht="15" hidden="false" customHeight="false" outlineLevel="0" collapsed="false">
      <c r="A139" s="8" t="s">
        <v>1083</v>
      </c>
      <c r="B139" s="8" t="s">
        <v>318</v>
      </c>
      <c r="C139" s="31" t="n">
        <f aca="false">0</f>
        <v>0</v>
      </c>
      <c r="D139" s="31" t="n">
        <f aca="false">D121*(1-$E$30)-((IF(D113=$F$12,0,D120*$F$20/365))-(0))</f>
        <v>10.8975393267007</v>
      </c>
      <c r="E139" s="31" t="n">
        <f aca="false">E121*(1-$E$30)-((IF(E113=$F$12,0,E120*$F$20/365))-(IF(D113=$F$12,0,D120*$F$20/365)))</f>
        <v>29.6546624125594</v>
      </c>
      <c r="F139" s="31" t="n">
        <f aca="false">F121*(1-$E$30)-((IF(F113=$F$12,0,F120*$F$20/365))-(IF(E113=$F$12,0,E120*$F$20/365)))</f>
        <v>46.9735786609176</v>
      </c>
      <c r="G139" s="31" t="n">
        <f aca="false">G121*(1-$E$30)-((IF(G113=$F$12,0,G120*$F$20/365))-(IF(F113=$F$12,0,F120*$F$20/365)))</f>
        <v>50.1048854367688</v>
      </c>
      <c r="H139" s="31" t="n">
        <f aca="false">H121*(1-$E$30)-((IF(H113=$F$12,0,H120*$F$20/365))-(IF(G113=$F$12,0,G120*$F$20/365)))</f>
        <v>48.8066568537862</v>
      </c>
      <c r="I139" s="31" t="n">
        <f aca="false">I121*(1-$E$30)-((IF(I113=$F$12,0,I120*$F$20/365))-(IF(H113=$F$12,0,H120*$F$20/365)))</f>
        <v>59.6856553874584</v>
      </c>
      <c r="J139" s="0" t="s">
        <v>1040</v>
      </c>
      <c r="K139" s="0" t="s">
        <v>1084</v>
      </c>
    </row>
    <row r="140" customFormat="false" ht="15" hidden="false" customHeight="false" outlineLevel="0" collapsed="false">
      <c r="A140" s="8" t="s">
        <v>1085</v>
      </c>
      <c r="B140" s="8" t="s">
        <v>318</v>
      </c>
      <c r="C140" s="31" t="n">
        <f aca="false">0</f>
        <v>0</v>
      </c>
      <c r="D140" s="31" t="n">
        <f aca="false">$E$33*(D116-$E$27/$E$29)*(1-$E$30)-((IF(D113=$F$12,0,$E$33*D116*$F$20/365))-(0))</f>
        <v>39.209956569863</v>
      </c>
      <c r="E140" s="31" t="n">
        <f aca="false">$E$33*(E116-$E$27/$E$29)*(1-$E$30)-((IF(E113=$F$12,0,$E$33*E116*$F$20/365))-(IF(D113=$F$12,0,$E$33*D116*$F$20/365)))</f>
        <v>51.1714775086027</v>
      </c>
      <c r="F140" s="31" t="n">
        <f aca="false">$E$33*(F116-$E$27/$E$29)*(1-$E$30)-((IF(F113=$F$12,0,$E$33*F116*$F$20/365))-(IF(E113=$F$12,0,$E$33*E116*$F$20/365)))</f>
        <v>49.8609493984307</v>
      </c>
      <c r="G140" s="31" t="n">
        <f aca="false">$E$33*(G116-$E$27/$E$29)*(1-$E$30)-((IF(G113=$F$12,0,$E$33*G116*$F$20/365))-(IF(F113=$F$12,0,$E$33*F116*$F$20/365)))</f>
        <v>48.5766318504621</v>
      </c>
      <c r="H140" s="31" t="n">
        <f aca="false">$E$33*(H116-$E$27/$E$29)*(1-$E$30)-((IF(H113=$F$12,0,$E$33*H116*$F$20/365))-(IF(G113=$F$12,0,$E$33*G116*$F$20/365)))</f>
        <v>47.3180006534528</v>
      </c>
      <c r="I140" s="31" t="n">
        <f aca="false">$E$33*(I116-$E$27/$E$29)*(1-$E$30)-((IF(I113=$F$12,0,$E$33*I116*$F$20/365))-(IF(H113=$F$12,0,$E$33*H116*$F$20/365)))</f>
        <v>57.8651778810871</v>
      </c>
      <c r="J140" s="0" t="s">
        <v>1040</v>
      </c>
      <c r="K140" s="0" t="s">
        <v>1086</v>
      </c>
    </row>
    <row r="141" customFormat="false" ht="15" hidden="false" customHeight="false" outlineLevel="0" collapsed="false">
      <c r="A141" s="7" t="s">
        <v>1087</v>
      </c>
      <c r="F141" s="43" t="n">
        <f aca="false">C134+NPV($F$16,D134:I134)</f>
        <v>159.860576411099</v>
      </c>
      <c r="J141" s="0" t="s">
        <v>146</v>
      </c>
      <c r="K141" s="0" t="s">
        <v>1088</v>
      </c>
    </row>
    <row r="142" customFormat="false" ht="15" hidden="false" customHeight="false" outlineLevel="0" collapsed="false">
      <c r="A142" s="7" t="s">
        <v>1089</v>
      </c>
      <c r="F142" s="59" t="n">
        <f aca="false">IFERROR(IRR(C134:I134),"n.m.")</f>
        <v>1.00401471429295</v>
      </c>
      <c r="J142" s="0" t="s">
        <v>146</v>
      </c>
      <c r="K142" s="0" t="s">
        <v>1090</v>
      </c>
    </row>
    <row r="143" customFormat="false" ht="15" hidden="false" customHeight="false" outlineLevel="0" collapsed="false">
      <c r="A143" s="7" t="s">
        <v>1091</v>
      </c>
      <c r="F143" s="87" t="n">
        <f aca="false">IF(SUM(D138:I138)=0,"Not within life",SUM(D138:I138))</f>
        <v>1.40731517090163</v>
      </c>
      <c r="J143" s="0" t="s">
        <v>146</v>
      </c>
      <c r="K143" s="0" t="s">
        <v>1092</v>
      </c>
    </row>
    <row r="144" customFormat="false" ht="15" hidden="false" customHeight="false" outlineLevel="0" collapsed="false">
      <c r="A144" s="7" t="s">
        <v>1093</v>
      </c>
      <c r="F144" s="43" t="n">
        <f aca="false">F141-SUMPRODUCT(D139:I139,D135:I135)</f>
        <v>-14.1742719729188</v>
      </c>
      <c r="J144" s="0" t="s">
        <v>146</v>
      </c>
      <c r="K144" s="0" t="s">
        <v>1094</v>
      </c>
    </row>
    <row r="145" customFormat="false" ht="15" hidden="false" customHeight="false" outlineLevel="0" collapsed="false">
      <c r="A145" s="7" t="s">
        <v>1095</v>
      </c>
      <c r="F145" s="43" t="n">
        <f aca="false">SUMPRODUCT(D140:I140,D135:I135)</f>
        <v>217.213726858178</v>
      </c>
      <c r="J145" s="0" t="s">
        <v>146</v>
      </c>
      <c r="K145" s="0" t="s">
        <v>1096</v>
      </c>
    </row>
    <row r="146" customFormat="false" ht="15" hidden="false" customHeight="false" outlineLevel="0" collapsed="false">
      <c r="A146" s="7" t="s">
        <v>1097</v>
      </c>
      <c r="F146" s="59" t="n">
        <f aca="false">IF(F144&gt;=0,0,IFERROR(-F144/F145,"n.m."))</f>
        <v>0.0652549550064734</v>
      </c>
      <c r="J146" s="0" t="s">
        <v>146</v>
      </c>
      <c r="K146" s="0" t="s">
        <v>1098</v>
      </c>
    </row>
    <row r="147" customFormat="false" ht="15" hidden="false" customHeight="false" outlineLevel="0" collapsed="false">
      <c r="A147" s="7" t="s">
        <v>1099</v>
      </c>
      <c r="F147" s="59" t="n">
        <f aca="false">IFERROR(SUM(D119:I119)/($E$33*$F$12),0)</f>
        <v>0.847724189260677</v>
      </c>
      <c r="J147" s="0" t="s">
        <v>146</v>
      </c>
      <c r="K147" s="0" t="s">
        <v>1100</v>
      </c>
    </row>
    <row r="149" customFormat="false" ht="15" hidden="false" customHeight="false" outlineLevel="0" collapsed="false">
      <c r="A149" s="16" t="s">
        <v>1103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</row>
    <row r="150" customFormat="false" ht="15" hidden="false" customHeight="false" outlineLevel="0" collapsed="false">
      <c r="A150" s="18" t="s">
        <v>1104</v>
      </c>
      <c r="B150" s="19" t="s">
        <v>1105</v>
      </c>
      <c r="C150" s="19" t="s">
        <v>280</v>
      </c>
      <c r="D150" s="19" t="s">
        <v>275</v>
      </c>
      <c r="E150" s="19" t="s">
        <v>281</v>
      </c>
      <c r="F150" s="19" t="s">
        <v>282</v>
      </c>
      <c r="G150" s="19"/>
      <c r="H150" s="19"/>
      <c r="I150" s="19"/>
      <c r="J150" s="19"/>
      <c r="K150" s="19" t="s">
        <v>1106</v>
      </c>
    </row>
    <row r="151" customFormat="false" ht="15" hidden="false" customHeight="false" outlineLevel="0" collapsed="false">
      <c r="A151" s="8" t="s">
        <v>1107</v>
      </c>
      <c r="C151" s="31" t="n">
        <f aca="false">$F$65</f>
        <v>-14.0934024543176</v>
      </c>
      <c r="D151" s="31" t="n">
        <f aca="false">$F$103</f>
        <v>69.893170454862</v>
      </c>
      <c r="E151" s="31" t="n">
        <f aca="false">$F$141</f>
        <v>159.860576411099</v>
      </c>
      <c r="F151" s="88" t="n">
        <f aca="false">INDEX(C151:E151,1,Assumptions!$D$6)</f>
        <v>69.893170454862</v>
      </c>
    </row>
    <row r="152" customFormat="false" ht="15" hidden="false" customHeight="false" outlineLevel="0" collapsed="false">
      <c r="A152" s="8" t="s">
        <v>1089</v>
      </c>
      <c r="C152" s="36" t="n">
        <f aca="false">$F$66</f>
        <v>-0.112941614981494</v>
      </c>
      <c r="D152" s="36" t="n">
        <f aca="false">$F$104</f>
        <v>0.464730571316749</v>
      </c>
      <c r="E152" s="36" t="n">
        <f aca="false">$F$142</f>
        <v>1.00401471429295</v>
      </c>
      <c r="F152" s="24" t="n">
        <f aca="false">INDEX(C152:E152,1,Assumptions!$D$6)</f>
        <v>0.464730571316749</v>
      </c>
    </row>
    <row r="153" customFormat="false" ht="15" hidden="false" customHeight="false" outlineLevel="0" collapsed="false">
      <c r="A153" s="8" t="s">
        <v>1108</v>
      </c>
      <c r="C153" s="56" t="str">
        <f aca="false">$F$67</f>
        <v>Not within life</v>
      </c>
      <c r="D153" s="56" t="n">
        <f aca="false">$F$105</f>
        <v>3.06947996600789</v>
      </c>
      <c r="E153" s="56" t="n">
        <f aca="false">$F$143</f>
        <v>1.40731517090163</v>
      </c>
      <c r="F153" s="89" t="n">
        <f aca="false">INDEX(C153:E153,1,Assumptions!$D$6)</f>
        <v>3.06947996600789</v>
      </c>
    </row>
    <row r="154" customFormat="false" ht="15" hidden="false" customHeight="false" outlineLevel="0" collapsed="false">
      <c r="A154" s="8" t="s">
        <v>1109</v>
      </c>
      <c r="C154" s="36" t="n">
        <f aca="false">$F$70</f>
        <v>0.078528365741424</v>
      </c>
      <c r="D154" s="36" t="n">
        <f aca="false">$F$108</f>
        <v>0.0682039045328038</v>
      </c>
      <c r="E154" s="36" t="n">
        <f aca="false">$F$146</f>
        <v>0.0652549550064734</v>
      </c>
      <c r="F154" s="24" t="n">
        <f aca="false">INDEX(C154:E154,1,Assumptions!$D$6)</f>
        <v>0.0682039045328038</v>
      </c>
    </row>
    <row r="155" customFormat="false" ht="15" hidden="false" customHeight="false" outlineLevel="0" collapsed="false">
      <c r="A155" s="8" t="s">
        <v>1110</v>
      </c>
      <c r="B155" s="25" t="n">
        <f aca="false">$F$16</f>
        <v>0.09</v>
      </c>
      <c r="C155" s="11" t="str">
        <f aca="false">IF($F$65&gt;0,"PASS","FAIL")</f>
        <v>FAIL</v>
      </c>
      <c r="D155" s="11" t="str">
        <f aca="false">IF($F$103&gt;0,"PASS","FAIL")</f>
        <v>PASS</v>
      </c>
      <c r="E155" s="11" t="str">
        <f aca="false">IF($F$141&gt;0,"PASS","FAIL")</f>
        <v>PASS</v>
      </c>
      <c r="F155" s="90" t="str">
        <f aca="false">INDEX(C155:E155,1,Assumptions!$D$6)</f>
        <v>PASS</v>
      </c>
      <c r="K155" s="0" t="s">
        <v>1111</v>
      </c>
    </row>
    <row r="156" customFormat="false" ht="15" hidden="false" customHeight="false" outlineLevel="0" collapsed="false">
      <c r="A156" s="8" t="s">
        <v>1112</v>
      </c>
      <c r="B156" s="25" t="n">
        <f aca="false">$F$17</f>
        <v>0.11</v>
      </c>
      <c r="C156" s="11" t="str">
        <f aca="false">IF(ISNUMBER($F$66),IF($F$66&gt;=$F$17,"PASS","FAIL"),"FAIL")</f>
        <v>FAIL</v>
      </c>
      <c r="D156" s="11" t="str">
        <f aca="false">IF(ISNUMBER($F$104),IF($F$104&gt;=$F$17,"PASS","FAIL"),"FAIL")</f>
        <v>PASS</v>
      </c>
      <c r="E156" s="11" t="str">
        <f aca="false">IF(ISNUMBER($F$142),IF($F$142&gt;=$F$17,"PASS","FAIL"),"FAIL")</f>
        <v>PASS</v>
      </c>
      <c r="F156" s="90" t="str">
        <f aca="false">INDEX(C156:E156,1,Assumptions!$D$6)</f>
        <v>PASS</v>
      </c>
      <c r="K156" s="0" t="s">
        <v>1113</v>
      </c>
    </row>
    <row r="157" customFormat="false" ht="15" hidden="false" customHeight="false" outlineLevel="0" collapsed="false">
      <c r="A157" s="8" t="s">
        <v>1114</v>
      </c>
      <c r="B157" s="42" t="n">
        <f aca="false">$F$18</f>
        <v>4</v>
      </c>
      <c r="C157" s="11" t="str">
        <f aca="false">IF(ISNUMBER($F$67),IF($F$67&lt;=$F$18,"PASS","FAIL"),"FAIL")</f>
        <v>FAIL</v>
      </c>
      <c r="D157" s="11" t="str">
        <f aca="false">IF(ISNUMBER($F$105),IF($F$105&lt;=$F$18,"PASS","FAIL"),"FAIL")</f>
        <v>PASS</v>
      </c>
      <c r="E157" s="11" t="str">
        <f aca="false">IF(ISNUMBER($F$143),IF($F$143&lt;=$F$18,"PASS","FAIL"),"FAIL")</f>
        <v>PASS</v>
      </c>
      <c r="F157" s="90" t="str">
        <f aca="false">INDEX(C157:E157,1,Assumptions!$D$6)</f>
        <v>PASS</v>
      </c>
      <c r="K157" s="0" t="s">
        <v>1115</v>
      </c>
    </row>
    <row r="158" customFormat="false" ht="15" hidden="false" customHeight="false" outlineLevel="0" collapsed="false">
      <c r="A158" s="8" t="s">
        <v>1116</v>
      </c>
      <c r="C158" s="11" t="str">
        <f aca="false">IF(AND(C155="PASS",C156="PASS",C157="PASS"),"YES","NO")</f>
        <v>NO</v>
      </c>
      <c r="D158" s="11" t="str">
        <f aca="false">IF(AND(D155="PASS",D156="PASS",D157="PASS"),"YES","NO")</f>
        <v>YES</v>
      </c>
      <c r="E158" s="11" t="str">
        <f aca="false">IF(AND(E155="PASS",E156="PASS",E157="PASS"),"YES","NO")</f>
        <v>YES</v>
      </c>
      <c r="F158" s="90" t="str">
        <f aca="false">INDEX(C158:E158,1,Assumptions!$D$6)</f>
        <v>YES</v>
      </c>
    </row>
    <row r="160" customFormat="false" ht="15" hidden="false" customHeight="false" outlineLevel="0" collapsed="false">
      <c r="A160" s="21" t="s">
        <v>1117</v>
      </c>
      <c r="C160" s="91" t="str">
        <f aca="false">IF(D158="NO","REJECT - the Base case does not meet the criteria",IF(C158="YES","APPROVE - meets the criteria in all three scenarios","APPROVE WITH A DEMAND CHECKPOINT - meets the criteria in Base"&amp;IF(E158="YES"," and Upside","")&amp;", fails in Downside"))</f>
        <v>APPROVE WITH A DEMAND CHECKPOINT - meets the criteria in Base and Upside, fails in Downside</v>
      </c>
    </row>
    <row r="161" customFormat="false" ht="15" hidden="false" customHeight="false" outlineLevel="0" collapsed="false">
      <c r="C161" s="8" t="str">
        <f aca="false">"Rule: reject if Base fails; approve outright only if Downside also passes; otherwise approve with a checkpoint. Downside NPV "&amp;TEXT(C151,"$#,##0.0")&amp;"m: with FPGA demand growth of "&amp;TEXT($C$24,"0%")&amp;" a year, demand never exceeds existing capacity, so only yield, scrap and savings benefits remain."</f>
        <v>Rule: reject if Base fails; approve outright only if Downside also passes; otherwise approve with a checkpoint. Downside NPV -$14.1m: with FPGA demand growth of 2% a year, demand never exceeds existing capacity, so only yield, scrap and savings benefits remain.</v>
      </c>
    </row>
    <row r="162" customFormat="false" ht="15" hidden="false" customHeight="false" outlineLevel="0" collapsed="false">
      <c r="C162" s="8" t="str">
        <f aca="false">"Checkpoint: release the purchase order once trailing FPGA demand exceeds "&amp;TEXT($D$31/12*0.95,"0.00")&amp;"m good units a month (95% of current good-unit capacity at max utilization)."</f>
        <v>Checkpoint: release the purchase order once trailing FPGA demand exceeds 0.94m good units a month (95% of current good-unit capacity at max utilization).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A1:V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1" min="2" style="0" width="15"/>
  </cols>
  <sheetData>
    <row r="1" customFormat="false" ht="19.7" hidden="false" customHeight="false" outlineLevel="0" collapsed="false">
      <c r="A1" s="14" t="s">
        <v>1118</v>
      </c>
    </row>
    <row r="2" customFormat="false" ht="15" hidden="false" customHeight="false" outlineLevel="0" collapsed="false">
      <c r="A2" s="4" t="s">
        <v>1119</v>
      </c>
    </row>
    <row r="3" customFormat="false" ht="15" hidden="false" customHeight="false" outlineLevel="0" collapsed="false">
      <c r="A3" s="15" t="s">
        <v>2</v>
      </c>
    </row>
    <row r="5" customFormat="false" ht="15" hidden="false" customHeight="false" outlineLevel="0" collapsed="false">
      <c r="A5" s="21" t="s">
        <v>1120</v>
      </c>
      <c r="C5" s="4" t="s">
        <v>1121</v>
      </c>
    </row>
    <row r="6" customFormat="false" ht="15" hidden="false" customHeight="false" outlineLevel="0" collapsed="false">
      <c r="A6" s="18" t="s">
        <v>1122</v>
      </c>
      <c r="B6" s="19" t="s">
        <v>1123</v>
      </c>
    </row>
    <row r="7" customFormat="false" ht="15" hidden="false" customHeight="false" outlineLevel="0" collapsed="false">
      <c r="A7" s="8" t="s">
        <v>1124</v>
      </c>
      <c r="B7" s="12" t="str">
        <f aca="false">Assumptions!$C$6</f>
        <v>Base</v>
      </c>
    </row>
    <row r="8" customFormat="false" ht="15" hidden="false" customHeight="false" outlineLevel="0" collapsed="false">
      <c r="A8" s="8" t="s">
        <v>1125</v>
      </c>
      <c r="B8" s="12" t="str">
        <f aca="false">Checks!$C$174</f>
        <v>ALL CHECKS PASS</v>
      </c>
    </row>
    <row r="9" customFormat="false" ht="15" hidden="false" customHeight="false" outlineLevel="0" collapsed="false">
      <c r="A9" s="8" t="s">
        <v>1126</v>
      </c>
      <c r="B9" s="8" t="s">
        <v>1127</v>
      </c>
    </row>
    <row r="10" customFormat="false" ht="15" hidden="false" customHeight="false" outlineLevel="0" collapsed="false">
      <c r="A10" s="8" t="s">
        <v>1128</v>
      </c>
      <c r="B10" s="8" t="s">
        <v>2</v>
      </c>
    </row>
    <row r="11" customFormat="false" ht="15" hidden="false" customHeight="false" outlineLevel="0" collapsed="false">
      <c r="A11" s="8" t="s">
        <v>1129</v>
      </c>
      <c r="B11" s="8" t="s">
        <v>1130</v>
      </c>
    </row>
    <row r="12" customFormat="false" ht="15" hidden="false" customHeight="false" outlineLevel="0" collapsed="false">
      <c r="A12" s="8" t="s">
        <v>1131</v>
      </c>
      <c r="B12" s="8" t="s">
        <v>1132</v>
      </c>
    </row>
    <row r="13" customFormat="false" ht="15" hidden="false" customHeight="false" outlineLevel="0" collapsed="false">
      <c r="A13" s="8" t="s">
        <v>1133</v>
      </c>
      <c r="B13" s="8" t="s">
        <v>1134</v>
      </c>
    </row>
    <row r="14" customFormat="false" ht="15" hidden="false" customHeight="false" outlineLevel="0" collapsed="false">
      <c r="A14" s="8" t="s">
        <v>1135</v>
      </c>
      <c r="B14" s="8" t="s">
        <v>1136</v>
      </c>
    </row>
    <row r="15" customFormat="false" ht="15" hidden="false" customHeight="false" outlineLevel="0" collapsed="false">
      <c r="A15" s="8" t="s">
        <v>1137</v>
      </c>
      <c r="B15" s="8" t="s">
        <v>1138</v>
      </c>
    </row>
    <row r="17" customFormat="false" ht="15" hidden="false" customHeight="false" outlineLevel="0" collapsed="false">
      <c r="A17" s="21" t="s">
        <v>1139</v>
      </c>
      <c r="C17" s="4" t="s">
        <v>1140</v>
      </c>
    </row>
    <row r="18" customFormat="false" ht="35.5" hidden="false" customHeight="false" outlineLevel="0" collapsed="false">
      <c r="A18" s="18" t="s">
        <v>1141</v>
      </c>
      <c r="B18" s="19" t="s">
        <v>1142</v>
      </c>
      <c r="C18" s="19" t="s">
        <v>1143</v>
      </c>
      <c r="D18" s="19" t="s">
        <v>1144</v>
      </c>
      <c r="E18" s="19" t="s">
        <v>442</v>
      </c>
      <c r="F18" s="19" t="s">
        <v>1145</v>
      </c>
      <c r="G18" s="19" t="s">
        <v>1146</v>
      </c>
      <c r="H18" s="19" t="s">
        <v>1147</v>
      </c>
      <c r="I18" s="19" t="s">
        <v>1148</v>
      </c>
      <c r="J18" s="19" t="s">
        <v>469</v>
      </c>
      <c r="K18" s="19" t="s">
        <v>1149</v>
      </c>
      <c r="L18" s="19" t="s">
        <v>1150</v>
      </c>
      <c r="M18" s="19" t="s">
        <v>1151</v>
      </c>
      <c r="N18" s="19" t="s">
        <v>1152</v>
      </c>
      <c r="O18" s="19" t="s">
        <v>1153</v>
      </c>
      <c r="P18" s="19" t="s">
        <v>1154</v>
      </c>
      <c r="Q18" s="19" t="s">
        <v>1155</v>
      </c>
      <c r="R18" s="19" t="s">
        <v>1156</v>
      </c>
      <c r="S18" s="19" t="s">
        <v>1157</v>
      </c>
      <c r="T18" s="19" t="s">
        <v>1158</v>
      </c>
      <c r="U18" s="19" t="s">
        <v>1159</v>
      </c>
      <c r="V18" s="19" t="s">
        <v>1160</v>
      </c>
    </row>
    <row r="19" customFormat="false" ht="15" hidden="false" customHeight="false" outlineLevel="0" collapsed="false">
      <c r="A19" s="92" t="n">
        <f aca="false">Ops_Model!C$6</f>
        <v>46113</v>
      </c>
      <c r="B19" s="8" t="s">
        <v>735</v>
      </c>
      <c r="C19" s="8" t="s">
        <v>869</v>
      </c>
      <c r="D19" s="93" t="n">
        <f aca="false">PnL!C$8</f>
        <v>94.7876845388385</v>
      </c>
      <c r="E19" s="93" t="n">
        <f aca="false">PnL!C$12</f>
        <v>56.5811043972037</v>
      </c>
      <c r="F19" s="93" t="n">
        <f aca="false">PnL!C$13</f>
        <v>0.59692463923433</v>
      </c>
      <c r="G19" s="93" t="n">
        <f aca="false">PnL!C$16</f>
        <v>26.1666666666667</v>
      </c>
      <c r="H19" s="93" t="n">
        <f aca="false">PnL!C$17</f>
        <v>30.414437730537</v>
      </c>
      <c r="I19" s="93" t="n">
        <f aca="false">PnL!C$18</f>
        <v>0.320869086300709</v>
      </c>
      <c r="J19" s="93" t="n">
        <f aca="false">PnL!C$21</f>
        <v>24.9398389390403</v>
      </c>
      <c r="K19" s="93" t="n">
        <f aca="false">PnL!C$26</f>
        <v>36.144437730537</v>
      </c>
      <c r="L19" s="93" t="n">
        <f aca="false">FCF!C$25</f>
        <v>9.85082963955935</v>
      </c>
      <c r="M19" s="93" t="n">
        <f aca="false">FCF!C$28</f>
        <v>9.85082963955935</v>
      </c>
      <c r="N19" s="93" t="n">
        <f aca="false">FCF!C$8</f>
        <v>2.84363053616516</v>
      </c>
      <c r="O19" s="93" t="n">
        <f aca="false">Budget!C$97</f>
        <v>94.7876845388385</v>
      </c>
      <c r="P19" s="93" t="n">
        <f aca="false">Budget!C$104</f>
        <v>56.5811043972037</v>
      </c>
      <c r="Q19" s="93" t="n">
        <f aca="false">Budget!C$109</f>
        <v>30.414437730537</v>
      </c>
      <c r="R19" s="93" t="n">
        <f aca="false">Actuals!C$100</f>
        <v>97.1149484337697</v>
      </c>
      <c r="S19" s="93" t="n">
        <f aca="false">Actuals!C$107</f>
        <v>57.8299937659406</v>
      </c>
      <c r="T19" s="93" t="n">
        <f aca="false">Actuals!C$112</f>
        <v>31.4299937659406</v>
      </c>
      <c r="U19" s="93" t="n">
        <f aca="false">Actuals!C$100</f>
        <v>97.1149484337697</v>
      </c>
      <c r="V19" s="93" t="n">
        <f aca="false">Actuals!C$112</f>
        <v>31.4299937659406</v>
      </c>
    </row>
    <row r="20" customFormat="false" ht="15" hidden="false" customHeight="false" outlineLevel="0" collapsed="false">
      <c r="A20" s="92" t="n">
        <f aca="false">Ops_Model!D$6</f>
        <v>46143</v>
      </c>
      <c r="B20" s="8" t="s">
        <v>735</v>
      </c>
      <c r="C20" s="8" t="s">
        <v>869</v>
      </c>
      <c r="D20" s="93" t="n">
        <f aca="false">PnL!D$8</f>
        <v>96.762427966731</v>
      </c>
      <c r="E20" s="93" t="n">
        <f aca="false">PnL!D$12</f>
        <v>58.5360039902387</v>
      </c>
      <c r="F20" s="93" t="n">
        <f aca="false">PnL!D$13</f>
        <v>0.60494558911197</v>
      </c>
      <c r="G20" s="93" t="n">
        <f aca="false">PnL!D$16</f>
        <v>26.1666666666667</v>
      </c>
      <c r="H20" s="93" t="n">
        <f aca="false">PnL!D$17</f>
        <v>32.369337323572</v>
      </c>
      <c r="I20" s="93" t="n">
        <f aca="false">PnL!D$18</f>
        <v>0.334523822972913</v>
      </c>
      <c r="J20" s="93" t="n">
        <f aca="false">PnL!D$21</f>
        <v>26.542856605329</v>
      </c>
      <c r="K20" s="93" t="n">
        <f aca="false">PnL!D$26</f>
        <v>38.1467311658414</v>
      </c>
      <c r="L20" s="93" t="n">
        <f aca="false">FCF!D$25</f>
        <v>24.9403834467028</v>
      </c>
      <c r="M20" s="93" t="n">
        <f aca="false">FCF!D$28</f>
        <v>34.7912130862621</v>
      </c>
      <c r="N20" s="93" t="n">
        <f aca="false">FCF!D$8</f>
        <v>2.90287283900193</v>
      </c>
      <c r="O20" s="93" t="n">
        <f aca="false">Budget!D$97</f>
        <v>96.762427966731</v>
      </c>
      <c r="P20" s="93" t="n">
        <f aca="false">Budget!D$104</f>
        <v>58.5360039902387</v>
      </c>
      <c r="Q20" s="93" t="n">
        <f aca="false">Budget!D$109</f>
        <v>32.369337323572</v>
      </c>
      <c r="R20" s="93" t="n">
        <f aca="false">Actuals!D$100</f>
        <v>102.142363693599</v>
      </c>
      <c r="S20" s="93" t="n">
        <f aca="false">Actuals!D$107</f>
        <v>61.5396421949418</v>
      </c>
      <c r="T20" s="93" t="n">
        <f aca="false">Actuals!D$112</f>
        <v>35.1396421949418</v>
      </c>
      <c r="U20" s="93" t="n">
        <f aca="false">Actuals!D$100</f>
        <v>102.142363693599</v>
      </c>
      <c r="V20" s="93" t="n">
        <f aca="false">Actuals!D$112</f>
        <v>35.1396421949418</v>
      </c>
    </row>
    <row r="21" customFormat="false" ht="15" hidden="false" customHeight="false" outlineLevel="0" collapsed="false">
      <c r="A21" s="92" t="n">
        <f aca="false">Ops_Model!E$6</f>
        <v>46174</v>
      </c>
      <c r="B21" s="8" t="s">
        <v>735</v>
      </c>
      <c r="C21" s="8" t="s">
        <v>869</v>
      </c>
      <c r="D21" s="93" t="n">
        <f aca="false">PnL!E$8</f>
        <v>100.711914822516</v>
      </c>
      <c r="E21" s="93" t="n">
        <f aca="false">PnL!E$12</f>
        <v>61.2714393424902</v>
      </c>
      <c r="F21" s="93" t="n">
        <f aca="false">PnL!E$13</f>
        <v>0.608383223082081</v>
      </c>
      <c r="G21" s="93" t="n">
        <f aca="false">PnL!E$16</f>
        <v>26.1666666666667</v>
      </c>
      <c r="H21" s="93" t="n">
        <f aca="false">PnL!E$17</f>
        <v>35.1047726758235</v>
      </c>
      <c r="I21" s="93" t="n">
        <f aca="false">PnL!E$18</f>
        <v>0.348566232085732</v>
      </c>
      <c r="J21" s="93" t="n">
        <f aca="false">PnL!E$21</f>
        <v>28.7859135941753</v>
      </c>
      <c r="K21" s="93" t="n">
        <f aca="false">PnL!E$26</f>
        <v>40.9305477320763</v>
      </c>
      <c r="L21" s="93" t="n">
        <f aca="false">FCF!E$25</f>
        <v>24.3836230372923</v>
      </c>
      <c r="M21" s="93" t="n">
        <f aca="false">FCF!E$28</f>
        <v>59.1748361235544</v>
      </c>
      <c r="N21" s="93" t="n">
        <f aca="false">FCF!E$8</f>
        <v>3.02135744467548</v>
      </c>
      <c r="O21" s="93" t="n">
        <f aca="false">Budget!E$97</f>
        <v>100.711914822516</v>
      </c>
      <c r="P21" s="93" t="n">
        <f aca="false">Budget!E$104</f>
        <v>61.2714393424902</v>
      </c>
      <c r="Q21" s="93" t="n">
        <f aca="false">Budget!E$109</f>
        <v>35.1047726758235</v>
      </c>
      <c r="R21" s="93" t="n">
        <f aca="false">Actuals!E$100</f>
        <v>104.226901728162</v>
      </c>
      <c r="S21" s="93" t="n">
        <f aca="false">Actuals!E$107</f>
        <v>63.1066149172733</v>
      </c>
      <c r="T21" s="93" t="n">
        <f aca="false">Actuals!E$112</f>
        <v>36.7066149172733</v>
      </c>
      <c r="U21" s="93" t="n">
        <f aca="false">Actuals!E$100</f>
        <v>104.226901728162</v>
      </c>
      <c r="V21" s="93" t="n">
        <f aca="false">Actuals!E$112</f>
        <v>36.7066149172733</v>
      </c>
    </row>
    <row r="22" customFormat="false" ht="15" hidden="false" customHeight="false" outlineLevel="0" collapsed="false">
      <c r="A22" s="92" t="n">
        <f aca="false">Ops_Model!F$6</f>
        <v>46204</v>
      </c>
      <c r="B22" s="8" t="s">
        <v>736</v>
      </c>
      <c r="C22" s="8" t="s">
        <v>869</v>
      </c>
      <c r="D22" s="93" t="n">
        <f aca="false">PnL!F$8</f>
        <v>95.7750562527848</v>
      </c>
      <c r="E22" s="93" t="n">
        <f aca="false">PnL!F$12</f>
        <v>58.391054802801</v>
      </c>
      <c r="F22" s="93" t="n">
        <f aca="false">PnL!F$13</f>
        <v>0.609668707984739</v>
      </c>
      <c r="G22" s="93" t="n">
        <f aca="false">PnL!F$16</f>
        <v>26.1666666666667</v>
      </c>
      <c r="H22" s="93" t="n">
        <f aca="false">PnL!F$17</f>
        <v>32.2243881361343</v>
      </c>
      <c r="I22" s="93" t="n">
        <f aca="false">PnL!F$18</f>
        <v>0.336459088586516</v>
      </c>
      <c r="J22" s="93" t="n">
        <f aca="false">PnL!F$21</f>
        <v>26.4239982716301</v>
      </c>
      <c r="K22" s="93" t="n">
        <f aca="false">PnL!F$26</f>
        <v>38.1005191497983</v>
      </c>
      <c r="L22" s="93" t="n">
        <f aca="false">FCF!F$25</f>
        <v>37.642568774322</v>
      </c>
      <c r="M22" s="93" t="n">
        <f aca="false">FCF!F$28</f>
        <v>96.8174048978764</v>
      </c>
      <c r="N22" s="93" t="n">
        <f aca="false">FCF!F$8</f>
        <v>2.87325168758354</v>
      </c>
      <c r="O22" s="93" t="n">
        <f aca="false">Budget!F$97</f>
        <v>95.7750562527848</v>
      </c>
      <c r="P22" s="93" t="n">
        <f aca="false">Budget!F$104</f>
        <v>58.391054802801</v>
      </c>
      <c r="Q22" s="93" t="n">
        <f aca="false">Budget!F$109</f>
        <v>32.2243881361343</v>
      </c>
      <c r="R22" s="93" t="n">
        <f aca="false">Actuals!F$100</f>
        <v>97.1353850811674</v>
      </c>
      <c r="S22" s="93" t="n">
        <f aca="false">Actuals!F$107</f>
        <v>58.9147733223458</v>
      </c>
      <c r="T22" s="93" t="n">
        <f aca="false">Actuals!F$112</f>
        <v>32.5147733223458</v>
      </c>
      <c r="U22" s="93" t="n">
        <f aca="false">Actuals!F$100</f>
        <v>97.1353850811674</v>
      </c>
      <c r="V22" s="93" t="n">
        <f aca="false">Actuals!F$112</f>
        <v>32.5147733223458</v>
      </c>
    </row>
    <row r="23" customFormat="false" ht="15" hidden="false" customHeight="false" outlineLevel="0" collapsed="false">
      <c r="A23" s="92" t="n">
        <f aca="false">Ops_Model!G$6</f>
        <v>46235</v>
      </c>
      <c r="B23" s="8" t="s">
        <v>736</v>
      </c>
      <c r="C23" s="8" t="s">
        <v>869</v>
      </c>
      <c r="D23" s="93" t="n">
        <f aca="false">PnL!G$8</f>
        <v>97.7497996806772</v>
      </c>
      <c r="E23" s="93" t="n">
        <f aca="false">PnL!G$12</f>
        <v>59.6343888958376</v>
      </c>
      <c r="F23" s="93" t="n">
        <f aca="false">PnL!G$13</f>
        <v>0.610071724859257</v>
      </c>
      <c r="G23" s="93" t="n">
        <f aca="false">PnL!G$16</f>
        <v>26.1666666666667</v>
      </c>
      <c r="H23" s="93" t="n">
        <f aca="false">PnL!G$17</f>
        <v>33.4677222291709</v>
      </c>
      <c r="I23" s="93" t="n">
        <f aca="false">PnL!G$18</f>
        <v>0.342381491711504</v>
      </c>
      <c r="J23" s="93" t="n">
        <f aca="false">PnL!G$21</f>
        <v>27.4435322279202</v>
      </c>
      <c r="K23" s="93" t="n">
        <f aca="false">PnL!G$26</f>
        <v>39.3917407709614</v>
      </c>
      <c r="L23" s="93" t="n">
        <f aca="false">FCF!G$25</f>
        <v>25.7004247262228</v>
      </c>
      <c r="M23" s="93" t="n">
        <f aca="false">FCF!G$28</f>
        <v>122.517829624099</v>
      </c>
      <c r="N23" s="93" t="n">
        <f aca="false">FCF!G$8</f>
        <v>2.93249399042032</v>
      </c>
      <c r="O23" s="93" t="n">
        <f aca="false">Budget!G$97</f>
        <v>97.7497996806772</v>
      </c>
      <c r="P23" s="93" t="n">
        <f aca="false">Budget!G$104</f>
        <v>59.6343888958376</v>
      </c>
      <c r="Q23" s="93" t="n">
        <f aca="false">Budget!G$109</f>
        <v>33.4677222291709</v>
      </c>
      <c r="R23" s="93" t="n">
        <f aca="false">Actuals!G$100</f>
        <v>102.173018664695</v>
      </c>
      <c r="S23" s="93" t="n">
        <f aca="false">Actuals!G$107</f>
        <v>62.0057342811644</v>
      </c>
      <c r="T23" s="93" t="n">
        <f aca="false">Actuals!G$112</f>
        <v>35.6057342811644</v>
      </c>
      <c r="U23" s="93" t="n">
        <f aca="false">Actuals!G$100</f>
        <v>102.173018664695</v>
      </c>
      <c r="V23" s="93" t="n">
        <f aca="false">Actuals!G$112</f>
        <v>35.6057342811644</v>
      </c>
    </row>
    <row r="24" customFormat="false" ht="15" hidden="false" customHeight="false" outlineLevel="0" collapsed="false">
      <c r="A24" s="92" t="n">
        <f aca="false">Ops_Model!H$6</f>
        <v>46266</v>
      </c>
      <c r="B24" s="8" t="s">
        <v>736</v>
      </c>
      <c r="C24" s="8" t="s">
        <v>1161</v>
      </c>
      <c r="D24" s="93" t="n">
        <f aca="false">PnL!H$8</f>
        <v>102.686658250408</v>
      </c>
      <c r="E24" s="93" t="n">
        <f aca="false">PnL!H$12</f>
        <v>62.6496646874303</v>
      </c>
      <c r="F24" s="93" t="n">
        <f aca="false">PnL!H$13</f>
        <v>0.610105205046743</v>
      </c>
      <c r="G24" s="93" t="n">
        <f aca="false">PnL!H$16</f>
        <v>26.1666666666667</v>
      </c>
      <c r="H24" s="93" t="n">
        <f aca="false">PnL!H$17</f>
        <v>36.4829980207636</v>
      </c>
      <c r="I24" s="93" t="n">
        <f aca="false">PnL!H$18</f>
        <v>0.355284694646478</v>
      </c>
      <c r="J24" s="93" t="n">
        <f aca="false">PnL!H$21</f>
        <v>29.9160583770262</v>
      </c>
      <c r="K24" s="93" t="n">
        <f aca="false">PnL!H$26</f>
        <v>42.4558914623944</v>
      </c>
      <c r="L24" s="93" t="n">
        <f aca="false">FCF!H$25</f>
        <v>24.1033514522004</v>
      </c>
      <c r="M24" s="93" t="n">
        <f aca="false">FCF!H$28</f>
        <v>146.6211810763</v>
      </c>
      <c r="N24" s="93" t="n">
        <f aca="false">FCF!H$8</f>
        <v>3.08059974751225</v>
      </c>
      <c r="O24" s="93" t="n">
        <f aca="false">Budget!H$97</f>
        <v>102.686658250408</v>
      </c>
      <c r="P24" s="93" t="n">
        <f aca="false">Budget!H$104</f>
        <v>62.6496646874303</v>
      </c>
      <c r="Q24" s="93" t="n">
        <f aca="false">Budget!H$109</f>
        <v>36.4829980207636</v>
      </c>
      <c r="R24" s="94"/>
      <c r="S24" s="94"/>
      <c r="T24" s="94"/>
      <c r="U24" s="93" t="n">
        <f aca="false">PnL!H$8</f>
        <v>102.686658250408</v>
      </c>
      <c r="V24" s="93" t="n">
        <f aca="false">PnL!H$17</f>
        <v>36.4829980207636</v>
      </c>
    </row>
    <row r="25" customFormat="false" ht="15" hidden="false" customHeight="false" outlineLevel="0" collapsed="false">
      <c r="A25" s="92" t="n">
        <f aca="false">Ops_Model!I$6</f>
        <v>46296</v>
      </c>
      <c r="B25" s="8" t="s">
        <v>737</v>
      </c>
      <c r="C25" s="8" t="s">
        <v>1161</v>
      </c>
      <c r="D25" s="93" t="n">
        <f aca="false">PnL!I$8</f>
        <v>101.699286536462</v>
      </c>
      <c r="E25" s="93" t="n">
        <f aca="false">PnL!I$12</f>
        <v>62.0146174248903</v>
      </c>
      <c r="F25" s="93" t="n">
        <f aca="false">PnL!I$13</f>
        <v>0.609784193546493</v>
      </c>
      <c r="G25" s="93" t="n">
        <f aca="false">PnL!I$16</f>
        <v>26.1666666666667</v>
      </c>
      <c r="H25" s="93" t="n">
        <f aca="false">PnL!I$17</f>
        <v>35.8479507582237</v>
      </c>
      <c r="I25" s="93" t="n">
        <f aca="false">PnL!I$18</f>
        <v>0.352489697608361</v>
      </c>
      <c r="J25" s="93" t="n">
        <f aca="false">PnL!I$21</f>
        <v>29.3953196217434</v>
      </c>
      <c r="K25" s="93" t="n">
        <f aca="false">PnL!I$26</f>
        <v>41.8721875289796</v>
      </c>
      <c r="L25" s="93" t="n">
        <f aca="false">FCF!I$25</f>
        <v>34.9460622852797</v>
      </c>
      <c r="M25" s="93" t="n">
        <f aca="false">FCF!I$28</f>
        <v>181.567243361579</v>
      </c>
      <c r="N25" s="93" t="n">
        <f aca="false">FCF!I$8</f>
        <v>3.05097859609387</v>
      </c>
      <c r="O25" s="93" t="n">
        <f aca="false">Budget!I$97</f>
        <v>101.699286536462</v>
      </c>
      <c r="P25" s="93" t="n">
        <f aca="false">Budget!I$104</f>
        <v>62.0146174248903</v>
      </c>
      <c r="Q25" s="93" t="n">
        <f aca="false">Budget!I$109</f>
        <v>35.8479507582237</v>
      </c>
      <c r="R25" s="94"/>
      <c r="S25" s="94"/>
      <c r="T25" s="94"/>
      <c r="U25" s="93" t="n">
        <f aca="false">PnL!I$8</f>
        <v>101.699286536462</v>
      </c>
      <c r="V25" s="93" t="n">
        <f aca="false">PnL!I$17</f>
        <v>35.8479507582237</v>
      </c>
    </row>
    <row r="26" customFormat="false" ht="15" hidden="false" customHeight="false" outlineLevel="0" collapsed="false">
      <c r="A26" s="92" t="n">
        <f aca="false">Ops_Model!J$6</f>
        <v>46327</v>
      </c>
      <c r="B26" s="8" t="s">
        <v>737</v>
      </c>
      <c r="C26" s="8" t="s">
        <v>1161</v>
      </c>
      <c r="D26" s="93" t="n">
        <f aca="false">PnL!J$8</f>
        <v>99.7245431085697</v>
      </c>
      <c r="E26" s="93" t="n">
        <f aca="false">PnL!J$12</f>
        <v>60.7640298018283</v>
      </c>
      <c r="F26" s="93" t="n">
        <f aca="false">PnL!J$13</f>
        <v>0.609318708391321</v>
      </c>
      <c r="G26" s="93" t="n">
        <f aca="false">PnL!J$16</f>
        <v>26.1666666666667</v>
      </c>
      <c r="H26" s="93" t="n">
        <f aca="false">PnL!J$17</f>
        <v>34.5973631351616</v>
      </c>
      <c r="I26" s="93" t="n">
        <f aca="false">PnL!J$18</f>
        <v>0.346929271939563</v>
      </c>
      <c r="J26" s="93" t="n">
        <f aca="false">PnL!J$21</f>
        <v>28.3698377708325</v>
      </c>
      <c r="K26" s="93" t="n">
        <f aca="false">PnL!J$26</f>
        <v>40.6724495491858</v>
      </c>
      <c r="L26" s="93" t="n">
        <f aca="false">FCF!J$25</f>
        <v>35.2033590804335</v>
      </c>
      <c r="M26" s="93" t="n">
        <f aca="false">FCF!J$28</f>
        <v>216.770602442013</v>
      </c>
      <c r="N26" s="93" t="n">
        <f aca="false">FCF!J$8</f>
        <v>2.99173629325709</v>
      </c>
      <c r="O26" s="93" t="n">
        <f aca="false">Budget!J$97</f>
        <v>99.7245431085697</v>
      </c>
      <c r="P26" s="93" t="n">
        <f aca="false">Budget!J$104</f>
        <v>60.7640298018283</v>
      </c>
      <c r="Q26" s="93" t="n">
        <f aca="false">Budget!J$109</f>
        <v>34.5973631351616</v>
      </c>
      <c r="R26" s="94"/>
      <c r="S26" s="94"/>
      <c r="T26" s="94"/>
      <c r="U26" s="93" t="n">
        <f aca="false">PnL!J$8</f>
        <v>99.7245431085697</v>
      </c>
      <c r="V26" s="93" t="n">
        <f aca="false">PnL!J$17</f>
        <v>34.5973631351616</v>
      </c>
    </row>
    <row r="27" customFormat="false" ht="15" hidden="false" customHeight="false" outlineLevel="0" collapsed="false">
      <c r="A27" s="92" t="n">
        <f aca="false">Ops_Model!K$6</f>
        <v>46357</v>
      </c>
      <c r="B27" s="8" t="s">
        <v>737</v>
      </c>
      <c r="C27" s="8" t="s">
        <v>1161</v>
      </c>
      <c r="D27" s="93" t="n">
        <f aca="false">PnL!K$8</f>
        <v>93.8003128248923</v>
      </c>
      <c r="E27" s="93" t="n">
        <f aca="false">PnL!K$12</f>
        <v>57.0885533546044</v>
      </c>
      <c r="F27" s="93" t="n">
        <f aca="false">PnL!K$13</f>
        <v>0.608617942044373</v>
      </c>
      <c r="G27" s="93" t="n">
        <f aca="false">PnL!K$16</f>
        <v>26.1666666666667</v>
      </c>
      <c r="H27" s="93" t="n">
        <f aca="false">PnL!K$17</f>
        <v>30.9218866879377</v>
      </c>
      <c r="I27" s="93" t="n">
        <f aca="false">PnL!K$18</f>
        <v>0.329656541185135</v>
      </c>
      <c r="J27" s="93" t="n">
        <f aca="false">PnL!K$21</f>
        <v>25.3559470841089</v>
      </c>
      <c r="K27" s="93" t="n">
        <f aca="false">PnL!K$26</f>
        <v>37.0468353735162</v>
      </c>
      <c r="L27" s="93" t="n">
        <f aca="false">FCF!K$25</f>
        <v>37.9092100580001</v>
      </c>
      <c r="M27" s="93" t="n">
        <f aca="false">FCF!K$28</f>
        <v>254.679812500013</v>
      </c>
      <c r="N27" s="93" t="n">
        <f aca="false">FCF!K$8</f>
        <v>2.81400938474677</v>
      </c>
      <c r="O27" s="93" t="n">
        <f aca="false">Budget!K$97</f>
        <v>93.8003128248923</v>
      </c>
      <c r="P27" s="93" t="n">
        <f aca="false">Budget!K$104</f>
        <v>57.0885533546044</v>
      </c>
      <c r="Q27" s="93" t="n">
        <f aca="false">Budget!K$109</f>
        <v>30.9218866879377</v>
      </c>
      <c r="R27" s="94"/>
      <c r="S27" s="94"/>
      <c r="T27" s="94"/>
      <c r="U27" s="93" t="n">
        <f aca="false">PnL!K$8</f>
        <v>93.8003128248923</v>
      </c>
      <c r="V27" s="93" t="n">
        <f aca="false">PnL!K$17</f>
        <v>30.9218866879377</v>
      </c>
    </row>
    <row r="28" customFormat="false" ht="15" hidden="false" customHeight="false" outlineLevel="0" collapsed="false">
      <c r="A28" s="92" t="n">
        <f aca="false">Ops_Model!L$6</f>
        <v>46388</v>
      </c>
      <c r="B28" s="8" t="s">
        <v>738</v>
      </c>
      <c r="C28" s="8" t="s">
        <v>1161</v>
      </c>
      <c r="D28" s="93" t="n">
        <f aca="false">PnL!L$8</f>
        <v>95.7750562527848</v>
      </c>
      <c r="E28" s="93" t="n">
        <f aca="false">PnL!L$12</f>
        <v>58.2540839743822</v>
      </c>
      <c r="F28" s="93" t="n">
        <f aca="false">PnL!L$13</f>
        <v>0.608238577491709</v>
      </c>
      <c r="G28" s="93" t="n">
        <f aca="false">PnL!L$16</f>
        <v>26.1666666666667</v>
      </c>
      <c r="H28" s="93" t="n">
        <f aca="false">PnL!L$17</f>
        <v>32.0874173077155</v>
      </c>
      <c r="I28" s="93" t="n">
        <f aca="false">PnL!L$18</f>
        <v>0.335028958093486</v>
      </c>
      <c r="J28" s="93" t="n">
        <f aca="false">PnL!L$21</f>
        <v>26.3116821923267</v>
      </c>
      <c r="K28" s="93" t="n">
        <f aca="false">PnL!L$26</f>
        <v>38.2592661497065</v>
      </c>
      <c r="L28" s="93" t="n">
        <f aca="false">FCF!L$25</f>
        <v>24.0333784870291</v>
      </c>
      <c r="M28" s="93" t="n">
        <f aca="false">FCF!L$28</f>
        <v>278.713190987042</v>
      </c>
      <c r="N28" s="93" t="n">
        <f aca="false">FCF!L$8</f>
        <v>2.87325168758354</v>
      </c>
      <c r="O28" s="93" t="n">
        <f aca="false">Budget!L$97</f>
        <v>95.7750562527848</v>
      </c>
      <c r="P28" s="93" t="n">
        <f aca="false">Budget!L$104</f>
        <v>58.2540839743822</v>
      </c>
      <c r="Q28" s="93" t="n">
        <f aca="false">Budget!L$109</f>
        <v>32.0874173077155</v>
      </c>
      <c r="R28" s="94"/>
      <c r="S28" s="94"/>
      <c r="T28" s="94"/>
      <c r="U28" s="93" t="n">
        <f aca="false">PnL!L$8</f>
        <v>95.7750562527848</v>
      </c>
      <c r="V28" s="93" t="n">
        <f aca="false">PnL!L$17</f>
        <v>32.0874173077155</v>
      </c>
    </row>
    <row r="29" customFormat="false" ht="15" hidden="false" customHeight="false" outlineLevel="0" collapsed="false">
      <c r="A29" s="92" t="n">
        <f aca="false">Ops_Model!M$6</f>
        <v>46419</v>
      </c>
      <c r="B29" s="8" t="s">
        <v>738</v>
      </c>
      <c r="C29" s="8" t="s">
        <v>1161</v>
      </c>
      <c r="D29" s="93" t="n">
        <f aca="false">PnL!M$8</f>
        <v>98.7371713946235</v>
      </c>
      <c r="E29" s="93" t="n">
        <f aca="false">PnL!M$12</f>
        <v>60.0226985129715</v>
      </c>
      <c r="F29" s="93" t="n">
        <f aca="false">PnL!M$13</f>
        <v>0.607903767802689</v>
      </c>
      <c r="G29" s="93" t="n">
        <f aca="false">PnL!M$16</f>
        <v>26.1666666666667</v>
      </c>
      <c r="H29" s="93" t="n">
        <f aca="false">PnL!M$17</f>
        <v>33.8560318463049</v>
      </c>
      <c r="I29" s="93" t="n">
        <f aca="false">PnL!M$18</f>
        <v>0.342890436986414</v>
      </c>
      <c r="J29" s="93" t="n">
        <f aca="false">PnL!M$21</f>
        <v>27.76194611397</v>
      </c>
      <c r="K29" s="93" t="n">
        <f aca="false">PnL!M$26</f>
        <v>40.0757682164222</v>
      </c>
      <c r="L29" s="93" t="n">
        <f aca="false">FCF!M$25</f>
        <v>24.6405874096082</v>
      </c>
      <c r="M29" s="93" t="n">
        <f aca="false">FCF!M$28</f>
        <v>303.35377839665</v>
      </c>
      <c r="N29" s="93" t="n">
        <f aca="false">FCF!M$8</f>
        <v>2.9621151418387</v>
      </c>
      <c r="O29" s="93" t="n">
        <f aca="false">Budget!M$97</f>
        <v>98.7371713946235</v>
      </c>
      <c r="P29" s="93" t="n">
        <f aca="false">Budget!M$104</f>
        <v>60.0226985129715</v>
      </c>
      <c r="Q29" s="93" t="n">
        <f aca="false">Budget!M$109</f>
        <v>33.8560318463049</v>
      </c>
      <c r="R29" s="94"/>
      <c r="S29" s="94"/>
      <c r="T29" s="94"/>
      <c r="U29" s="93" t="n">
        <f aca="false">PnL!M$8</f>
        <v>98.7371713946235</v>
      </c>
      <c r="V29" s="93" t="n">
        <f aca="false">PnL!M$17</f>
        <v>33.8560318463049</v>
      </c>
    </row>
    <row r="30" customFormat="false" ht="15" hidden="false" customHeight="false" outlineLevel="0" collapsed="false">
      <c r="A30" s="92" t="n">
        <f aca="false">Ops_Model!N$6</f>
        <v>46447</v>
      </c>
      <c r="B30" s="8" t="s">
        <v>738</v>
      </c>
      <c r="C30" s="8" t="s">
        <v>1161</v>
      </c>
      <c r="D30" s="93" t="n">
        <f aca="false">PnL!N$8</f>
        <v>106.636145106193</v>
      </c>
      <c r="E30" s="93" t="n">
        <f aca="false">PnL!N$12</f>
        <v>64.8149823467498</v>
      </c>
      <c r="F30" s="93" t="n">
        <f aca="false">PnL!N$13</f>
        <v>0.607814379282034</v>
      </c>
      <c r="G30" s="93" t="n">
        <f aca="false">PnL!N$16</f>
        <v>26.1666666666667</v>
      </c>
      <c r="H30" s="93" t="n">
        <f aca="false">PnL!N$17</f>
        <v>38.6483156800832</v>
      </c>
      <c r="I30" s="93" t="n">
        <f aca="false">PnL!N$18</f>
        <v>0.36243166556326</v>
      </c>
      <c r="J30" s="93" t="n">
        <f aca="false">PnL!N$21</f>
        <v>31.6916188576682</v>
      </c>
      <c r="K30" s="93" t="n">
        <f aca="false">PnL!N$26</f>
        <v>44.9174206358978</v>
      </c>
      <c r="L30" s="93" t="n">
        <f aca="false">FCF!N$25</f>
        <v>21.7015200794593</v>
      </c>
      <c r="M30" s="93" t="n">
        <f aca="false">FCF!N$28</f>
        <v>325.05529847611</v>
      </c>
      <c r="N30" s="93" t="n">
        <f aca="false">FCF!N$8</f>
        <v>3.1990843531858</v>
      </c>
      <c r="O30" s="93" t="n">
        <f aca="false">Budget!N$97</f>
        <v>106.636145106193</v>
      </c>
      <c r="P30" s="93" t="n">
        <f aca="false">Budget!N$104</f>
        <v>64.8149823467498</v>
      </c>
      <c r="Q30" s="93" t="n">
        <f aca="false">Budget!N$109</f>
        <v>38.6483156800832</v>
      </c>
      <c r="R30" s="94"/>
      <c r="S30" s="94"/>
      <c r="T30" s="94"/>
      <c r="U30" s="93" t="n">
        <f aca="false">PnL!N$8</f>
        <v>106.636145106193</v>
      </c>
      <c r="V30" s="93" t="n">
        <f aca="false">PnL!N$17</f>
        <v>38.6483156800832</v>
      </c>
    </row>
    <row r="32" customFormat="false" ht="15" hidden="false" customHeight="false" outlineLevel="0" collapsed="false">
      <c r="A32" s="21" t="s">
        <v>1162</v>
      </c>
      <c r="C32" s="4" t="s">
        <v>1163</v>
      </c>
    </row>
    <row r="33" customFormat="false" ht="24.05" hidden="false" customHeight="false" outlineLevel="0" collapsed="false">
      <c r="A33" s="18" t="s">
        <v>1141</v>
      </c>
      <c r="B33" s="19" t="s">
        <v>1164</v>
      </c>
      <c r="C33" s="19" t="s">
        <v>1165</v>
      </c>
      <c r="D33" s="19" t="s">
        <v>1166</v>
      </c>
      <c r="E33" s="19" t="s">
        <v>1167</v>
      </c>
      <c r="F33" s="19" t="s">
        <v>1168</v>
      </c>
      <c r="G33" s="19" t="s">
        <v>1169</v>
      </c>
      <c r="H33" s="19" t="s">
        <v>1170</v>
      </c>
      <c r="I33" s="19" t="s">
        <v>1144</v>
      </c>
      <c r="J33" s="19" t="s">
        <v>1171</v>
      </c>
      <c r="K33" s="19" t="s">
        <v>442</v>
      </c>
      <c r="L33" s="19" t="s">
        <v>1145</v>
      </c>
      <c r="M33" s="19" t="s">
        <v>1172</v>
      </c>
      <c r="N33" s="19" t="s">
        <v>1173</v>
      </c>
      <c r="O33" s="19" t="s">
        <v>1174</v>
      </c>
      <c r="P33" s="19" t="s">
        <v>1175</v>
      </c>
    </row>
    <row r="34" customFormat="false" ht="15" hidden="false" customHeight="false" outlineLevel="0" collapsed="false">
      <c r="A34" s="92" t="n">
        <f aca="false">Ops_Model!C$6</f>
        <v>46113</v>
      </c>
      <c r="B34" s="8" t="s">
        <v>837</v>
      </c>
      <c r="C34" s="8" t="s">
        <v>741</v>
      </c>
      <c r="D34" s="93" t="n">
        <f aca="false">Ops_Model!C$9</f>
        <v>23.9882879633362</v>
      </c>
      <c r="E34" s="93" t="n">
        <f aca="false">Ops_Model!C$10*Ops_Model!C$13</f>
        <v>32.2</v>
      </c>
      <c r="F34" s="93" t="n">
        <f aca="false">Ops_Model!C$20</f>
        <v>0.744977887060131</v>
      </c>
      <c r="G34" s="93" t="n">
        <f aca="false">Ops_Model!C$17</f>
        <v>23.9882879633362</v>
      </c>
      <c r="H34" s="93" t="n">
        <f aca="false">Ops_Model!C$19</f>
        <v>0</v>
      </c>
      <c r="I34" s="93" t="n">
        <f aca="false">Ops_Model!C$22</f>
        <v>47.4968101674057</v>
      </c>
      <c r="J34" s="93" t="n">
        <f aca="false">Ops_Model!C$21</f>
        <v>1.98</v>
      </c>
      <c r="K34" s="93" t="n">
        <f aca="false">Ops_Model!C$34</f>
        <v>29.49553873649</v>
      </c>
      <c r="L34" s="93" t="n">
        <f aca="false">Ops_Model!C$35</f>
        <v>0.621000413133661</v>
      </c>
      <c r="M34" s="93" t="n">
        <f aca="false">Ops_Model!C$13</f>
        <v>0.92</v>
      </c>
      <c r="N34" s="93" t="n">
        <f aca="false">Ops_Model!C$11</f>
        <v>0.8</v>
      </c>
      <c r="O34" s="93" t="n">
        <f aca="false">Ops_Model!C$27</f>
        <v>0.715854037267081</v>
      </c>
      <c r="P34" s="93" t="n">
        <f aca="false">Ops_Model!C$18</f>
        <v>22.5948786715043</v>
      </c>
    </row>
    <row r="35" customFormat="false" ht="15" hidden="false" customHeight="false" outlineLevel="0" collapsed="false">
      <c r="A35" s="92" t="n">
        <f aca="false">Ops_Model!D$6</f>
        <v>46143</v>
      </c>
      <c r="B35" s="8" t="s">
        <v>837</v>
      </c>
      <c r="C35" s="8" t="s">
        <v>741</v>
      </c>
      <c r="D35" s="93" t="n">
        <f aca="false">Ops_Model!D$9</f>
        <v>24.4880439625724</v>
      </c>
      <c r="E35" s="93" t="n">
        <f aca="false">Ops_Model!D$10*Ops_Model!D$13</f>
        <v>32.2</v>
      </c>
      <c r="F35" s="93" t="n">
        <f aca="false">Ops_Model!D$20</f>
        <v>0.760498259707217</v>
      </c>
      <c r="G35" s="93" t="n">
        <f aca="false">Ops_Model!D$17</f>
        <v>24.4880439625724</v>
      </c>
      <c r="H35" s="93" t="n">
        <f aca="false">Ops_Model!D$19</f>
        <v>0</v>
      </c>
      <c r="I35" s="93" t="n">
        <f aca="false">Ops_Model!D$22</f>
        <v>48.4863270458934</v>
      </c>
      <c r="J35" s="93" t="n">
        <f aca="false">Ops_Model!D$21</f>
        <v>1.98</v>
      </c>
      <c r="K35" s="93" t="n">
        <f aca="false">Ops_Model!D$34</f>
        <v>30.5609476092412</v>
      </c>
      <c r="L35" s="93" t="n">
        <f aca="false">Ops_Model!D$35</f>
        <v>0.630300323229569</v>
      </c>
      <c r="M35" s="93" t="n">
        <f aca="false">Ops_Model!D$13</f>
        <v>0.92</v>
      </c>
      <c r="N35" s="93" t="n">
        <f aca="false">Ops_Model!D$11</f>
        <v>0.8</v>
      </c>
      <c r="O35" s="93" t="n">
        <f aca="false">Ops_Model!D$27</f>
        <v>0.715854037267081</v>
      </c>
      <c r="P35" s="93" t="n">
        <f aca="false">Ops_Model!D$18</f>
        <v>23.8668347089319</v>
      </c>
    </row>
    <row r="36" customFormat="false" ht="15" hidden="false" customHeight="false" outlineLevel="0" collapsed="false">
      <c r="A36" s="92" t="n">
        <f aca="false">Ops_Model!E$6</f>
        <v>46174</v>
      </c>
      <c r="B36" s="8" t="s">
        <v>837</v>
      </c>
      <c r="C36" s="8" t="s">
        <v>741</v>
      </c>
      <c r="D36" s="93" t="n">
        <f aca="false">Ops_Model!E$9</f>
        <v>25.4875559610447</v>
      </c>
      <c r="E36" s="93" t="n">
        <f aca="false">Ops_Model!E$10*Ops_Model!E$13</f>
        <v>32.2</v>
      </c>
      <c r="F36" s="93" t="n">
        <f aca="false">Ops_Model!E$20</f>
        <v>0.79153900500139</v>
      </c>
      <c r="G36" s="93" t="n">
        <f aca="false">Ops_Model!E$17</f>
        <v>25.4875559610447</v>
      </c>
      <c r="H36" s="93" t="n">
        <f aca="false">Ops_Model!E$19</f>
        <v>0</v>
      </c>
      <c r="I36" s="93" t="n">
        <f aca="false">Ops_Model!E$22</f>
        <v>50.4653608028686</v>
      </c>
      <c r="J36" s="93" t="n">
        <f aca="false">Ops_Model!E$21</f>
        <v>1.98</v>
      </c>
      <c r="K36" s="93" t="n">
        <f aca="false">Ops_Model!E$34</f>
        <v>32.0220140601085</v>
      </c>
      <c r="L36" s="93" t="n">
        <f aca="false">Ops_Model!E$35</f>
        <v>0.634534531224204</v>
      </c>
      <c r="M36" s="93" t="n">
        <f aca="false">Ops_Model!E$13</f>
        <v>0.92</v>
      </c>
      <c r="N36" s="93" t="n">
        <f aca="false">Ops_Model!E$11</f>
        <v>0.8</v>
      </c>
      <c r="O36" s="93" t="n">
        <f aca="false">Ops_Model!E$27</f>
        <v>0.715854037267081</v>
      </c>
      <c r="P36" s="93" t="n">
        <f aca="false">Ops_Model!E$18</f>
        <v>24.1392787478871</v>
      </c>
    </row>
    <row r="37" customFormat="false" ht="15" hidden="false" customHeight="false" outlineLevel="0" collapsed="false">
      <c r="A37" s="92" t="n">
        <f aca="false">Ops_Model!F$6</f>
        <v>46204</v>
      </c>
      <c r="B37" s="8" t="s">
        <v>837</v>
      </c>
      <c r="C37" s="8" t="s">
        <v>741</v>
      </c>
      <c r="D37" s="93" t="n">
        <f aca="false">Ops_Model!F$9</f>
        <v>24.2381659629543</v>
      </c>
      <c r="E37" s="93" t="n">
        <f aca="false">Ops_Model!F$10*Ops_Model!F$13</f>
        <v>32.2</v>
      </c>
      <c r="F37" s="93" t="n">
        <f aca="false">Ops_Model!F$20</f>
        <v>0.752738073383674</v>
      </c>
      <c r="G37" s="93" t="n">
        <f aca="false">Ops_Model!F$17</f>
        <v>24.2381659629543</v>
      </c>
      <c r="H37" s="93" t="n">
        <f aca="false">Ops_Model!F$19</f>
        <v>0</v>
      </c>
      <c r="I37" s="93" t="n">
        <f aca="false">Ops_Model!F$22</f>
        <v>47.9915686066495</v>
      </c>
      <c r="J37" s="93" t="n">
        <f aca="false">Ops_Model!F$21</f>
        <v>1.98</v>
      </c>
      <c r="K37" s="93" t="n">
        <f aca="false">Ops_Model!F$34</f>
        <v>30.5495010933536</v>
      </c>
      <c r="L37" s="93" t="n">
        <f aca="false">Ops_Model!F$35</f>
        <v>0.636559753729759</v>
      </c>
      <c r="M37" s="93" t="n">
        <f aca="false">Ops_Model!F$13</f>
        <v>0.92</v>
      </c>
      <c r="N37" s="93" t="n">
        <f aca="false">Ops_Model!F$11</f>
        <v>0.8</v>
      </c>
      <c r="O37" s="93" t="n">
        <f aca="false">Ops_Model!F$27</f>
        <v>0.715854037267081</v>
      </c>
      <c r="P37" s="93" t="n">
        <f aca="false">Ops_Model!F$18</f>
        <v>25.6611127849328</v>
      </c>
    </row>
    <row r="38" customFormat="false" ht="15" hidden="false" customHeight="false" outlineLevel="0" collapsed="false">
      <c r="A38" s="92" t="n">
        <f aca="false">Ops_Model!G$6</f>
        <v>46235</v>
      </c>
      <c r="B38" s="8" t="s">
        <v>837</v>
      </c>
      <c r="C38" s="8" t="s">
        <v>741</v>
      </c>
      <c r="D38" s="93" t="n">
        <f aca="false">Ops_Model!G$9</f>
        <v>24.7379219621905</v>
      </c>
      <c r="E38" s="93" t="n">
        <f aca="false">Ops_Model!G$10*Ops_Model!G$13</f>
        <v>32.2</v>
      </c>
      <c r="F38" s="93" t="n">
        <f aca="false">Ops_Model!G$20</f>
        <v>0.76825844603076</v>
      </c>
      <c r="G38" s="93" t="n">
        <f aca="false">Ops_Model!G$17</f>
        <v>24.7379219621905</v>
      </c>
      <c r="H38" s="93" t="n">
        <f aca="false">Ops_Model!G$19</f>
        <v>0</v>
      </c>
      <c r="I38" s="93" t="n">
        <f aca="false">Ops_Model!G$22</f>
        <v>48.9810854851372</v>
      </c>
      <c r="J38" s="93" t="n">
        <f aca="false">Ops_Model!G$21</f>
        <v>1.98</v>
      </c>
      <c r="K38" s="93" t="n">
        <f aca="false">Ops_Model!G$34</f>
        <v>31.2259553259982</v>
      </c>
      <c r="L38" s="93" t="n">
        <f aca="false">Ops_Model!G$35</f>
        <v>0.637510480152047</v>
      </c>
      <c r="M38" s="93" t="n">
        <f aca="false">Ops_Model!G$13</f>
        <v>0.92</v>
      </c>
      <c r="N38" s="93" t="n">
        <f aca="false">Ops_Model!G$11</f>
        <v>0.8</v>
      </c>
      <c r="O38" s="93" t="n">
        <f aca="false">Ops_Model!G$27</f>
        <v>0.715854037267081</v>
      </c>
      <c r="P38" s="93" t="n">
        <f aca="false">Ops_Model!G$18</f>
        <v>26.6831908227423</v>
      </c>
    </row>
    <row r="39" customFormat="false" ht="15" hidden="false" customHeight="false" outlineLevel="0" collapsed="false">
      <c r="A39" s="92" t="n">
        <f aca="false">Ops_Model!H$6</f>
        <v>46266</v>
      </c>
      <c r="B39" s="8" t="s">
        <v>837</v>
      </c>
      <c r="C39" s="8" t="s">
        <v>741</v>
      </c>
      <c r="D39" s="93" t="n">
        <f aca="false">Ops_Model!H$9</f>
        <v>25.9873119602809</v>
      </c>
      <c r="E39" s="93" t="n">
        <f aca="false">Ops_Model!H$10*Ops_Model!H$13</f>
        <v>32.2</v>
      </c>
      <c r="F39" s="93" t="n">
        <f aca="false">Ops_Model!H$20</f>
        <v>0.807059377648476</v>
      </c>
      <c r="G39" s="93" t="n">
        <f aca="false">Ops_Model!H$17</f>
        <v>25.9873119602809</v>
      </c>
      <c r="H39" s="93" t="n">
        <f aca="false">Ops_Model!H$19</f>
        <v>0</v>
      </c>
      <c r="I39" s="93" t="n">
        <f aca="false">Ops_Model!H$22</f>
        <v>51.4548776813562</v>
      </c>
      <c r="J39" s="93" t="n">
        <f aca="false">Ops_Model!H$21</f>
        <v>1.98</v>
      </c>
      <c r="K39" s="93" t="n">
        <f aca="false">Ops_Model!H$34</f>
        <v>32.8269607091162</v>
      </c>
      <c r="L39" s="93" t="n">
        <f aca="false">Ops_Model!H$35</f>
        <v>0.637975682546623</v>
      </c>
      <c r="M39" s="93" t="n">
        <f aca="false">Ops_Model!H$13</f>
        <v>0.92</v>
      </c>
      <c r="N39" s="93" t="n">
        <f aca="false">Ops_Model!H$11</f>
        <v>0.8</v>
      </c>
      <c r="O39" s="93" t="n">
        <f aca="false">Ops_Model!H$27</f>
        <v>0.715854037267081</v>
      </c>
      <c r="P39" s="93" t="n">
        <f aca="false">Ops_Model!H$18</f>
        <v>26.4558788624614</v>
      </c>
    </row>
    <row r="40" customFormat="false" ht="15" hidden="false" customHeight="false" outlineLevel="0" collapsed="false">
      <c r="A40" s="92" t="n">
        <f aca="false">Ops_Model!I$6</f>
        <v>46296</v>
      </c>
      <c r="B40" s="8" t="s">
        <v>837</v>
      </c>
      <c r="C40" s="8" t="s">
        <v>741</v>
      </c>
      <c r="D40" s="93" t="n">
        <f aca="false">Ops_Model!I$9</f>
        <v>25.7374339606628</v>
      </c>
      <c r="E40" s="93" t="n">
        <f aca="false">Ops_Model!I$10*Ops_Model!I$13</f>
        <v>32.2</v>
      </c>
      <c r="F40" s="93" t="n">
        <f aca="false">Ops_Model!I$20</f>
        <v>0.799299191324933</v>
      </c>
      <c r="G40" s="93" t="n">
        <f aca="false">Ops_Model!I$17</f>
        <v>25.7374339606628</v>
      </c>
      <c r="H40" s="93" t="n">
        <f aca="false">Ops_Model!I$19</f>
        <v>0</v>
      </c>
      <c r="I40" s="93" t="n">
        <f aca="false">Ops_Model!I$22</f>
        <v>50.9601192421124</v>
      </c>
      <c r="J40" s="93" t="n">
        <f aca="false">Ops_Model!I$21</f>
        <v>1.98</v>
      </c>
      <c r="K40" s="93" t="n">
        <f aca="false">Ops_Model!I$34</f>
        <v>32.5234314134036</v>
      </c>
      <c r="L40" s="93" t="n">
        <f aca="false">Ops_Model!I$35</f>
        <v>0.638213408781172</v>
      </c>
      <c r="M40" s="93" t="n">
        <f aca="false">Ops_Model!I$13</f>
        <v>0.92</v>
      </c>
      <c r="N40" s="93" t="n">
        <f aca="false">Ops_Model!I$11</f>
        <v>0.8</v>
      </c>
      <c r="O40" s="93" t="n">
        <f aca="false">Ops_Model!I$27</f>
        <v>0.715854037267081</v>
      </c>
      <c r="P40" s="93" t="n">
        <f aca="false">Ops_Model!I$18</f>
        <v>26.4784449017986</v>
      </c>
    </row>
    <row r="41" customFormat="false" ht="15" hidden="false" customHeight="false" outlineLevel="0" collapsed="false">
      <c r="A41" s="92" t="n">
        <f aca="false">Ops_Model!J$6</f>
        <v>46327</v>
      </c>
      <c r="B41" s="8" t="s">
        <v>837</v>
      </c>
      <c r="C41" s="8" t="s">
        <v>741</v>
      </c>
      <c r="D41" s="93" t="n">
        <f aca="false">Ops_Model!J$9</f>
        <v>25.2376779614267</v>
      </c>
      <c r="E41" s="93" t="n">
        <f aca="false">Ops_Model!J$10*Ops_Model!J$13</f>
        <v>32.2</v>
      </c>
      <c r="F41" s="93" t="n">
        <f aca="false">Ops_Model!J$20</f>
        <v>0.783778818677847</v>
      </c>
      <c r="G41" s="93" t="n">
        <f aca="false">Ops_Model!J$17</f>
        <v>25.2376779614267</v>
      </c>
      <c r="H41" s="93" t="n">
        <f aca="false">Ops_Model!J$19</f>
        <v>0</v>
      </c>
      <c r="I41" s="93" t="n">
        <f aca="false">Ops_Model!J$22</f>
        <v>49.9706023636248</v>
      </c>
      <c r="J41" s="93" t="n">
        <f aca="false">Ops_Model!J$21</f>
        <v>1.98</v>
      </c>
      <c r="K41" s="93" t="n">
        <f aca="false">Ops_Model!J$34</f>
        <v>31.8979246925128</v>
      </c>
      <c r="L41" s="93" t="n">
        <f aca="false">Ops_Model!J$35</f>
        <v>0.638333803951348</v>
      </c>
      <c r="M41" s="93" t="n">
        <f aca="false">Ops_Model!J$13</f>
        <v>0.92</v>
      </c>
      <c r="N41" s="93" t="n">
        <f aca="false">Ops_Model!J$11</f>
        <v>0.8</v>
      </c>
      <c r="O41" s="93" t="n">
        <f aca="false">Ops_Model!J$27</f>
        <v>0.715854037267081</v>
      </c>
      <c r="P41" s="93" t="n">
        <f aca="false">Ops_Model!J$18</f>
        <v>27.0007669403719</v>
      </c>
    </row>
    <row r="42" customFormat="false" ht="15" hidden="false" customHeight="false" outlineLevel="0" collapsed="false">
      <c r="A42" s="92" t="n">
        <f aca="false">Ops_Model!K$6</f>
        <v>46357</v>
      </c>
      <c r="B42" s="8" t="s">
        <v>837</v>
      </c>
      <c r="C42" s="8" t="s">
        <v>741</v>
      </c>
      <c r="D42" s="93" t="n">
        <f aca="false">Ops_Model!K$9</f>
        <v>23.7384099637181</v>
      </c>
      <c r="E42" s="93" t="n">
        <f aca="false">Ops_Model!K$10*Ops_Model!K$13</f>
        <v>32.2</v>
      </c>
      <c r="F42" s="93" t="n">
        <f aca="false">Ops_Model!K$20</f>
        <v>0.737217700736588</v>
      </c>
      <c r="G42" s="93" t="n">
        <f aca="false">Ops_Model!K$17</f>
        <v>23.7384099637181</v>
      </c>
      <c r="H42" s="93" t="n">
        <f aca="false">Ops_Model!K$19</f>
        <v>0</v>
      </c>
      <c r="I42" s="93" t="n">
        <f aca="false">Ops_Model!K$22</f>
        <v>47.0020517281619</v>
      </c>
      <c r="J42" s="93" t="n">
        <f aca="false">Ops_Model!K$21</f>
        <v>1.98</v>
      </c>
      <c r="K42" s="93" t="n">
        <f aca="false">Ops_Model!K$34</f>
        <v>30.0058384006757</v>
      </c>
      <c r="L42" s="93" t="n">
        <f aca="false">Ops_Model!K$35</f>
        <v>0.638394225303516</v>
      </c>
      <c r="M42" s="93" t="n">
        <f aca="false">Ops_Model!K$13</f>
        <v>0.92</v>
      </c>
      <c r="N42" s="93" t="n">
        <f aca="false">Ops_Model!K$11</f>
        <v>0.8</v>
      </c>
      <c r="O42" s="93" t="n">
        <f aca="false">Ops_Model!K$27</f>
        <v>0.715854037267081</v>
      </c>
      <c r="P42" s="93" t="n">
        <f aca="false">Ops_Model!K$18</f>
        <v>29.0223569766538</v>
      </c>
    </row>
    <row r="43" customFormat="false" ht="15" hidden="false" customHeight="false" outlineLevel="0" collapsed="false">
      <c r="A43" s="92" t="n">
        <f aca="false">Ops_Model!L$6</f>
        <v>46388</v>
      </c>
      <c r="B43" s="8" t="s">
        <v>837</v>
      </c>
      <c r="C43" s="8" t="s">
        <v>741</v>
      </c>
      <c r="D43" s="93" t="n">
        <f aca="false">Ops_Model!L$9</f>
        <v>24.2381659629543</v>
      </c>
      <c r="E43" s="93" t="n">
        <f aca="false">Ops_Model!L$10*Ops_Model!L$13</f>
        <v>32.2</v>
      </c>
      <c r="F43" s="93" t="n">
        <f aca="false">Ops_Model!L$20</f>
        <v>0.752738073383674</v>
      </c>
      <c r="G43" s="93" t="n">
        <f aca="false">Ops_Model!L$17</f>
        <v>24.2381659629543</v>
      </c>
      <c r="H43" s="93" t="n">
        <f aca="false">Ops_Model!L$19</f>
        <v>0</v>
      </c>
      <c r="I43" s="93" t="n">
        <f aca="false">Ops_Model!L$22</f>
        <v>47.9915686066495</v>
      </c>
      <c r="J43" s="93" t="n">
        <f aca="false">Ops_Model!L$21</f>
        <v>1.98</v>
      </c>
      <c r="K43" s="93" t="n">
        <f aca="false">Ops_Model!L$34</f>
        <v>30.6389694543853</v>
      </c>
      <c r="L43" s="93" t="n">
        <f aca="false">Ops_Model!L$35</f>
        <v>0.63842400538123</v>
      </c>
      <c r="M43" s="93" t="n">
        <f aca="false">Ops_Model!L$13</f>
        <v>0.92</v>
      </c>
      <c r="N43" s="93" t="n">
        <f aca="false">Ops_Model!L$11</f>
        <v>0.8</v>
      </c>
      <c r="O43" s="93" t="n">
        <f aca="false">Ops_Model!L$27</f>
        <v>0.715854037267081</v>
      </c>
      <c r="P43" s="93" t="n">
        <f aca="false">Ops_Model!L$18</f>
        <v>30.5441910136995</v>
      </c>
    </row>
    <row r="44" customFormat="false" ht="15" hidden="false" customHeight="false" outlineLevel="0" collapsed="false">
      <c r="A44" s="92" t="n">
        <f aca="false">Ops_Model!M$6</f>
        <v>46419</v>
      </c>
      <c r="B44" s="8" t="s">
        <v>837</v>
      </c>
      <c r="C44" s="8" t="s">
        <v>741</v>
      </c>
      <c r="D44" s="93" t="n">
        <f aca="false">Ops_Model!M$9</f>
        <v>24.9877999618086</v>
      </c>
      <c r="E44" s="93" t="n">
        <f aca="false">Ops_Model!M$10*Ops_Model!M$13</f>
        <v>32.2</v>
      </c>
      <c r="F44" s="93" t="n">
        <f aca="false">Ops_Model!M$20</f>
        <v>0.776018632354304</v>
      </c>
      <c r="G44" s="93" t="n">
        <f aca="false">Ops_Model!M$17</f>
        <v>24.9877999618086</v>
      </c>
      <c r="H44" s="93" t="n">
        <f aca="false">Ops_Model!M$19</f>
        <v>0</v>
      </c>
      <c r="I44" s="93" t="n">
        <f aca="false">Ops_Model!M$22</f>
        <v>49.475843924381</v>
      </c>
      <c r="J44" s="93" t="n">
        <f aca="false">Ops_Model!M$21</f>
        <v>1.98</v>
      </c>
      <c r="K44" s="93" t="n">
        <f aca="false">Ops_Model!M$34</f>
        <v>31.5873259184687</v>
      </c>
      <c r="L44" s="93" t="n">
        <f aca="false">Ops_Model!M$35</f>
        <v>0.638439355713605</v>
      </c>
      <c r="M44" s="93" t="n">
        <f aca="false">Ops_Model!M$13</f>
        <v>0.92</v>
      </c>
      <c r="N44" s="93" t="n">
        <f aca="false">Ops_Model!M$11</f>
        <v>0.8</v>
      </c>
      <c r="O44" s="93" t="n">
        <f aca="false">Ops_Model!M$27</f>
        <v>0.715854037267081</v>
      </c>
      <c r="P44" s="93" t="n">
        <f aca="false">Ops_Model!M$18</f>
        <v>31.3163910518909</v>
      </c>
    </row>
    <row r="45" customFormat="false" ht="15" hidden="false" customHeight="false" outlineLevel="0" collapsed="false">
      <c r="A45" s="92" t="n">
        <f aca="false">Ops_Model!N$6</f>
        <v>46447</v>
      </c>
      <c r="B45" s="8" t="s">
        <v>837</v>
      </c>
      <c r="C45" s="8" t="s">
        <v>741</v>
      </c>
      <c r="D45" s="93" t="n">
        <f aca="false">Ops_Model!N$9</f>
        <v>26.9868239587533</v>
      </c>
      <c r="E45" s="93" t="n">
        <f aca="false">Ops_Model!N$10*Ops_Model!N$13</f>
        <v>32.2</v>
      </c>
      <c r="F45" s="93" t="n">
        <f aca="false">Ops_Model!N$20</f>
        <v>0.838100122942648</v>
      </c>
      <c r="G45" s="93" t="n">
        <f aca="false">Ops_Model!N$17</f>
        <v>26.9868239587533</v>
      </c>
      <c r="H45" s="93" t="n">
        <f aca="false">Ops_Model!N$19</f>
        <v>0</v>
      </c>
      <c r="I45" s="93" t="n">
        <f aca="false">Ops_Model!N$22</f>
        <v>53.4339114383315</v>
      </c>
      <c r="J45" s="93" t="n">
        <f aca="false">Ops_Model!N$21</f>
        <v>1.98</v>
      </c>
      <c r="K45" s="93" t="n">
        <f aca="false">Ops_Model!N$34</f>
        <v>34.1147509336772</v>
      </c>
      <c r="L45" s="93" t="n">
        <f aca="false">Ops_Model!N$35</f>
        <v>0.638447570379521</v>
      </c>
      <c r="M45" s="93" t="n">
        <f aca="false">Ops_Model!N$13</f>
        <v>0.92</v>
      </c>
      <c r="N45" s="93" t="n">
        <f aca="false">Ops_Model!N$11</f>
        <v>0.8</v>
      </c>
      <c r="O45" s="93" t="n">
        <f aca="false">Ops_Model!N$27</f>
        <v>0.715854037267081</v>
      </c>
      <c r="P45" s="93" t="n">
        <f aca="false">Ops_Model!N$18</f>
        <v>30.0895670931377</v>
      </c>
    </row>
    <row r="46" customFormat="false" ht="15" hidden="false" customHeight="false" outlineLevel="0" collapsed="false">
      <c r="A46" s="92" t="n">
        <f aca="false">Ops_Model!C$6</f>
        <v>46113</v>
      </c>
      <c r="B46" s="8" t="s">
        <v>1176</v>
      </c>
      <c r="C46" s="8" t="s">
        <v>745</v>
      </c>
      <c r="D46" s="93" t="n">
        <f aca="false">Ops_Model!C$39</f>
        <v>32.4277015128047</v>
      </c>
      <c r="E46" s="93" t="n">
        <f aca="false">Ops_Model!C$40*Ops_Model!C$43</f>
        <v>43.24</v>
      </c>
      <c r="F46" s="93" t="n">
        <f aca="false">Ops_Model!C$50</f>
        <v>0.749946843496872</v>
      </c>
      <c r="G46" s="93" t="n">
        <f aca="false">Ops_Model!C$47</f>
        <v>32.4277015128047</v>
      </c>
      <c r="H46" s="93" t="n">
        <f aca="false">Ops_Model!C$49</f>
        <v>0</v>
      </c>
      <c r="I46" s="93" t="n">
        <f aca="false">Ops_Model!C$52</f>
        <v>25.6827395981413</v>
      </c>
      <c r="J46" s="93" t="n">
        <f aca="false">Ops_Model!C$51</f>
        <v>0.792</v>
      </c>
      <c r="K46" s="93" t="n">
        <f aca="false">Ops_Model!C$64</f>
        <v>15.1517620940147</v>
      </c>
      <c r="L46" s="93" t="n">
        <f aca="false">Ops_Model!C$65</f>
        <v>0.589958950294822</v>
      </c>
      <c r="M46" s="93" t="n">
        <f aca="false">Ops_Model!C$43</f>
        <v>0.94</v>
      </c>
      <c r="N46" s="93" t="n">
        <f aca="false">Ops_Model!C$41</f>
        <v>0.8</v>
      </c>
      <c r="O46" s="93" t="n">
        <f aca="false">Ops_Model!C$57</f>
        <v>0.314685476410731</v>
      </c>
      <c r="P46" s="93" t="n">
        <f aca="false">Ops_Model!C$48</f>
        <v>31.5372165241561</v>
      </c>
    </row>
    <row r="47" customFormat="false" ht="15" hidden="false" customHeight="false" outlineLevel="0" collapsed="false">
      <c r="A47" s="92" t="n">
        <f aca="false">Ops_Model!D$6</f>
        <v>46143</v>
      </c>
      <c r="B47" s="8" t="s">
        <v>1176</v>
      </c>
      <c r="C47" s="8" t="s">
        <v>745</v>
      </c>
      <c r="D47" s="93" t="n">
        <f aca="false">Ops_Model!D$39</f>
        <v>33.1032786276548</v>
      </c>
      <c r="E47" s="93" t="n">
        <f aca="false">Ops_Model!D$40*Ops_Model!D$43</f>
        <v>43.24</v>
      </c>
      <c r="F47" s="93" t="n">
        <f aca="false">Ops_Model!D$50</f>
        <v>0.765570736069723</v>
      </c>
      <c r="G47" s="93" t="n">
        <f aca="false">Ops_Model!D$47</f>
        <v>33.1032786276548</v>
      </c>
      <c r="H47" s="93" t="n">
        <f aca="false">Ops_Model!D$49</f>
        <v>0</v>
      </c>
      <c r="I47" s="93" t="n">
        <f aca="false">Ops_Model!D$52</f>
        <v>26.2177966731026</v>
      </c>
      <c r="J47" s="93" t="n">
        <f aca="false">Ops_Model!D$51</f>
        <v>0.792</v>
      </c>
      <c r="K47" s="93" t="n">
        <f aca="false">Ops_Model!D$64</f>
        <v>15.6417468804614</v>
      </c>
      <c r="L47" s="93" t="n">
        <f aca="false">Ops_Model!D$65</f>
        <v>0.596607986380051</v>
      </c>
      <c r="M47" s="93" t="n">
        <f aca="false">Ops_Model!D$43</f>
        <v>0.94</v>
      </c>
      <c r="N47" s="93" t="n">
        <f aca="false">Ops_Model!D$41</f>
        <v>0.8</v>
      </c>
      <c r="O47" s="93" t="n">
        <f aca="false">Ops_Model!D$57</f>
        <v>0.314685476410731</v>
      </c>
      <c r="P47" s="93" t="n">
        <f aca="false">Ops_Model!D$48</f>
        <v>33.0259378965013</v>
      </c>
    </row>
    <row r="48" customFormat="false" ht="15" hidden="false" customHeight="false" outlineLevel="0" collapsed="false">
      <c r="A48" s="92" t="n">
        <f aca="false">Ops_Model!E$6</f>
        <v>46174</v>
      </c>
      <c r="B48" s="8" t="s">
        <v>1176</v>
      </c>
      <c r="C48" s="8" t="s">
        <v>745</v>
      </c>
      <c r="D48" s="93" t="n">
        <f aca="false">Ops_Model!E$39</f>
        <v>34.454432857355</v>
      </c>
      <c r="E48" s="93" t="n">
        <f aca="false">Ops_Model!E$40*Ops_Model!E$43</f>
        <v>43.24</v>
      </c>
      <c r="F48" s="93" t="n">
        <f aca="false">Ops_Model!E$50</f>
        <v>0.796818521215426</v>
      </c>
      <c r="G48" s="93" t="n">
        <f aca="false">Ops_Model!E$47</f>
        <v>34.454432857355</v>
      </c>
      <c r="H48" s="93" t="n">
        <f aca="false">Ops_Model!E$49</f>
        <v>0</v>
      </c>
      <c r="I48" s="93" t="n">
        <f aca="false">Ops_Model!E$52</f>
        <v>27.2879108230252</v>
      </c>
      <c r="J48" s="93" t="n">
        <f aca="false">Ops_Model!E$51</f>
        <v>0.792</v>
      </c>
      <c r="K48" s="93" t="n">
        <f aca="false">Ops_Model!E$64</f>
        <v>16.36480891778</v>
      </c>
      <c r="L48" s="93" t="n">
        <f aca="false">Ops_Model!E$65</f>
        <v>0.599709117488453</v>
      </c>
      <c r="M48" s="93" t="n">
        <f aca="false">Ops_Model!E$43</f>
        <v>0.94</v>
      </c>
      <c r="N48" s="93" t="n">
        <f aca="false">Ops_Model!E$41</f>
        <v>0.8</v>
      </c>
      <c r="O48" s="93" t="n">
        <f aca="false">Ops_Model!E$57</f>
        <v>0.314685476410731</v>
      </c>
      <c r="P48" s="93" t="n">
        <f aca="false">Ops_Model!E$48</f>
        <v>33.1635050391462</v>
      </c>
    </row>
    <row r="49" customFormat="false" ht="15" hidden="false" customHeight="false" outlineLevel="0" collapsed="false">
      <c r="A49" s="92" t="n">
        <f aca="false">Ops_Model!F$6</f>
        <v>46204</v>
      </c>
      <c r="B49" s="8" t="s">
        <v>1176</v>
      </c>
      <c r="C49" s="8" t="s">
        <v>745</v>
      </c>
      <c r="D49" s="93" t="n">
        <f aca="false">Ops_Model!F$39</f>
        <v>32.7654900702298</v>
      </c>
      <c r="E49" s="93" t="n">
        <f aca="false">Ops_Model!F$40*Ops_Model!F$43</f>
        <v>43.24</v>
      </c>
      <c r="F49" s="93" t="n">
        <f aca="false">Ops_Model!F$50</f>
        <v>0.757758789783298</v>
      </c>
      <c r="G49" s="93" t="n">
        <f aca="false">Ops_Model!F$47</f>
        <v>32.7654900702298</v>
      </c>
      <c r="H49" s="93" t="n">
        <f aca="false">Ops_Model!F$49</f>
        <v>0</v>
      </c>
      <c r="I49" s="93" t="n">
        <f aca="false">Ops_Model!F$52</f>
        <v>25.950268135622</v>
      </c>
      <c r="J49" s="93" t="n">
        <f aca="false">Ops_Model!F$51</f>
        <v>0.792</v>
      </c>
      <c r="K49" s="93" t="n">
        <f aca="false">Ops_Model!F$64</f>
        <v>15.6018382690958</v>
      </c>
      <c r="L49" s="93" t="n">
        <f aca="false">Ops_Model!F$65</f>
        <v>0.601220695969579</v>
      </c>
      <c r="M49" s="93" t="n">
        <f aca="false">Ops_Model!F$43</f>
        <v>0.94</v>
      </c>
      <c r="N49" s="93" t="n">
        <f aca="false">Ops_Model!F$41</f>
        <v>0.8</v>
      </c>
      <c r="O49" s="93" t="n">
        <f aca="false">Ops_Model!F$57</f>
        <v>0.314685476410731</v>
      </c>
      <c r="P49" s="93" t="n">
        <f aca="false">Ops_Model!F$48</f>
        <v>34.9900149689164</v>
      </c>
    </row>
    <row r="50" customFormat="false" ht="15" hidden="false" customHeight="false" outlineLevel="0" collapsed="false">
      <c r="A50" s="92" t="n">
        <f aca="false">Ops_Model!G$6</f>
        <v>46235</v>
      </c>
      <c r="B50" s="8" t="s">
        <v>1176</v>
      </c>
      <c r="C50" s="8" t="s">
        <v>745</v>
      </c>
      <c r="D50" s="93" t="n">
        <f aca="false">Ops_Model!G$39</f>
        <v>33.4410671850799</v>
      </c>
      <c r="E50" s="93" t="n">
        <f aca="false">Ops_Model!G$40*Ops_Model!G$43</f>
        <v>43.24</v>
      </c>
      <c r="F50" s="93" t="n">
        <f aca="false">Ops_Model!G$50</f>
        <v>0.773382682356149</v>
      </c>
      <c r="G50" s="93" t="n">
        <f aca="false">Ops_Model!G$47</f>
        <v>33.4410671850799</v>
      </c>
      <c r="H50" s="93" t="n">
        <f aca="false">Ops_Model!G$49</f>
        <v>0</v>
      </c>
      <c r="I50" s="93" t="n">
        <f aca="false">Ops_Model!G$52</f>
        <v>26.4853252105833</v>
      </c>
      <c r="J50" s="93" t="n">
        <f aca="false">Ops_Model!G$51</f>
        <v>0.792</v>
      </c>
      <c r="K50" s="93" t="n">
        <f aca="false">Ops_Model!G$64</f>
        <v>15.9426065815221</v>
      </c>
      <c r="L50" s="93" t="n">
        <f aca="false">Ops_Model!G$65</f>
        <v>0.601941129843164</v>
      </c>
      <c r="M50" s="93" t="n">
        <f aca="false">Ops_Model!G$43</f>
        <v>0.94</v>
      </c>
      <c r="N50" s="93" t="n">
        <f aca="false">Ops_Model!G$41</f>
        <v>0.8</v>
      </c>
      <c r="O50" s="93" t="n">
        <f aca="false">Ops_Model!G$57</f>
        <v>0.314685476410731</v>
      </c>
      <c r="P50" s="93" t="n">
        <f aca="false">Ops_Model!G$48</f>
        <v>36.1409477838366</v>
      </c>
    </row>
    <row r="51" customFormat="false" ht="15" hidden="false" customHeight="false" outlineLevel="0" collapsed="false">
      <c r="A51" s="92" t="n">
        <f aca="false">Ops_Model!H$6</f>
        <v>46266</v>
      </c>
      <c r="B51" s="8" t="s">
        <v>1176</v>
      </c>
      <c r="C51" s="8" t="s">
        <v>745</v>
      </c>
      <c r="D51" s="93" t="n">
        <f aca="false">Ops_Model!H$39</f>
        <v>35.1300099722051</v>
      </c>
      <c r="E51" s="93" t="n">
        <f aca="false">Ops_Model!H$40*Ops_Model!H$43</f>
        <v>43.24</v>
      </c>
      <c r="F51" s="93" t="n">
        <f aca="false">Ops_Model!H$50</f>
        <v>0.812442413788278</v>
      </c>
      <c r="G51" s="93" t="n">
        <f aca="false">Ops_Model!H$47</f>
        <v>35.1300099722051</v>
      </c>
      <c r="H51" s="93" t="n">
        <f aca="false">Ops_Model!H$49</f>
        <v>0</v>
      </c>
      <c r="I51" s="93" t="n">
        <f aca="false">Ops_Model!H$52</f>
        <v>27.8229678979865</v>
      </c>
      <c r="J51" s="93" t="n">
        <f aca="false">Ops_Model!H$51</f>
        <v>0.792</v>
      </c>
      <c r="K51" s="93" t="n">
        <f aca="false">Ops_Model!H$64</f>
        <v>16.7577043538156</v>
      </c>
      <c r="L51" s="93" t="n">
        <f aca="false">Ops_Model!H$65</f>
        <v>0.602297512445765</v>
      </c>
      <c r="M51" s="93" t="n">
        <f aca="false">Ops_Model!H$43</f>
        <v>0.94</v>
      </c>
      <c r="N51" s="93" t="n">
        <f aca="false">Ops_Model!H$41</f>
        <v>0.8</v>
      </c>
      <c r="O51" s="93" t="n">
        <f aca="false">Ops_Model!H$57</f>
        <v>0.314685476410731</v>
      </c>
      <c r="P51" s="93" t="n">
        <f aca="false">Ops_Model!H$48</f>
        <v>35.6029378116314</v>
      </c>
    </row>
    <row r="52" customFormat="false" ht="15" hidden="false" customHeight="false" outlineLevel="0" collapsed="false">
      <c r="A52" s="92" t="n">
        <f aca="false">Ops_Model!I$6</f>
        <v>46296</v>
      </c>
      <c r="B52" s="8" t="s">
        <v>1176</v>
      </c>
      <c r="C52" s="8" t="s">
        <v>745</v>
      </c>
      <c r="D52" s="93" t="n">
        <f aca="false">Ops_Model!I$39</f>
        <v>34.7922214147801</v>
      </c>
      <c r="E52" s="93" t="n">
        <f aca="false">Ops_Model!I$40*Ops_Model!I$43</f>
        <v>43.24</v>
      </c>
      <c r="F52" s="93" t="n">
        <f aca="false">Ops_Model!I$50</f>
        <v>0.804630467501852</v>
      </c>
      <c r="G52" s="93" t="n">
        <f aca="false">Ops_Model!I$47</f>
        <v>34.7922214147801</v>
      </c>
      <c r="H52" s="93" t="n">
        <f aca="false">Ops_Model!I$49</f>
        <v>0</v>
      </c>
      <c r="I52" s="93" t="n">
        <f aca="false">Ops_Model!I$52</f>
        <v>27.5554393605058</v>
      </c>
      <c r="J52" s="93" t="n">
        <f aca="false">Ops_Model!I$51</f>
        <v>0.792</v>
      </c>
      <c r="K52" s="93" t="n">
        <f aca="false">Ops_Model!I$64</f>
        <v>16.6016287035853</v>
      </c>
      <c r="L52" s="93" t="n">
        <f aca="false">Ops_Model!I$65</f>
        <v>0.602481001532488</v>
      </c>
      <c r="M52" s="93" t="n">
        <f aca="false">Ops_Model!I$43</f>
        <v>0.94</v>
      </c>
      <c r="N52" s="93" t="n">
        <f aca="false">Ops_Model!I$41</f>
        <v>0.8</v>
      </c>
      <c r="O52" s="93" t="n">
        <f aca="false">Ops_Model!I$57</f>
        <v>0.314685476410731</v>
      </c>
      <c r="P52" s="93" t="n">
        <f aca="false">Ops_Model!I$48</f>
        <v>35.4027163968514</v>
      </c>
    </row>
    <row r="53" customFormat="false" ht="15" hidden="false" customHeight="false" outlineLevel="0" collapsed="false">
      <c r="A53" s="92" t="n">
        <f aca="false">Ops_Model!J$6</f>
        <v>46327</v>
      </c>
      <c r="B53" s="8" t="s">
        <v>1176</v>
      </c>
      <c r="C53" s="8" t="s">
        <v>745</v>
      </c>
      <c r="D53" s="93" t="n">
        <f aca="false">Ops_Model!J$39</f>
        <v>34.11664429993</v>
      </c>
      <c r="E53" s="93" t="n">
        <f aca="false">Ops_Model!J$40*Ops_Model!J$43</f>
        <v>43.24</v>
      </c>
      <c r="F53" s="93" t="n">
        <f aca="false">Ops_Model!J$50</f>
        <v>0.789006574929</v>
      </c>
      <c r="G53" s="93" t="n">
        <f aca="false">Ops_Model!J$47</f>
        <v>34.11664429993</v>
      </c>
      <c r="H53" s="93" t="n">
        <f aca="false">Ops_Model!J$49</f>
        <v>0</v>
      </c>
      <c r="I53" s="93" t="n">
        <f aca="false">Ops_Model!J$52</f>
        <v>27.0203822855445</v>
      </c>
      <c r="J53" s="93" t="n">
        <f aca="false">Ops_Model!J$51</f>
        <v>0.792</v>
      </c>
      <c r="K53" s="93" t="n">
        <f aca="false">Ops_Model!J$64</f>
        <v>16.2817888489229</v>
      </c>
      <c r="L53" s="93" t="n">
        <f aca="false">Ops_Model!J$65</f>
        <v>0.602574333584963</v>
      </c>
      <c r="M53" s="93" t="n">
        <f aca="false">Ops_Model!J$43</f>
        <v>0.94</v>
      </c>
      <c r="N53" s="93" t="n">
        <f aca="false">Ops_Model!J$41</f>
        <v>0.8</v>
      </c>
      <c r="O53" s="93" t="n">
        <f aca="false">Ops_Model!J$57</f>
        <v>0.314685476410731</v>
      </c>
      <c r="P53" s="93" t="n">
        <f aca="false">Ops_Model!J$48</f>
        <v>35.8780720969214</v>
      </c>
    </row>
    <row r="54" customFormat="false" ht="15" hidden="false" customHeight="false" outlineLevel="0" collapsed="false">
      <c r="A54" s="92" t="n">
        <f aca="false">Ops_Model!K$6</f>
        <v>46357</v>
      </c>
      <c r="B54" s="8" t="s">
        <v>1176</v>
      </c>
      <c r="C54" s="8" t="s">
        <v>745</v>
      </c>
      <c r="D54" s="93" t="n">
        <f aca="false">Ops_Model!K$39</f>
        <v>32.0899129553797</v>
      </c>
      <c r="E54" s="93" t="n">
        <f aca="false">Ops_Model!K$40*Ops_Model!K$43</f>
        <v>43.24</v>
      </c>
      <c r="F54" s="93" t="n">
        <f aca="false">Ops_Model!K$50</f>
        <v>0.742134897210446</v>
      </c>
      <c r="G54" s="93" t="n">
        <f aca="false">Ops_Model!K$47</f>
        <v>32.0899129553797</v>
      </c>
      <c r="H54" s="93" t="n">
        <f aca="false">Ops_Model!K$49</f>
        <v>0</v>
      </c>
      <c r="I54" s="93" t="n">
        <f aca="false">Ops_Model!K$52</f>
        <v>25.4152110606607</v>
      </c>
      <c r="J54" s="93" t="n">
        <f aca="false">Ops_Model!K$51</f>
        <v>0.792</v>
      </c>
      <c r="K54" s="93" t="n">
        <f aca="false">Ops_Model!K$64</f>
        <v>15.3157455388997</v>
      </c>
      <c r="L54" s="93" t="n">
        <f aca="false">Ops_Model!K$65</f>
        <v>0.602621221690597</v>
      </c>
      <c r="M54" s="93" t="n">
        <f aca="false">Ops_Model!K$43</f>
        <v>0.94</v>
      </c>
      <c r="N54" s="93" t="n">
        <f aca="false">Ops_Model!K$41</f>
        <v>0.8</v>
      </c>
      <c r="O54" s="93" t="n">
        <f aca="false">Ops_Model!K$57</f>
        <v>0.314685476410731</v>
      </c>
      <c r="P54" s="93" t="n">
        <f aca="false">Ops_Model!K$48</f>
        <v>38.3801591415417</v>
      </c>
    </row>
    <row r="55" customFormat="false" ht="15" hidden="false" customHeight="false" outlineLevel="0" collapsed="false">
      <c r="A55" s="92" t="n">
        <f aca="false">Ops_Model!L$6</f>
        <v>46388</v>
      </c>
      <c r="B55" s="8" t="s">
        <v>1176</v>
      </c>
      <c r="C55" s="8" t="s">
        <v>745</v>
      </c>
      <c r="D55" s="93" t="n">
        <f aca="false">Ops_Model!L$39</f>
        <v>32.7654900702298</v>
      </c>
      <c r="E55" s="93" t="n">
        <f aca="false">Ops_Model!L$40*Ops_Model!L$43</f>
        <v>43.24</v>
      </c>
      <c r="F55" s="93" t="n">
        <f aca="false">Ops_Model!L$50</f>
        <v>0.757758789783298</v>
      </c>
      <c r="G55" s="93" t="n">
        <f aca="false">Ops_Model!L$47</f>
        <v>32.7654900702298</v>
      </c>
      <c r="H55" s="93" t="n">
        <f aca="false">Ops_Model!L$49</f>
        <v>0</v>
      </c>
      <c r="I55" s="93" t="n">
        <f aca="false">Ops_Model!L$52</f>
        <v>25.950268135622</v>
      </c>
      <c r="J55" s="93" t="n">
        <f aca="false">Ops_Model!L$51</f>
        <v>0.792</v>
      </c>
      <c r="K55" s="93" t="n">
        <f aca="false">Ops_Model!L$64</f>
        <v>15.6387805284512</v>
      </c>
      <c r="L55" s="93" t="n">
        <f aca="false">Ops_Model!L$65</f>
        <v>0.602644275069505</v>
      </c>
      <c r="M55" s="93" t="n">
        <f aca="false">Ops_Model!L$43</f>
        <v>0.94</v>
      </c>
      <c r="N55" s="93" t="n">
        <f aca="false">Ops_Model!L$41</f>
        <v>0.8</v>
      </c>
      <c r="O55" s="93" t="n">
        <f aca="false">Ops_Model!L$57</f>
        <v>0.314685476410731</v>
      </c>
      <c r="P55" s="93" t="n">
        <f aca="false">Ops_Model!L$48</f>
        <v>40.2066690713119</v>
      </c>
    </row>
    <row r="56" customFormat="false" ht="15" hidden="false" customHeight="false" outlineLevel="0" collapsed="false">
      <c r="A56" s="92" t="n">
        <f aca="false">Ops_Model!M$6</f>
        <v>46419</v>
      </c>
      <c r="B56" s="8" t="s">
        <v>1176</v>
      </c>
      <c r="C56" s="8" t="s">
        <v>745</v>
      </c>
      <c r="D56" s="93" t="n">
        <f aca="false">Ops_Model!M$39</f>
        <v>33.7788557425049</v>
      </c>
      <c r="E56" s="93" t="n">
        <f aca="false">Ops_Model!M$40*Ops_Model!M$43</f>
        <v>43.24</v>
      </c>
      <c r="F56" s="93" t="n">
        <f aca="false">Ops_Model!M$50</f>
        <v>0.781194628642575</v>
      </c>
      <c r="G56" s="93" t="n">
        <f aca="false">Ops_Model!M$47</f>
        <v>33.7788557425049</v>
      </c>
      <c r="H56" s="93" t="n">
        <f aca="false">Ops_Model!M$49</f>
        <v>0</v>
      </c>
      <c r="I56" s="93" t="n">
        <f aca="false">Ops_Model!M$52</f>
        <v>26.7528537480639</v>
      </c>
      <c r="J56" s="93" t="n">
        <f aca="false">Ops_Model!M$51</f>
        <v>0.792</v>
      </c>
      <c r="K56" s="93" t="n">
        <f aca="false">Ops_Model!M$64</f>
        <v>16.1227706121542</v>
      </c>
      <c r="L56" s="93" t="n">
        <f aca="false">Ops_Model!M$65</f>
        <v>0.602656104054729</v>
      </c>
      <c r="M56" s="93" t="n">
        <f aca="false">Ops_Model!M$43</f>
        <v>0.94</v>
      </c>
      <c r="N56" s="93" t="n">
        <f aca="false">Ops_Model!M$41</f>
        <v>0.8</v>
      </c>
      <c r="O56" s="93" t="n">
        <f aca="false">Ops_Model!M$57</f>
        <v>0.314685476410731</v>
      </c>
      <c r="P56" s="93" t="n">
        <f aca="false">Ops_Model!M$48</f>
        <v>41.019813328807</v>
      </c>
    </row>
    <row r="57" customFormat="false" ht="15" hidden="false" customHeight="false" outlineLevel="0" collapsed="false">
      <c r="A57" s="92" t="n">
        <f aca="false">Ops_Model!N$6</f>
        <v>46447</v>
      </c>
      <c r="B57" s="8" t="s">
        <v>1176</v>
      </c>
      <c r="C57" s="8" t="s">
        <v>745</v>
      </c>
      <c r="D57" s="93" t="n">
        <f aca="false">Ops_Model!N$39</f>
        <v>36.4811642019053</v>
      </c>
      <c r="E57" s="93" t="n">
        <f aca="false">Ops_Model!N$40*Ops_Model!N$43</f>
        <v>43.24</v>
      </c>
      <c r="F57" s="93" t="n">
        <f aca="false">Ops_Model!N$50</f>
        <v>0.843690198933981</v>
      </c>
      <c r="G57" s="93" t="n">
        <f aca="false">Ops_Model!N$47</f>
        <v>36.4811642019053</v>
      </c>
      <c r="H57" s="93" t="n">
        <f aca="false">Ops_Model!N$49</f>
        <v>0</v>
      </c>
      <c r="I57" s="93" t="n">
        <f aca="false">Ops_Model!N$52</f>
        <v>28.893082047909</v>
      </c>
      <c r="J57" s="93" t="n">
        <f aca="false">Ops_Model!N$51</f>
        <v>0.792</v>
      </c>
      <c r="K57" s="93" t="n">
        <f aca="false">Ops_Model!N$64</f>
        <v>17.4127740008245</v>
      </c>
      <c r="L57" s="93" t="n">
        <f aca="false">Ops_Model!N$65</f>
        <v>0.602662394131285</v>
      </c>
      <c r="M57" s="93" t="n">
        <f aca="false">Ops_Model!N$43</f>
        <v>0.94</v>
      </c>
      <c r="N57" s="93" t="n">
        <f aca="false">Ops_Model!N$41</f>
        <v>0.8</v>
      </c>
      <c r="O57" s="93" t="n">
        <f aca="false">Ops_Model!N$57</f>
        <v>0.314685476410731</v>
      </c>
      <c r="P57" s="93" t="n">
        <f aca="false">Ops_Model!N$48</f>
        <v>39.1306491269017</v>
      </c>
    </row>
    <row r="58" customFormat="false" ht="15" hidden="false" customHeight="false" outlineLevel="0" collapsed="false">
      <c r="A58" s="92" t="n">
        <f aca="false">Ops_Model!C$6</f>
        <v>46113</v>
      </c>
      <c r="B58" s="8" t="s">
        <v>838</v>
      </c>
      <c r="C58" s="8" t="s">
        <v>329</v>
      </c>
      <c r="D58" s="93" t="n">
        <f aca="false">Ops_Model!C$69</f>
        <v>0.873055950436019</v>
      </c>
      <c r="E58" s="93" t="n">
        <f aca="false">Ops_Model!C$70*Ops_Model!C$73</f>
        <v>1.105</v>
      </c>
      <c r="F58" s="93" t="n">
        <f aca="false">Ops_Model!C$80</f>
        <v>0.790095882747528</v>
      </c>
      <c r="G58" s="93" t="n">
        <f aca="false">Ops_Model!C$77</f>
        <v>0.873055950436019</v>
      </c>
      <c r="H58" s="93" t="n">
        <f aca="false">Ops_Model!C$79</f>
        <v>0</v>
      </c>
      <c r="I58" s="93" t="n">
        <f aca="false">Ops_Model!C$82</f>
        <v>21.6081347732915</v>
      </c>
      <c r="J58" s="93" t="n">
        <f aca="false">Ops_Model!C$81</f>
        <v>24.75</v>
      </c>
      <c r="K58" s="93" t="n">
        <f aca="false">Ops_Model!C$94</f>
        <v>11.9338035666989</v>
      </c>
      <c r="L58" s="93" t="n">
        <f aca="false">Ops_Model!C$95</f>
        <v>0.552282910667959</v>
      </c>
      <c r="M58" s="93" t="n">
        <f aca="false">Ops_Model!C$73</f>
        <v>0.85</v>
      </c>
      <c r="N58" s="93" t="n">
        <f aca="false">Ops_Model!C$71</f>
        <v>0.8</v>
      </c>
      <c r="O58" s="93" t="n">
        <f aca="false">Ops_Model!C$87</f>
        <v>10.6726696832579</v>
      </c>
      <c r="P58" s="93" t="n">
        <f aca="false">Ops_Model!C$78</f>
        <v>0.73849067492733</v>
      </c>
    </row>
    <row r="59" customFormat="false" ht="15" hidden="false" customHeight="false" outlineLevel="0" collapsed="false">
      <c r="A59" s="92" t="n">
        <f aca="false">Ops_Model!D$6</f>
        <v>46143</v>
      </c>
      <c r="B59" s="8" t="s">
        <v>838</v>
      </c>
      <c r="C59" s="8" t="s">
        <v>329</v>
      </c>
      <c r="D59" s="93" t="n">
        <f aca="false">Ops_Model!D$69</f>
        <v>0.891244616070102</v>
      </c>
      <c r="E59" s="93" t="n">
        <f aca="false">Ops_Model!D$70*Ops_Model!D$73</f>
        <v>1.105</v>
      </c>
      <c r="F59" s="93" t="n">
        <f aca="false">Ops_Model!D$80</f>
        <v>0.806556213638102</v>
      </c>
      <c r="G59" s="93" t="n">
        <f aca="false">Ops_Model!D$77</f>
        <v>0.891244616070102</v>
      </c>
      <c r="H59" s="93" t="n">
        <f aca="false">Ops_Model!D$79</f>
        <v>0</v>
      </c>
      <c r="I59" s="93" t="n">
        <f aca="false">Ops_Model!D$82</f>
        <v>22.058304247735</v>
      </c>
      <c r="J59" s="93" t="n">
        <f aca="false">Ops_Model!D$81</f>
        <v>24.75</v>
      </c>
      <c r="K59" s="93" t="n">
        <f aca="false">Ops_Model!D$94</f>
        <v>12.3807033428055</v>
      </c>
      <c r="L59" s="93" t="n">
        <f aca="false">Ops_Model!D$95</f>
        <v>0.561271764309661</v>
      </c>
      <c r="M59" s="93" t="n">
        <f aca="false">Ops_Model!D$73</f>
        <v>0.85</v>
      </c>
      <c r="N59" s="93" t="n">
        <f aca="false">Ops_Model!D$71</f>
        <v>0.8</v>
      </c>
      <c r="O59" s="93" t="n">
        <f aca="false">Ops_Model!D$87</f>
        <v>10.6726696832579</v>
      </c>
      <c r="P59" s="93" t="n">
        <f aca="false">Ops_Model!D$78</f>
        <v>0.731246058857228</v>
      </c>
    </row>
    <row r="60" customFormat="false" ht="15" hidden="false" customHeight="false" outlineLevel="0" collapsed="false">
      <c r="A60" s="92" t="n">
        <f aca="false">Ops_Model!E$6</f>
        <v>46174</v>
      </c>
      <c r="B60" s="8" t="s">
        <v>838</v>
      </c>
      <c r="C60" s="8" t="s">
        <v>329</v>
      </c>
      <c r="D60" s="93" t="n">
        <f aca="false">Ops_Model!E$69</f>
        <v>0.92762194733827</v>
      </c>
      <c r="E60" s="93" t="n">
        <f aca="false">Ops_Model!E$70*Ops_Model!E$73</f>
        <v>1.105</v>
      </c>
      <c r="F60" s="93" t="n">
        <f aca="false">Ops_Model!E$80</f>
        <v>0.839476875419249</v>
      </c>
      <c r="G60" s="93" t="n">
        <f aca="false">Ops_Model!E$77</f>
        <v>0.92762194733827</v>
      </c>
      <c r="H60" s="93" t="n">
        <f aca="false">Ops_Model!E$79</f>
        <v>0</v>
      </c>
      <c r="I60" s="93" t="n">
        <f aca="false">Ops_Model!E$82</f>
        <v>22.9586431966222</v>
      </c>
      <c r="J60" s="93" t="n">
        <f aca="false">Ops_Model!E$81</f>
        <v>24.75</v>
      </c>
      <c r="K60" s="93" t="n">
        <f aca="false">Ops_Model!E$94</f>
        <v>12.9803914208544</v>
      </c>
      <c r="L60" s="93" t="n">
        <f aca="false">Ops_Model!E$95</f>
        <v>0.56538146917864</v>
      </c>
      <c r="M60" s="93" t="n">
        <f aca="false">Ops_Model!E$73</f>
        <v>0.85</v>
      </c>
      <c r="N60" s="93" t="n">
        <f aca="false">Ops_Model!E$71</f>
        <v>0.8</v>
      </c>
      <c r="O60" s="93" t="n">
        <f aca="false">Ops_Model!E$87</f>
        <v>10.6726696832579</v>
      </c>
      <c r="P60" s="93" t="n">
        <f aca="false">Ops_Model!E$78</f>
        <v>0.687624111518958</v>
      </c>
    </row>
    <row r="61" customFormat="false" ht="15" hidden="false" customHeight="false" outlineLevel="0" collapsed="false">
      <c r="A61" s="92" t="n">
        <f aca="false">Ops_Model!F$6</f>
        <v>46204</v>
      </c>
      <c r="B61" s="8" t="s">
        <v>838</v>
      </c>
      <c r="C61" s="8" t="s">
        <v>329</v>
      </c>
      <c r="D61" s="93" t="n">
        <f aca="false">Ops_Model!F$69</f>
        <v>0.88215028325306</v>
      </c>
      <c r="E61" s="93" t="n">
        <f aca="false">Ops_Model!F$70*Ops_Model!F$73</f>
        <v>1.105</v>
      </c>
      <c r="F61" s="93" t="n">
        <f aca="false">Ops_Model!F$80</f>
        <v>0.798326048192815</v>
      </c>
      <c r="G61" s="93" t="n">
        <f aca="false">Ops_Model!F$77</f>
        <v>0.88215028325306</v>
      </c>
      <c r="H61" s="93" t="n">
        <f aca="false">Ops_Model!F$79</f>
        <v>0</v>
      </c>
      <c r="I61" s="93" t="n">
        <f aca="false">Ops_Model!F$82</f>
        <v>21.8332195105132</v>
      </c>
      <c r="J61" s="93" t="n">
        <f aca="false">Ops_Model!F$81</f>
        <v>24.75</v>
      </c>
      <c r="K61" s="93" t="n">
        <f aca="false">Ops_Model!F$94</f>
        <v>12.3858464540155</v>
      </c>
      <c r="L61" s="93" t="n">
        <f aca="false">Ops_Model!F$95</f>
        <v>0.567293634731764</v>
      </c>
      <c r="M61" s="93" t="n">
        <f aca="false">Ops_Model!F$73</f>
        <v>0.85</v>
      </c>
      <c r="N61" s="93" t="n">
        <f aca="false">Ops_Model!F$71</f>
        <v>0.8</v>
      </c>
      <c r="O61" s="93" t="n">
        <f aca="false">Ops_Model!F$87</f>
        <v>10.6726696832579</v>
      </c>
      <c r="P61" s="93" t="n">
        <f aca="false">Ops_Model!F$78</f>
        <v>0.689473828265897</v>
      </c>
    </row>
    <row r="62" customFormat="false" ht="15" hidden="false" customHeight="false" outlineLevel="0" collapsed="false">
      <c r="A62" s="92" t="n">
        <f aca="false">Ops_Model!G$6</f>
        <v>46235</v>
      </c>
      <c r="B62" s="8" t="s">
        <v>838</v>
      </c>
      <c r="C62" s="8" t="s">
        <v>329</v>
      </c>
      <c r="D62" s="93" t="n">
        <f aca="false">Ops_Model!G$69</f>
        <v>0.900338948887144</v>
      </c>
      <c r="E62" s="93" t="n">
        <f aca="false">Ops_Model!G$70*Ops_Model!G$73</f>
        <v>1.105</v>
      </c>
      <c r="F62" s="93" t="n">
        <f aca="false">Ops_Model!G$80</f>
        <v>0.814786379083388</v>
      </c>
      <c r="G62" s="93" t="n">
        <f aca="false">Ops_Model!G$77</f>
        <v>0.900338948887144</v>
      </c>
      <c r="H62" s="93" t="n">
        <f aca="false">Ops_Model!G$79</f>
        <v>0</v>
      </c>
      <c r="I62" s="93" t="n">
        <f aca="false">Ops_Model!G$82</f>
        <v>22.2833889849568</v>
      </c>
      <c r="J62" s="93" t="n">
        <f aca="false">Ops_Model!G$81</f>
        <v>24.75</v>
      </c>
      <c r="K62" s="93" t="n">
        <f aca="false">Ops_Model!G$94</f>
        <v>12.6598455301077</v>
      </c>
      <c r="L62" s="93" t="n">
        <f aca="false">Ops_Model!G$95</f>
        <v>0.568129270581516</v>
      </c>
      <c r="M62" s="93" t="n">
        <f aca="false">Ops_Model!G$73</f>
        <v>0.85</v>
      </c>
      <c r="N62" s="93" t="n">
        <f aca="false">Ops_Model!G$71</f>
        <v>0.8</v>
      </c>
      <c r="O62" s="93" t="n">
        <f aca="false">Ops_Model!G$87</f>
        <v>10.6726696832579</v>
      </c>
      <c r="P62" s="93" t="n">
        <f aca="false">Ops_Model!G$78</f>
        <v>0.673134879378753</v>
      </c>
    </row>
    <row r="63" customFormat="false" ht="15" hidden="false" customHeight="false" outlineLevel="0" collapsed="false">
      <c r="A63" s="92" t="n">
        <f aca="false">Ops_Model!H$6</f>
        <v>46266</v>
      </c>
      <c r="B63" s="8" t="s">
        <v>838</v>
      </c>
      <c r="C63" s="8" t="s">
        <v>329</v>
      </c>
      <c r="D63" s="93" t="n">
        <f aca="false">Ops_Model!H$69</f>
        <v>0.945810612972354</v>
      </c>
      <c r="E63" s="93" t="n">
        <f aca="false">Ops_Model!H$70*Ops_Model!H$73</f>
        <v>1.105</v>
      </c>
      <c r="F63" s="93" t="n">
        <f aca="false">Ops_Model!H$80</f>
        <v>0.855937206309822</v>
      </c>
      <c r="G63" s="93" t="n">
        <f aca="false">Ops_Model!H$77</f>
        <v>0.945810612972354</v>
      </c>
      <c r="H63" s="93" t="n">
        <f aca="false">Ops_Model!H$79</f>
        <v>0</v>
      </c>
      <c r="I63" s="93" t="n">
        <f aca="false">Ops_Model!H$82</f>
        <v>23.4088126710658</v>
      </c>
      <c r="J63" s="93" t="n">
        <f aca="false">Ops_Model!H$81</f>
        <v>24.75</v>
      </c>
      <c r="K63" s="93" t="n">
        <f aca="false">Ops_Model!H$94</f>
        <v>13.3078930661292</v>
      </c>
      <c r="L63" s="93" t="n">
        <f aca="false">Ops_Model!H$95</f>
        <v>0.568499276453193</v>
      </c>
      <c r="M63" s="93" t="n">
        <f aca="false">Ops_Model!H$73</f>
        <v>0.85</v>
      </c>
      <c r="N63" s="93" t="n">
        <f aca="false">Ops_Model!H$71</f>
        <v>0.8</v>
      </c>
      <c r="O63" s="93" t="n">
        <f aca="false">Ops_Model!H$87</f>
        <v>10.6726696832579</v>
      </c>
      <c r="P63" s="93" t="n">
        <f aca="false">Ops_Model!H$78</f>
        <v>0.611324266406399</v>
      </c>
    </row>
    <row r="64" customFormat="false" ht="15" hidden="false" customHeight="false" outlineLevel="0" collapsed="false">
      <c r="A64" s="92" t="n">
        <f aca="false">Ops_Model!I$6</f>
        <v>46296</v>
      </c>
      <c r="B64" s="8" t="s">
        <v>838</v>
      </c>
      <c r="C64" s="8" t="s">
        <v>329</v>
      </c>
      <c r="D64" s="93" t="n">
        <f aca="false">Ops_Model!I$69</f>
        <v>0.936716280155312</v>
      </c>
      <c r="E64" s="93" t="n">
        <f aca="false">Ops_Model!I$70*Ops_Model!I$73</f>
        <v>1.105</v>
      </c>
      <c r="F64" s="93" t="n">
        <f aca="false">Ops_Model!I$80</f>
        <v>0.847707040864536</v>
      </c>
      <c r="G64" s="93" t="n">
        <f aca="false">Ops_Model!I$77</f>
        <v>0.936716280155312</v>
      </c>
      <c r="H64" s="93" t="n">
        <f aca="false">Ops_Model!I$79</f>
        <v>0</v>
      </c>
      <c r="I64" s="93" t="n">
        <f aca="false">Ops_Model!I$82</f>
        <v>23.183727933844</v>
      </c>
      <c r="J64" s="93" t="n">
        <f aca="false">Ops_Model!I$81</f>
        <v>24.75</v>
      </c>
      <c r="K64" s="93" t="n">
        <f aca="false">Ops_Model!I$94</f>
        <v>13.1837940786575</v>
      </c>
      <c r="L64" s="93" t="n">
        <f aca="false">Ops_Model!I$95</f>
        <v>0.568665838224039</v>
      </c>
      <c r="M64" s="93" t="n">
        <f aca="false">Ops_Model!I$73</f>
        <v>0.85</v>
      </c>
      <c r="N64" s="93" t="n">
        <f aca="false">Ops_Model!I$71</f>
        <v>0.8</v>
      </c>
      <c r="O64" s="93" t="n">
        <f aca="false">Ops_Model!I$87</f>
        <v>10.6726696832579</v>
      </c>
      <c r="P64" s="93" t="n">
        <f aca="false">Ops_Model!I$78</f>
        <v>0.558607986251087</v>
      </c>
    </row>
    <row r="65" customFormat="false" ht="15" hidden="false" customHeight="false" outlineLevel="0" collapsed="false">
      <c r="A65" s="92" t="n">
        <f aca="false">Ops_Model!J$6</f>
        <v>46327</v>
      </c>
      <c r="B65" s="8" t="s">
        <v>838</v>
      </c>
      <c r="C65" s="8" t="s">
        <v>329</v>
      </c>
      <c r="D65" s="93" t="n">
        <f aca="false">Ops_Model!J$69</f>
        <v>0.918527614521228</v>
      </c>
      <c r="E65" s="93" t="n">
        <f aca="false">Ops_Model!J$70*Ops_Model!J$73</f>
        <v>1.105</v>
      </c>
      <c r="F65" s="93" t="n">
        <f aca="false">Ops_Model!J$80</f>
        <v>0.831246709973962</v>
      </c>
      <c r="G65" s="93" t="n">
        <f aca="false">Ops_Model!J$77</f>
        <v>0.918527614521228</v>
      </c>
      <c r="H65" s="93" t="n">
        <f aca="false">Ops_Model!J$79</f>
        <v>0</v>
      </c>
      <c r="I65" s="93" t="n">
        <f aca="false">Ops_Model!J$82</f>
        <v>22.7335584594004</v>
      </c>
      <c r="J65" s="93" t="n">
        <f aca="false">Ops_Model!J$81</f>
        <v>24.75</v>
      </c>
      <c r="K65" s="93" t="n">
        <f aca="false">Ops_Model!J$94</f>
        <v>12.9294026744167</v>
      </c>
      <c r="L65" s="93" t="n">
        <f aca="false">Ops_Model!J$95</f>
        <v>0.568736420983419</v>
      </c>
      <c r="M65" s="93" t="n">
        <f aca="false">Ops_Model!J$73</f>
        <v>0.85</v>
      </c>
      <c r="N65" s="93" t="n">
        <f aca="false">Ops_Model!J$71</f>
        <v>0.8</v>
      </c>
      <c r="O65" s="93" t="n">
        <f aca="false">Ops_Model!J$87</f>
        <v>10.6726696832579</v>
      </c>
      <c r="P65" s="93" t="n">
        <f aca="false">Ops_Model!J$78</f>
        <v>0.524080371729859</v>
      </c>
    </row>
    <row r="66" customFormat="false" ht="15" hidden="false" customHeight="false" outlineLevel="0" collapsed="false">
      <c r="A66" s="92" t="n">
        <f aca="false">Ops_Model!K$6</f>
        <v>46357</v>
      </c>
      <c r="B66" s="8" t="s">
        <v>838</v>
      </c>
      <c r="C66" s="8" t="s">
        <v>329</v>
      </c>
      <c r="D66" s="93" t="n">
        <f aca="false">Ops_Model!K$69</f>
        <v>0.863961617618977</v>
      </c>
      <c r="E66" s="93" t="n">
        <f aca="false">Ops_Model!K$70*Ops_Model!K$73</f>
        <v>1.105</v>
      </c>
      <c r="F66" s="93" t="n">
        <f aca="false">Ops_Model!K$80</f>
        <v>0.781865717302241</v>
      </c>
      <c r="G66" s="93" t="n">
        <f aca="false">Ops_Model!K$77</f>
        <v>0.863961617618977</v>
      </c>
      <c r="H66" s="93" t="n">
        <f aca="false">Ops_Model!K$79</f>
        <v>0</v>
      </c>
      <c r="I66" s="93" t="n">
        <f aca="false">Ops_Model!K$82</f>
        <v>21.3830500360697</v>
      </c>
      <c r="J66" s="93" t="n">
        <f aca="false">Ops_Model!K$81</f>
        <v>24.75</v>
      </c>
      <c r="K66" s="93" t="n">
        <f aca="false">Ops_Model!K$94</f>
        <v>12.1619181006074</v>
      </c>
      <c r="L66" s="93" t="n">
        <f aca="false">Ops_Model!K$95</f>
        <v>0.568764422292061</v>
      </c>
      <c r="M66" s="93" t="n">
        <f aca="false">Ops_Model!K$73</f>
        <v>0.85</v>
      </c>
      <c r="N66" s="93" t="n">
        <f aca="false">Ops_Model!K$71</f>
        <v>0.8</v>
      </c>
      <c r="O66" s="93" t="n">
        <f aca="false">Ops_Model!K$87</f>
        <v>10.6726696832579</v>
      </c>
      <c r="P66" s="93" t="n">
        <f aca="false">Ops_Model!K$78</f>
        <v>0.544118754110883</v>
      </c>
    </row>
    <row r="67" customFormat="false" ht="15" hidden="false" customHeight="false" outlineLevel="0" collapsed="false">
      <c r="A67" s="92" t="n">
        <f aca="false">Ops_Model!L$6</f>
        <v>46388</v>
      </c>
      <c r="B67" s="8" t="s">
        <v>838</v>
      </c>
      <c r="C67" s="8" t="s">
        <v>329</v>
      </c>
      <c r="D67" s="93" t="n">
        <f aca="false">Ops_Model!L$69</f>
        <v>0.88215028325306</v>
      </c>
      <c r="E67" s="93" t="n">
        <f aca="false">Ops_Model!L$70*Ops_Model!L$73</f>
        <v>1.105</v>
      </c>
      <c r="F67" s="93" t="n">
        <f aca="false">Ops_Model!L$80</f>
        <v>0.798326048192815</v>
      </c>
      <c r="G67" s="93" t="n">
        <f aca="false">Ops_Model!L$77</f>
        <v>0.88215028325306</v>
      </c>
      <c r="H67" s="93" t="n">
        <f aca="false">Ops_Model!L$79</f>
        <v>0</v>
      </c>
      <c r="I67" s="93" t="n">
        <f aca="false">Ops_Model!L$82</f>
        <v>21.8332195105132</v>
      </c>
      <c r="J67" s="93" t="n">
        <f aca="false">Ops_Model!L$81</f>
        <v>24.75</v>
      </c>
      <c r="K67" s="93" t="n">
        <f aca="false">Ops_Model!L$94</f>
        <v>12.4181828335367</v>
      </c>
      <c r="L67" s="93" t="n">
        <f aca="false">Ops_Model!L$95</f>
        <v>0.568774698003517</v>
      </c>
      <c r="M67" s="93" t="n">
        <f aca="false">Ops_Model!L$73</f>
        <v>0.85</v>
      </c>
      <c r="N67" s="93" t="n">
        <f aca="false">Ops_Model!L$71</f>
        <v>0.8</v>
      </c>
      <c r="O67" s="93" t="n">
        <f aca="false">Ops_Model!L$87</f>
        <v>10.6726696832579</v>
      </c>
      <c r="P67" s="93" t="n">
        <f aca="false">Ops_Model!L$78</f>
        <v>0.545968470857822</v>
      </c>
    </row>
    <row r="68" customFormat="false" ht="15" hidden="false" customHeight="false" outlineLevel="0" collapsed="false">
      <c r="A68" s="92" t="n">
        <f aca="false">Ops_Model!M$6</f>
        <v>46419</v>
      </c>
      <c r="B68" s="8" t="s">
        <v>838</v>
      </c>
      <c r="C68" s="8" t="s">
        <v>329</v>
      </c>
      <c r="D68" s="93" t="n">
        <f aca="false">Ops_Model!M$69</f>
        <v>0.909433281704186</v>
      </c>
      <c r="E68" s="93" t="n">
        <f aca="false">Ops_Model!M$70*Ops_Model!M$73</f>
        <v>1.105</v>
      </c>
      <c r="F68" s="93" t="n">
        <f aca="false">Ops_Model!M$80</f>
        <v>0.823016544528675</v>
      </c>
      <c r="G68" s="93" t="n">
        <f aca="false">Ops_Model!M$77</f>
        <v>0.909433281704186</v>
      </c>
      <c r="H68" s="93" t="n">
        <f aca="false">Ops_Model!M$79</f>
        <v>0</v>
      </c>
      <c r="I68" s="93" t="n">
        <f aca="false">Ops_Model!M$82</f>
        <v>22.5084737221786</v>
      </c>
      <c r="J68" s="93" t="n">
        <f aca="false">Ops_Model!M$81</f>
        <v>24.75</v>
      </c>
      <c r="K68" s="93" t="n">
        <f aca="false">Ops_Model!M$94</f>
        <v>12.8023383524661</v>
      </c>
      <c r="L68" s="93" t="n">
        <f aca="false">Ops_Model!M$95</f>
        <v>0.568778608024912</v>
      </c>
      <c r="M68" s="93" t="n">
        <f aca="false">Ops_Model!M$73</f>
        <v>0.85</v>
      </c>
      <c r="N68" s="93" t="n">
        <f aca="false">Ops_Model!M$71</f>
        <v>0.8</v>
      </c>
      <c r="O68" s="93" t="n">
        <f aca="false">Ops_Model!M$87</f>
        <v>10.6726696832579</v>
      </c>
      <c r="P68" s="93" t="n">
        <f aca="false">Ops_Model!M$78</f>
        <v>0.520535189153636</v>
      </c>
    </row>
    <row r="69" customFormat="false" ht="15" hidden="false" customHeight="false" outlineLevel="0" collapsed="false">
      <c r="A69" s="92" t="n">
        <f aca="false">Ops_Model!N$6</f>
        <v>46447</v>
      </c>
      <c r="B69" s="8" t="s">
        <v>838</v>
      </c>
      <c r="C69" s="8" t="s">
        <v>329</v>
      </c>
      <c r="D69" s="93" t="n">
        <f aca="false">Ops_Model!N$69</f>
        <v>0.982187944240521</v>
      </c>
      <c r="E69" s="93" t="n">
        <f aca="false">Ops_Model!N$70*Ops_Model!N$73</f>
        <v>1.105</v>
      </c>
      <c r="F69" s="93" t="n">
        <f aca="false">Ops_Model!N$80</f>
        <v>0.888857868090969</v>
      </c>
      <c r="G69" s="93" t="n">
        <f aca="false">Ops_Model!N$77</f>
        <v>0.982187944240521</v>
      </c>
      <c r="H69" s="93" t="n">
        <f aca="false">Ops_Model!N$79</f>
        <v>0</v>
      </c>
      <c r="I69" s="93" t="n">
        <f aca="false">Ops_Model!N$82</f>
        <v>24.3091516199529</v>
      </c>
      <c r="J69" s="93" t="n">
        <f aca="false">Ops_Model!N$81</f>
        <v>24.75</v>
      </c>
      <c r="K69" s="93" t="n">
        <f aca="false">Ops_Model!N$94</f>
        <v>13.8265623680627</v>
      </c>
      <c r="L69" s="93" t="n">
        <f aca="false">Ops_Model!N$95</f>
        <v>0.568780127921614</v>
      </c>
      <c r="M69" s="93" t="n">
        <f aca="false">Ops_Model!N$73</f>
        <v>0.85</v>
      </c>
      <c r="N69" s="93" t="n">
        <f aca="false">Ops_Model!N$71</f>
        <v>0.8</v>
      </c>
      <c r="O69" s="93" t="n">
        <f aca="false">Ops_Model!N$87</f>
        <v>10.6726696832579</v>
      </c>
      <c r="P69" s="93" t="n">
        <f aca="false">Ops_Model!N$78</f>
        <v>0.422347244913115</v>
      </c>
    </row>
    <row r="71" customFormat="false" ht="15" hidden="false" customHeight="false" outlineLevel="0" collapsed="false">
      <c r="A71" s="21" t="s">
        <v>1177</v>
      </c>
      <c r="C71" s="4" t="s">
        <v>1178</v>
      </c>
    </row>
    <row r="72" customFormat="false" ht="24.05" hidden="false" customHeight="false" outlineLevel="0" collapsed="false">
      <c r="A72" s="18" t="s">
        <v>1164</v>
      </c>
      <c r="B72" s="19" t="s">
        <v>1165</v>
      </c>
      <c r="C72" s="19" t="s">
        <v>1144</v>
      </c>
      <c r="D72" s="19" t="s">
        <v>1179</v>
      </c>
      <c r="E72" s="19" t="s">
        <v>1169</v>
      </c>
      <c r="F72" s="19" t="s">
        <v>1171</v>
      </c>
      <c r="G72" s="19" t="s">
        <v>442</v>
      </c>
      <c r="H72" s="19" t="s">
        <v>1145</v>
      </c>
      <c r="I72" s="19" t="s">
        <v>1180</v>
      </c>
      <c r="J72" s="19" t="s">
        <v>1181</v>
      </c>
      <c r="K72" s="19" t="s">
        <v>1172</v>
      </c>
      <c r="L72" s="19" t="s">
        <v>1173</v>
      </c>
      <c r="M72" s="19" t="s">
        <v>1174</v>
      </c>
      <c r="N72" s="19" t="s">
        <v>1182</v>
      </c>
      <c r="O72" s="19" t="s">
        <v>1170</v>
      </c>
      <c r="P72" s="19" t="s">
        <v>1183</v>
      </c>
    </row>
    <row r="73" customFormat="false" ht="15" hidden="false" customHeight="false" outlineLevel="0" collapsed="false">
      <c r="A73" s="8" t="s">
        <v>837</v>
      </c>
      <c r="B73" s="8" t="s">
        <v>741</v>
      </c>
      <c r="C73" s="93" t="n">
        <f aca="false">Ops_Model!$O$22</f>
        <v>593.710127092572</v>
      </c>
      <c r="D73" s="93" t="n">
        <f aca="false">Ops_Model!$O$22/Ops_Model!$O$98</f>
        <v>0.501086300382665</v>
      </c>
      <c r="E73" s="93" t="n">
        <f aca="false">Ops_Model!$O$17</f>
        <v>299.853599541703</v>
      </c>
      <c r="F73" s="93" t="n">
        <f aca="false">Ops_Model!$O$21</f>
        <v>1.98</v>
      </c>
      <c r="G73" s="93" t="n">
        <f aca="false">Ops_Model!$O$34</f>
        <v>377.449158347431</v>
      </c>
      <c r="H73" s="93" t="n">
        <f aca="false">Ops_Model!$O$35</f>
        <v>0.635746538796329</v>
      </c>
      <c r="I73" s="93" t="n">
        <f aca="false">Ops_Model!$O$32</f>
        <v>489.641372382065</v>
      </c>
      <c r="J73" s="93" t="n">
        <f aca="false">Ops_Model!$O$33</f>
        <v>0.824714536671058</v>
      </c>
      <c r="K73" s="93" t="n">
        <f aca="false">Ops_Model!$O$13</f>
        <v>0.92</v>
      </c>
      <c r="L73" s="93" t="n">
        <f aca="false">Ops_Model!$O$11</f>
        <v>0.8</v>
      </c>
      <c r="M73" s="93" t="n">
        <f aca="false">Ops_Model!$O$27</f>
        <v>0.715854037267081</v>
      </c>
      <c r="N73" s="93" t="n">
        <f aca="false">MAX(Ops_Model!$C$20:$N$20)</f>
        <v>0.838100122942648</v>
      </c>
      <c r="O73" s="93" t="n">
        <f aca="false">Ops_Model!$O$19</f>
        <v>0</v>
      </c>
      <c r="P73" s="93" t="n">
        <f aca="false">Assumptions!C$41</f>
        <v>499.755999236172</v>
      </c>
    </row>
    <row r="74" customFormat="false" ht="15" hidden="false" customHeight="false" outlineLevel="0" collapsed="false">
      <c r="A74" s="8" t="s">
        <v>1176</v>
      </c>
      <c r="B74" s="8" t="s">
        <v>745</v>
      </c>
      <c r="C74" s="93" t="n">
        <f aca="false">Ops_Model!$O$52</f>
        <v>321.034244976767</v>
      </c>
      <c r="D74" s="93" t="n">
        <f aca="false">Ops_Model!$O$52/Ops_Model!$O$98</f>
        <v>0.270950173781469</v>
      </c>
      <c r="E74" s="93" t="n">
        <f aca="false">Ops_Model!$O$47</f>
        <v>405.346268910059</v>
      </c>
      <c r="F74" s="93" t="n">
        <f aca="false">Ops_Model!$O$51</f>
        <v>0.792</v>
      </c>
      <c r="G74" s="93" t="n">
        <f aca="false">Ops_Model!$O$64</f>
        <v>192.833955329527</v>
      </c>
      <c r="H74" s="93" t="n">
        <f aca="false">Ops_Model!$O$65</f>
        <v>0.60066475258265</v>
      </c>
      <c r="I74" s="93" t="n">
        <f aca="false">Ops_Model!$O$62</f>
        <v>254.410842267613</v>
      </c>
      <c r="J74" s="93" t="n">
        <f aca="false">Ops_Model!$O$63</f>
        <v>0.792472598323662</v>
      </c>
      <c r="K74" s="93" t="n">
        <f aca="false">Ops_Model!$O$43</f>
        <v>0.94</v>
      </c>
      <c r="L74" s="93" t="n">
        <f aca="false">Ops_Model!$O$41</f>
        <v>0.8</v>
      </c>
      <c r="M74" s="93" t="n">
        <f aca="false">Ops_Model!$O$57</f>
        <v>0.314685476410731</v>
      </c>
      <c r="N74" s="93" t="n">
        <f aca="false">MAX(Ops_Model!$C$50:$N$50)</f>
        <v>0.843690198933981</v>
      </c>
      <c r="O74" s="93" t="n">
        <f aca="false">Ops_Model!$O$49</f>
        <v>0</v>
      </c>
      <c r="P74" s="93" t="n">
        <f aca="false">Assumptions!D$41</f>
        <v>281.980013154824</v>
      </c>
    </row>
    <row r="75" customFormat="false" ht="15" hidden="false" customHeight="false" outlineLevel="0" collapsed="false">
      <c r="A75" s="8" t="s">
        <v>838</v>
      </c>
      <c r="B75" s="8" t="s">
        <v>329</v>
      </c>
      <c r="C75" s="93" t="n">
        <f aca="false">Ops_Model!$O$82</f>
        <v>270.101684666143</v>
      </c>
      <c r="D75" s="93" t="n">
        <f aca="false">Ops_Model!$O$82/Ops_Model!$O$98</f>
        <v>0.227963525835866</v>
      </c>
      <c r="E75" s="93" t="n">
        <f aca="false">Ops_Model!$O$77</f>
        <v>10.9131993804502</v>
      </c>
      <c r="F75" s="93" t="n">
        <f aca="false">Ops_Model!$O$81</f>
        <v>24.75</v>
      </c>
      <c r="G75" s="93" t="n">
        <f aca="false">Ops_Model!$O$94</f>
        <v>152.970681788358</v>
      </c>
      <c r="H75" s="93" t="n">
        <f aca="false">Ops_Model!$O$95</f>
        <v>0.566344789657408</v>
      </c>
      <c r="I75" s="93" t="n">
        <f aca="false">Ops_Model!$O$92</f>
        <v>207.947804429956</v>
      </c>
      <c r="J75" s="93" t="n">
        <f aca="false">Ops_Model!$O$93</f>
        <v>0.769887106357695</v>
      </c>
      <c r="K75" s="93" t="n">
        <f aca="false">Ops_Model!$O$73</f>
        <v>0.85</v>
      </c>
      <c r="L75" s="93" t="n">
        <f aca="false">Ops_Model!$O$71</f>
        <v>0.8</v>
      </c>
      <c r="M75" s="93" t="n">
        <f aca="false">Ops_Model!$O$87</f>
        <v>10.6726696832579</v>
      </c>
      <c r="N75" s="93" t="n">
        <f aca="false">MAX(Ops_Model!$C$80:$N$80)</f>
        <v>0.888857868090969</v>
      </c>
      <c r="O75" s="93" t="n">
        <f aca="false">Ops_Model!$O$79</f>
        <v>0</v>
      </c>
      <c r="P75" s="93" t="n">
        <f aca="false">Assumptions!E$41</f>
        <v>218.263987609005</v>
      </c>
    </row>
    <row r="77" customFormat="false" ht="15" hidden="false" customHeight="false" outlineLevel="0" collapsed="false">
      <c r="A77" s="21" t="s">
        <v>1184</v>
      </c>
      <c r="C77" s="4" t="s">
        <v>1185</v>
      </c>
    </row>
    <row r="78" customFormat="false" ht="15" hidden="false" customHeight="false" outlineLevel="0" collapsed="false">
      <c r="A78" s="18" t="s">
        <v>1186</v>
      </c>
      <c r="B78" s="19" t="s">
        <v>1187</v>
      </c>
      <c r="C78" s="19" t="s">
        <v>1123</v>
      </c>
      <c r="D78" s="19" t="s">
        <v>1188</v>
      </c>
      <c r="E78" s="19" t="s">
        <v>1189</v>
      </c>
    </row>
    <row r="79" customFormat="false" ht="15" hidden="false" customHeight="false" outlineLevel="0" collapsed="false">
      <c r="A79" s="8" t="s">
        <v>1144</v>
      </c>
      <c r="B79" s="8" t="s">
        <v>1190</v>
      </c>
      <c r="C79" s="93" t="n">
        <f aca="false">PnL!$O$8</f>
        <v>1184.84605673548</v>
      </c>
      <c r="D79" s="8" t="s">
        <v>318</v>
      </c>
      <c r="E79" s="8" t="s">
        <v>1191</v>
      </c>
    </row>
    <row r="80" customFormat="false" ht="15" hidden="false" customHeight="false" outlineLevel="0" collapsed="false">
      <c r="A80" s="8" t="s">
        <v>1192</v>
      </c>
      <c r="B80" s="8" t="s">
        <v>1193</v>
      </c>
      <c r="C80" s="93" t="n">
        <f aca="false">PnL!$U$8</f>
        <v>0.184846056735482</v>
      </c>
      <c r="D80" s="8" t="s">
        <v>285</v>
      </c>
      <c r="E80" s="8" t="s">
        <v>1161</v>
      </c>
    </row>
    <row r="81" customFormat="false" ht="15" hidden="false" customHeight="false" outlineLevel="0" collapsed="false">
      <c r="A81" s="8" t="s">
        <v>442</v>
      </c>
      <c r="B81" s="8" t="s">
        <v>1194</v>
      </c>
      <c r="C81" s="93" t="n">
        <f aca="false">PnL!$O$12</f>
        <v>720.022621531428</v>
      </c>
      <c r="D81" s="8" t="s">
        <v>318</v>
      </c>
      <c r="E81" s="8" t="s">
        <v>1161</v>
      </c>
    </row>
    <row r="82" customFormat="false" ht="15" hidden="false" customHeight="false" outlineLevel="0" collapsed="false">
      <c r="A82" s="8" t="s">
        <v>1145</v>
      </c>
      <c r="B82" s="8" t="s">
        <v>1195</v>
      </c>
      <c r="C82" s="93" t="n">
        <f aca="false">PnL!$O$13</f>
        <v>0.60769297195895</v>
      </c>
      <c r="D82" s="8" t="s">
        <v>285</v>
      </c>
      <c r="E82" s="8" t="s">
        <v>1161</v>
      </c>
    </row>
    <row r="83" customFormat="false" ht="15" hidden="false" customHeight="false" outlineLevel="0" collapsed="false">
      <c r="A83" s="8" t="s">
        <v>1147</v>
      </c>
      <c r="B83" s="8" t="s">
        <v>1196</v>
      </c>
      <c r="C83" s="93" t="n">
        <f aca="false">PnL!$O$17</f>
        <v>406.022621531428</v>
      </c>
      <c r="D83" s="8" t="s">
        <v>318</v>
      </c>
      <c r="E83" s="8" t="s">
        <v>1161</v>
      </c>
    </row>
    <row r="84" customFormat="false" ht="15" hidden="false" customHeight="false" outlineLevel="0" collapsed="false">
      <c r="A84" s="8" t="s">
        <v>1148</v>
      </c>
      <c r="B84" s="8" t="s">
        <v>1197</v>
      </c>
      <c r="C84" s="93" t="n">
        <f aca="false">PnL!$O$18</f>
        <v>0.342679641142675</v>
      </c>
      <c r="D84" s="8" t="s">
        <v>285</v>
      </c>
      <c r="E84" s="8" t="s">
        <v>1161</v>
      </c>
    </row>
    <row r="85" customFormat="false" ht="15" hidden="false" customHeight="false" outlineLevel="0" collapsed="false">
      <c r="A85" s="8" t="s">
        <v>469</v>
      </c>
      <c r="B85" s="8" t="s">
        <v>1198</v>
      </c>
      <c r="C85" s="93" t="n">
        <f aca="false">PnL!$O$21</f>
        <v>332.938549655771</v>
      </c>
      <c r="D85" s="8" t="s">
        <v>318</v>
      </c>
      <c r="E85" s="8" t="s">
        <v>1161</v>
      </c>
    </row>
    <row r="86" customFormat="false" ht="15" hidden="false" customHeight="false" outlineLevel="0" collapsed="false">
      <c r="A86" s="8" t="s">
        <v>1149</v>
      </c>
      <c r="B86" s="8" t="s">
        <v>1199</v>
      </c>
      <c r="C86" s="93" t="n">
        <f aca="false">PnL!$O$26</f>
        <v>478.013795465317</v>
      </c>
      <c r="D86" s="8" t="s">
        <v>318</v>
      </c>
      <c r="E86" s="8" t="s">
        <v>1161</v>
      </c>
    </row>
    <row r="87" customFormat="false" ht="15" hidden="false" customHeight="false" outlineLevel="0" collapsed="false">
      <c r="A87" s="8" t="s">
        <v>1150</v>
      </c>
      <c r="B87" s="8" t="s">
        <v>1200</v>
      </c>
      <c r="C87" s="93" t="n">
        <f aca="false">FCF!$O$25</f>
        <v>325.05529847611</v>
      </c>
      <c r="D87" s="8" t="s">
        <v>318</v>
      </c>
      <c r="E87" s="8" t="s">
        <v>1161</v>
      </c>
    </row>
    <row r="88" customFormat="false" ht="15" hidden="false" customHeight="false" outlineLevel="0" collapsed="false">
      <c r="A88" s="8" t="s">
        <v>1201</v>
      </c>
      <c r="B88" s="8" t="s">
        <v>1202</v>
      </c>
      <c r="C88" s="93" t="n">
        <f aca="false">FCF!$O$26</f>
        <v>0.274343908753607</v>
      </c>
      <c r="D88" s="8" t="s">
        <v>285</v>
      </c>
      <c r="E88" s="8" t="s">
        <v>1161</v>
      </c>
    </row>
    <row r="89" customFormat="false" ht="15" hidden="false" customHeight="false" outlineLevel="0" collapsed="false">
      <c r="A89" s="8" t="s">
        <v>1152</v>
      </c>
      <c r="B89" s="8" t="s">
        <v>1203</v>
      </c>
      <c r="C89" s="93" t="n">
        <f aca="false">FCF!$O$8</f>
        <v>35.5453817020645</v>
      </c>
      <c r="D89" s="8" t="s">
        <v>318</v>
      </c>
      <c r="E89" s="8" t="s">
        <v>1161</v>
      </c>
    </row>
    <row r="90" customFormat="false" ht="15" hidden="false" customHeight="false" outlineLevel="0" collapsed="false">
      <c r="A90" s="8" t="s">
        <v>1204</v>
      </c>
      <c r="B90" s="8" t="s">
        <v>1205</v>
      </c>
      <c r="C90" s="93" t="n">
        <f aca="false">(Ops_Model!$O$14+Ops_Model!$O$44+Ops_Model!$O$74)/(Ops_Model!$O$12+Ops_Model!$O$42+Ops_Model!$O$72)</f>
        <v>0.93007290400972</v>
      </c>
      <c r="D90" s="8" t="s">
        <v>285</v>
      </c>
      <c r="E90" s="8" t="s">
        <v>1161</v>
      </c>
    </row>
    <row r="91" customFormat="false" ht="15" hidden="false" customHeight="false" outlineLevel="0" collapsed="false">
      <c r="A91" s="8" t="s">
        <v>1173</v>
      </c>
      <c r="B91" s="8" t="s">
        <v>688</v>
      </c>
      <c r="C91" s="93" t="n">
        <f aca="false">Assumptions!$F$13</f>
        <v>0.8</v>
      </c>
      <c r="D91" s="8" t="s">
        <v>285</v>
      </c>
      <c r="E91" s="8" t="s">
        <v>1161</v>
      </c>
    </row>
    <row r="92" customFormat="false" ht="15" hidden="false" customHeight="false" outlineLevel="0" collapsed="false">
      <c r="A92" s="8" t="s">
        <v>1206</v>
      </c>
      <c r="B92" s="8" t="s">
        <v>396</v>
      </c>
      <c r="C92" s="93" t="n">
        <f aca="false">Ops_Model!$O$108</f>
        <v>0</v>
      </c>
      <c r="D92" s="8" t="s">
        <v>318</v>
      </c>
      <c r="E92" s="8" t="s">
        <v>1161</v>
      </c>
    </row>
    <row r="93" customFormat="false" ht="15" hidden="false" customHeight="false" outlineLevel="0" collapsed="false">
      <c r="A93" s="8" t="s">
        <v>1207</v>
      </c>
      <c r="B93" s="8" t="s">
        <v>1208</v>
      </c>
      <c r="C93" s="93" t="n">
        <f aca="false">Budget!$O$97</f>
        <v>1184.84605673548</v>
      </c>
      <c r="D93" s="8" t="s">
        <v>318</v>
      </c>
      <c r="E93" s="8" t="s">
        <v>1209</v>
      </c>
    </row>
    <row r="94" customFormat="false" ht="15" hidden="false" customHeight="false" outlineLevel="0" collapsed="false">
      <c r="A94" s="8" t="s">
        <v>1210</v>
      </c>
      <c r="B94" s="8" t="s">
        <v>1211</v>
      </c>
      <c r="C94" s="93" t="n">
        <f aca="false">Budget!$O$109</f>
        <v>406.022621531428</v>
      </c>
      <c r="D94" s="8" t="s">
        <v>318</v>
      </c>
      <c r="E94" s="8" t="s">
        <v>1209</v>
      </c>
    </row>
    <row r="95" customFormat="false" ht="15" hidden="false" customHeight="false" outlineLevel="0" collapsed="false">
      <c r="A95" s="8" t="s">
        <v>1212</v>
      </c>
      <c r="B95" s="8" t="s">
        <v>1213</v>
      </c>
      <c r="C95" s="93" t="n">
        <f aca="false">Variance!$C$10</f>
        <v>485.786883261548</v>
      </c>
      <c r="D95" s="8" t="s">
        <v>318</v>
      </c>
      <c r="E95" s="8" t="s">
        <v>1209</v>
      </c>
    </row>
    <row r="96" customFormat="false" ht="15" hidden="false" customHeight="false" outlineLevel="0" collapsed="false">
      <c r="A96" s="8" t="s">
        <v>1214</v>
      </c>
      <c r="B96" s="8" t="s">
        <v>1215</v>
      </c>
      <c r="C96" s="93" t="n">
        <f aca="false">Variance!$D$10</f>
        <v>502.792617601393</v>
      </c>
      <c r="D96" s="8" t="s">
        <v>318</v>
      </c>
      <c r="E96" s="8" t="s">
        <v>1216</v>
      </c>
    </row>
    <row r="97" customFormat="false" ht="15" hidden="false" customHeight="false" outlineLevel="0" collapsed="false">
      <c r="A97" s="8" t="s">
        <v>1217</v>
      </c>
      <c r="B97" s="8" t="s">
        <v>1218</v>
      </c>
      <c r="C97" s="93" t="n">
        <f aca="false">Variance!$E$10</f>
        <v>17.0057343398453</v>
      </c>
      <c r="D97" s="8" t="s">
        <v>318</v>
      </c>
      <c r="E97" s="8" t="s">
        <v>32</v>
      </c>
    </row>
    <row r="98" customFormat="false" ht="15" hidden="false" customHeight="false" outlineLevel="0" collapsed="false">
      <c r="A98" s="8" t="s">
        <v>1219</v>
      </c>
      <c r="B98" s="8" t="s">
        <v>1220</v>
      </c>
      <c r="C98" s="93" t="n">
        <f aca="false">Variance!$C$17</f>
        <v>163.580658095238</v>
      </c>
      <c r="D98" s="8" t="s">
        <v>318</v>
      </c>
      <c r="E98" s="8" t="s">
        <v>1209</v>
      </c>
    </row>
    <row r="99" customFormat="false" ht="15" hidden="false" customHeight="false" outlineLevel="0" collapsed="false">
      <c r="A99" s="8" t="s">
        <v>1221</v>
      </c>
      <c r="B99" s="8" t="s">
        <v>1222</v>
      </c>
      <c r="C99" s="93" t="n">
        <f aca="false">Variance!$D$17</f>
        <v>171.396758481666</v>
      </c>
      <c r="D99" s="8" t="s">
        <v>318</v>
      </c>
      <c r="E99" s="8" t="s">
        <v>1216</v>
      </c>
    </row>
    <row r="100" customFormat="false" ht="15" hidden="false" customHeight="false" outlineLevel="0" collapsed="false">
      <c r="A100" s="8" t="s">
        <v>1223</v>
      </c>
      <c r="B100" s="8" t="s">
        <v>1224</v>
      </c>
      <c r="C100" s="93" t="n">
        <f aca="false">Variance!$E$17</f>
        <v>7.81610038642819</v>
      </c>
      <c r="D100" s="8" t="s">
        <v>318</v>
      </c>
      <c r="E100" s="8" t="s">
        <v>32</v>
      </c>
    </row>
    <row r="101" customFormat="false" ht="15" hidden="false" customHeight="false" outlineLevel="0" collapsed="false">
      <c r="A101" s="8" t="s">
        <v>1159</v>
      </c>
      <c r="B101" s="8" t="s">
        <v>1225</v>
      </c>
      <c r="C101" s="93" t="n">
        <f aca="false">SUM(Dash_Export!$U$19:$U$30)</f>
        <v>1201.85179107533</v>
      </c>
      <c r="D101" s="8" t="s">
        <v>318</v>
      </c>
      <c r="E101" s="8" t="s">
        <v>1226</v>
      </c>
    </row>
    <row r="102" customFormat="false" ht="15" hidden="false" customHeight="false" outlineLevel="0" collapsed="false">
      <c r="A102" s="8" t="s">
        <v>1227</v>
      </c>
      <c r="B102" s="8" t="s">
        <v>1228</v>
      </c>
      <c r="C102" s="93" t="n">
        <f aca="false">SUM(Dash_Export!$V$19:$V$30)</f>
        <v>413.838721917856</v>
      </c>
      <c r="D102" s="8" t="s">
        <v>318</v>
      </c>
      <c r="E102" s="8" t="s">
        <v>1226</v>
      </c>
    </row>
    <row r="103" customFormat="false" ht="15" hidden="false" customHeight="false" outlineLevel="0" collapsed="false">
      <c r="A103" s="8" t="s">
        <v>1229</v>
      </c>
      <c r="B103" s="8" t="s">
        <v>1230</v>
      </c>
      <c r="C103" s="93" t="n">
        <f aca="false">SUM(Dash_Export!$V$19:$V$30)-Budget!$O$109</f>
        <v>7.81610038642816</v>
      </c>
      <c r="D103" s="8" t="s">
        <v>318</v>
      </c>
      <c r="E103" s="8" t="s">
        <v>1226</v>
      </c>
    </row>
    <row r="105" customFormat="false" ht="15" hidden="false" customHeight="false" outlineLevel="0" collapsed="false">
      <c r="A105" s="21" t="s">
        <v>1231</v>
      </c>
      <c r="C105" s="4" t="s">
        <v>1232</v>
      </c>
    </row>
    <row r="106" customFormat="false" ht="15" hidden="false" customHeight="false" outlineLevel="0" collapsed="false">
      <c r="A106" s="18" t="s">
        <v>434</v>
      </c>
      <c r="B106" s="19" t="s">
        <v>1187</v>
      </c>
      <c r="C106" s="19" t="s">
        <v>1233</v>
      </c>
      <c r="D106" s="19" t="s">
        <v>1234</v>
      </c>
      <c r="E106" s="19" t="s">
        <v>1235</v>
      </c>
      <c r="F106" s="19" t="s">
        <v>1188</v>
      </c>
      <c r="G106" s="19" t="s">
        <v>1236</v>
      </c>
    </row>
    <row r="107" customFormat="false" ht="15" hidden="false" customHeight="false" outlineLevel="0" collapsed="false">
      <c r="A107" s="8" t="s">
        <v>1237</v>
      </c>
      <c r="B107" s="8" t="s">
        <v>1238</v>
      </c>
      <c r="C107" s="93" t="n">
        <f aca="false">Variance!$C$7</f>
        <v>243.421152107954</v>
      </c>
      <c r="D107" s="93" t="n">
        <f aca="false">Variance!$D$7</f>
        <v>250.626314261102</v>
      </c>
      <c r="E107" s="93" t="n">
        <f aca="false">Variance!$E$7</f>
        <v>7.20516215314763</v>
      </c>
      <c r="F107" s="8" t="s">
        <v>318</v>
      </c>
      <c r="G107" s="12" t="str">
        <f aca="false">Variance!$G$7</f>
        <v>Favorable</v>
      </c>
    </row>
    <row r="108" customFormat="false" ht="15" hidden="false" customHeight="false" outlineLevel="0" collapsed="false">
      <c r="A108" s="8" t="s">
        <v>1239</v>
      </c>
      <c r="B108" s="8" t="s">
        <v>1240</v>
      </c>
      <c r="C108" s="93" t="n">
        <f aca="false">Variance!$C$8</f>
        <v>131.624040440474</v>
      </c>
      <c r="D108" s="93" t="n">
        <f aca="false">Variance!$D$8</f>
        <v>124.364117167708</v>
      </c>
      <c r="E108" s="93" t="n">
        <f aca="false">Variance!$E$8</f>
        <v>-7.25992327276634</v>
      </c>
      <c r="F108" s="8" t="s">
        <v>318</v>
      </c>
      <c r="G108" s="12" t="str">
        <f aca="false">Variance!$G$8</f>
        <v>Unfavorable</v>
      </c>
    </row>
    <row r="109" customFormat="false" ht="15" hidden="false" customHeight="false" outlineLevel="0" collapsed="false">
      <c r="A109" s="8" t="s">
        <v>1241</v>
      </c>
      <c r="B109" s="8" t="s">
        <v>1242</v>
      </c>
      <c r="C109" s="93" t="n">
        <f aca="false">Variance!$C$9</f>
        <v>110.741690713119</v>
      </c>
      <c r="D109" s="93" t="n">
        <f aca="false">Variance!$D$9</f>
        <v>127.802186172583</v>
      </c>
      <c r="E109" s="93" t="n">
        <f aca="false">Variance!$E$9</f>
        <v>17.0604954594641</v>
      </c>
      <c r="F109" s="8" t="s">
        <v>318</v>
      </c>
      <c r="G109" s="12" t="str">
        <f aca="false">Variance!$G$9</f>
        <v>Favorable</v>
      </c>
    </row>
    <row r="110" customFormat="false" ht="15" hidden="false" customHeight="false" outlineLevel="0" collapsed="false">
      <c r="A110" s="8" t="s">
        <v>1243</v>
      </c>
      <c r="B110" s="8" t="s">
        <v>877</v>
      </c>
      <c r="C110" s="93" t="n">
        <f aca="false">Variance!$C$10</f>
        <v>485.786883261548</v>
      </c>
      <c r="D110" s="93" t="n">
        <f aca="false">Variance!$D$10</f>
        <v>502.792617601393</v>
      </c>
      <c r="E110" s="93" t="n">
        <f aca="false">Variance!$E$10</f>
        <v>17.0057343398453</v>
      </c>
      <c r="F110" s="8" t="s">
        <v>318</v>
      </c>
      <c r="G110" s="12" t="str">
        <f aca="false">Variance!$G$10</f>
        <v>Favorable</v>
      </c>
    </row>
    <row r="111" customFormat="false" ht="15" hidden="false" customHeight="false" outlineLevel="0" collapsed="false">
      <c r="A111" s="8" t="s">
        <v>1244</v>
      </c>
      <c r="B111" s="8" t="s">
        <v>365</v>
      </c>
      <c r="C111" s="93" t="n">
        <f aca="false">Variance!$C$11</f>
        <v>191.372891832976</v>
      </c>
      <c r="D111" s="93" t="n">
        <f aca="false">Variance!$D$11</f>
        <v>199.395859119727</v>
      </c>
      <c r="E111" s="93" t="n">
        <f aca="false">Variance!$E$11</f>
        <v>-8.02296728675054</v>
      </c>
      <c r="F111" s="8" t="s">
        <v>318</v>
      </c>
      <c r="G111" s="12" t="str">
        <f aca="false">Variance!$G$11</f>
        <v>Unfavorable</v>
      </c>
    </row>
    <row r="112" customFormat="false" ht="15" hidden="false" customHeight="false" outlineLevel="0" collapsed="false">
      <c r="A112" s="8" t="s">
        <v>1245</v>
      </c>
      <c r="B112" s="8" t="s">
        <v>367</v>
      </c>
      <c r="C112" s="93" t="n">
        <f aca="false">Variance!$C$12</f>
        <v>294.413991428571</v>
      </c>
      <c r="D112" s="93" t="n">
        <f aca="false">Variance!$D$12</f>
        <v>303.396758481666</v>
      </c>
      <c r="E112" s="93" t="n">
        <f aca="false">Variance!$E$12</f>
        <v>8.98276705309485</v>
      </c>
      <c r="F112" s="8" t="s">
        <v>318</v>
      </c>
      <c r="G112" s="12" t="str">
        <f aca="false">Variance!$G$12</f>
        <v>Favorable</v>
      </c>
    </row>
    <row r="113" customFormat="false" ht="15" hidden="false" customHeight="false" outlineLevel="0" collapsed="false">
      <c r="A113" s="8" t="s">
        <v>1246</v>
      </c>
      <c r="B113" s="8" t="s">
        <v>369</v>
      </c>
      <c r="C113" s="93" t="n">
        <f aca="false">Variance!$C$13</f>
        <v>0.606055868474445</v>
      </c>
      <c r="D113" s="93" t="n">
        <f aca="false">Variance!$D$13</f>
        <v>0.603423256150898</v>
      </c>
      <c r="E113" s="93" t="n">
        <f aca="false">Variance!$E$13</f>
        <v>-0.00263261232354683</v>
      </c>
      <c r="F113" s="8" t="s">
        <v>285</v>
      </c>
      <c r="G113" s="8"/>
    </row>
    <row r="114" customFormat="false" ht="15" hidden="false" customHeight="false" outlineLevel="0" collapsed="false">
      <c r="A114" s="8" t="s">
        <v>444</v>
      </c>
      <c r="B114" s="8" t="s">
        <v>952</v>
      </c>
      <c r="C114" s="93" t="n">
        <f aca="false">Variance!$C$14</f>
        <v>87.5</v>
      </c>
      <c r="D114" s="93" t="n">
        <f aca="false">Variance!$D$14</f>
        <v>90</v>
      </c>
      <c r="E114" s="93" t="n">
        <f aca="false">Variance!$E$14</f>
        <v>-2.5</v>
      </c>
      <c r="F114" s="8" t="s">
        <v>318</v>
      </c>
      <c r="G114" s="12" t="str">
        <f aca="false">Variance!$G$14</f>
        <v>Unfavorable</v>
      </c>
    </row>
    <row r="115" customFormat="false" ht="15" hidden="false" customHeight="false" outlineLevel="0" collapsed="false">
      <c r="A115" s="8" t="s">
        <v>446</v>
      </c>
      <c r="B115" s="8" t="s">
        <v>954</v>
      </c>
      <c r="C115" s="93" t="n">
        <f aca="false">Variance!$C$15</f>
        <v>43.3333333333333</v>
      </c>
      <c r="D115" s="93" t="n">
        <f aca="false">Variance!$D$15</f>
        <v>42</v>
      </c>
      <c r="E115" s="93" t="n">
        <f aca="false">Variance!$E$15</f>
        <v>1.33333333333333</v>
      </c>
      <c r="F115" s="8" t="s">
        <v>318</v>
      </c>
      <c r="G115" s="12" t="str">
        <f aca="false">Variance!$G$15</f>
        <v>Favorable</v>
      </c>
    </row>
    <row r="116" customFormat="false" ht="15" hidden="false" customHeight="false" outlineLevel="0" collapsed="false">
      <c r="A116" s="8" t="s">
        <v>1146</v>
      </c>
      <c r="B116" s="8" t="s">
        <v>764</v>
      </c>
      <c r="C116" s="93" t="n">
        <f aca="false">Variance!$C$16</f>
        <v>130.833333333333</v>
      </c>
      <c r="D116" s="93" t="n">
        <f aca="false">Variance!$D$16</f>
        <v>132</v>
      </c>
      <c r="E116" s="93" t="n">
        <f aca="false">Variance!$E$16</f>
        <v>-1.16666666666669</v>
      </c>
      <c r="F116" s="8" t="s">
        <v>318</v>
      </c>
      <c r="G116" s="12" t="str">
        <f aca="false">Variance!$G$16</f>
        <v>Unfavorable</v>
      </c>
    </row>
    <row r="117" customFormat="false" ht="15" hidden="false" customHeight="false" outlineLevel="0" collapsed="false">
      <c r="A117" s="8" t="s">
        <v>1247</v>
      </c>
      <c r="B117" s="8" t="s">
        <v>419</v>
      </c>
      <c r="C117" s="93" t="n">
        <f aca="false">Variance!$C$17</f>
        <v>163.580658095238</v>
      </c>
      <c r="D117" s="93" t="n">
        <f aca="false">Variance!$D$17</f>
        <v>171.396758481666</v>
      </c>
      <c r="E117" s="93" t="n">
        <f aca="false">Variance!$E$17</f>
        <v>7.81610038642819</v>
      </c>
      <c r="F117" s="8" t="s">
        <v>318</v>
      </c>
      <c r="G117" s="12" t="str">
        <f aca="false">Variance!$G$17</f>
        <v>Favorable</v>
      </c>
    </row>
    <row r="118" customFormat="false" ht="15" hidden="false" customHeight="false" outlineLevel="0" collapsed="false">
      <c r="A118" s="8" t="s">
        <v>1248</v>
      </c>
      <c r="B118" s="8" t="s">
        <v>420</v>
      </c>
      <c r="C118" s="93" t="n">
        <f aca="false">Variance!$C$18</f>
        <v>0.336733377807498</v>
      </c>
      <c r="D118" s="93" t="n">
        <f aca="false">Variance!$D$18</f>
        <v>0.340889568544833</v>
      </c>
      <c r="E118" s="93" t="n">
        <f aca="false">Variance!$E$18</f>
        <v>0.00415619073733453</v>
      </c>
      <c r="F118" s="8" t="s">
        <v>285</v>
      </c>
      <c r="G118" s="8"/>
    </row>
    <row r="120" customFormat="false" ht="15" hidden="false" customHeight="false" outlineLevel="0" collapsed="false">
      <c r="A120" s="21" t="s">
        <v>1249</v>
      </c>
      <c r="C120" s="4" t="s">
        <v>1250</v>
      </c>
    </row>
    <row r="121" customFormat="false" ht="15" hidden="false" customHeight="false" outlineLevel="0" collapsed="false">
      <c r="A121" s="18" t="s">
        <v>1251</v>
      </c>
      <c r="B121" s="19" t="s">
        <v>1187</v>
      </c>
      <c r="C121" s="19" t="s">
        <v>837</v>
      </c>
      <c r="D121" s="19" t="s">
        <v>1176</v>
      </c>
      <c r="E121" s="19" t="s">
        <v>838</v>
      </c>
      <c r="F121" s="19" t="s">
        <v>1252</v>
      </c>
    </row>
    <row r="122" customFormat="false" ht="15" hidden="false" customHeight="false" outlineLevel="0" collapsed="false">
      <c r="A122" s="8" t="s">
        <v>1253</v>
      </c>
      <c r="B122" s="8" t="s">
        <v>938</v>
      </c>
      <c r="C122" s="93" t="n">
        <f aca="false">Variance!C$65</f>
        <v>-2.55741137001125</v>
      </c>
      <c r="D122" s="93" t="n">
        <f aca="false">Variance!D$65</f>
        <v>0.624945312400526</v>
      </c>
      <c r="E122" s="93" t="n">
        <f aca="false">Variance!E$65</f>
        <v>3.75888782860538</v>
      </c>
      <c r="F122" s="93" t="n">
        <f aca="false">Variance!$F$65</f>
        <v>1.82642177099465</v>
      </c>
    </row>
    <row r="123" customFormat="false" ht="15" hidden="false" customHeight="false" outlineLevel="0" collapsed="false">
      <c r="A123" s="8" t="s">
        <v>1254</v>
      </c>
      <c r="B123" s="8" t="s">
        <v>1255</v>
      </c>
      <c r="C123" s="93" t="n">
        <f aca="false">Variance!C$66</f>
        <v>-3.72055766287053</v>
      </c>
      <c r="D123" s="93" t="n">
        <f aca="false">Variance!D$66</f>
        <v>-2.01180065100343</v>
      </c>
      <c r="E123" s="93" t="n">
        <f aca="false">Variance!E$66</f>
        <v>-1.69262548638011</v>
      </c>
      <c r="F123" s="93" t="n">
        <f aca="false">Variance!$F$66</f>
        <v>-7.42498380025407</v>
      </c>
    </row>
    <row r="124" customFormat="false" ht="15" hidden="false" customHeight="false" outlineLevel="0" collapsed="false">
      <c r="A124" s="8" t="s">
        <v>1256</v>
      </c>
      <c r="B124" s="8" t="s">
        <v>942</v>
      </c>
      <c r="C124" s="93" t="n">
        <f aca="false">Variance!C$67</f>
        <v>13.4831311860294</v>
      </c>
      <c r="D124" s="93" t="n">
        <f aca="false">Variance!D$67</f>
        <v>-5.87306793416345</v>
      </c>
      <c r="E124" s="93" t="n">
        <f aca="false">Variance!E$67</f>
        <v>14.9942331172388</v>
      </c>
      <c r="F124" s="93" t="n">
        <f aca="false">Variance!$F$67</f>
        <v>22.6042963691048</v>
      </c>
    </row>
    <row r="125" customFormat="false" ht="15" hidden="false" customHeight="false" outlineLevel="0" collapsed="false">
      <c r="A125" s="8" t="s">
        <v>1257</v>
      </c>
      <c r="B125" s="8" t="s">
        <v>960</v>
      </c>
      <c r="C125" s="93" t="n">
        <f aca="false">Variance!C$69</f>
        <v>7.20516215314763</v>
      </c>
      <c r="D125" s="93" t="n">
        <f aca="false">Variance!D$69</f>
        <v>-7.25992327276634</v>
      </c>
      <c r="E125" s="93" t="n">
        <f aca="false">Variance!E$69</f>
        <v>17.0604954594641</v>
      </c>
      <c r="F125" s="93" t="n">
        <f aca="false">Variance!$F$69</f>
        <v>17.0057343398453</v>
      </c>
    </row>
    <row r="127" customFormat="false" ht="15" hidden="false" customHeight="false" outlineLevel="0" collapsed="false">
      <c r="A127" s="21" t="s">
        <v>1258</v>
      </c>
      <c r="C127" s="4" t="s">
        <v>1259</v>
      </c>
    </row>
    <row r="128" customFormat="false" ht="15" hidden="false" customHeight="false" outlineLevel="0" collapsed="false">
      <c r="A128" s="18" t="s">
        <v>1260</v>
      </c>
      <c r="B128" s="19" t="s">
        <v>1261</v>
      </c>
      <c r="C128" s="19" t="s">
        <v>1187</v>
      </c>
      <c r="D128" s="19" t="s">
        <v>1123</v>
      </c>
      <c r="E128" s="19" t="s">
        <v>1262</v>
      </c>
    </row>
    <row r="129" customFormat="false" ht="15" hidden="false" customHeight="false" outlineLevel="0" collapsed="false">
      <c r="A129" s="95" t="n">
        <v>0</v>
      </c>
      <c r="B129" s="8" t="s">
        <v>1263</v>
      </c>
      <c r="C129" s="8" t="s">
        <v>1264</v>
      </c>
      <c r="D129" s="93" t="n">
        <f aca="false">Variance!$F$75</f>
        <v>163.580658095238</v>
      </c>
      <c r="E129" s="8" t="s">
        <v>1263</v>
      </c>
    </row>
    <row r="130" customFormat="false" ht="15" hidden="false" customHeight="false" outlineLevel="0" collapsed="false">
      <c r="A130" s="95" t="n">
        <v>1</v>
      </c>
      <c r="B130" s="8" t="s">
        <v>1265</v>
      </c>
      <c r="C130" s="8" t="s">
        <v>938</v>
      </c>
      <c r="D130" s="93" t="n">
        <f aca="false">Variance!$F$76</f>
        <v>1.82642177099465</v>
      </c>
      <c r="E130" s="8" t="s">
        <v>1266</v>
      </c>
    </row>
    <row r="131" customFormat="false" ht="15" hidden="false" customHeight="false" outlineLevel="0" collapsed="false">
      <c r="A131" s="95" t="n">
        <v>2</v>
      </c>
      <c r="B131" s="8" t="s">
        <v>1267</v>
      </c>
      <c r="C131" s="8" t="s">
        <v>940</v>
      </c>
      <c r="D131" s="93" t="n">
        <f aca="false">Variance!$F$77</f>
        <v>-4.5073422606957</v>
      </c>
      <c r="E131" s="8" t="s">
        <v>1266</v>
      </c>
    </row>
    <row r="132" customFormat="false" ht="15" hidden="false" customHeight="false" outlineLevel="0" collapsed="false">
      <c r="A132" s="95" t="n">
        <v>3</v>
      </c>
      <c r="B132" s="8" t="s">
        <v>1268</v>
      </c>
      <c r="C132" s="8" t="s">
        <v>942</v>
      </c>
      <c r="D132" s="93" t="n">
        <f aca="false">Variance!$F$78</f>
        <v>13.4510806244733</v>
      </c>
      <c r="E132" s="8" t="s">
        <v>1266</v>
      </c>
    </row>
    <row r="133" customFormat="false" ht="15" hidden="false" customHeight="false" outlineLevel="0" collapsed="false">
      <c r="A133" s="95" t="n">
        <v>4</v>
      </c>
      <c r="B133" s="8" t="s">
        <v>1269</v>
      </c>
      <c r="C133" s="8" t="s">
        <v>944</v>
      </c>
      <c r="D133" s="93" t="n">
        <f aca="false">Variance!$F$79</f>
        <v>-1.73599499999999</v>
      </c>
      <c r="E133" s="8" t="s">
        <v>1266</v>
      </c>
    </row>
    <row r="134" customFormat="false" ht="15" hidden="false" customHeight="false" outlineLevel="0" collapsed="false">
      <c r="A134" s="95" t="n">
        <v>5</v>
      </c>
      <c r="B134" s="8" t="s">
        <v>1270</v>
      </c>
      <c r="C134" s="8" t="s">
        <v>946</v>
      </c>
      <c r="D134" s="93" t="n">
        <f aca="false">Variance!$F$80</f>
        <v>-0.871945304769533</v>
      </c>
      <c r="E134" s="8" t="s">
        <v>1266</v>
      </c>
    </row>
    <row r="135" customFormat="false" ht="15" hidden="false" customHeight="false" outlineLevel="0" collapsed="false">
      <c r="A135" s="95" t="n">
        <v>6</v>
      </c>
      <c r="B135" s="8" t="s">
        <v>1271</v>
      </c>
      <c r="C135" s="8" t="s">
        <v>1272</v>
      </c>
      <c r="D135" s="93" t="n">
        <f aca="false">Variance!$F$81</f>
        <v>-0.950221177809777</v>
      </c>
      <c r="E135" s="8" t="s">
        <v>1266</v>
      </c>
    </row>
    <row r="136" customFormat="false" ht="15" hidden="false" customHeight="false" outlineLevel="0" collapsed="false">
      <c r="A136" s="95" t="n">
        <v>7</v>
      </c>
      <c r="B136" s="8" t="s">
        <v>1273</v>
      </c>
      <c r="C136" s="8" t="s">
        <v>1274</v>
      </c>
      <c r="D136" s="93" t="n">
        <f aca="false">Variance!$F$82</f>
        <v>1.77076840090181</v>
      </c>
      <c r="E136" s="8" t="s">
        <v>1266</v>
      </c>
    </row>
    <row r="137" customFormat="false" ht="15" hidden="false" customHeight="false" outlineLevel="0" collapsed="false">
      <c r="A137" s="95" t="n">
        <v>8</v>
      </c>
      <c r="B137" s="8" t="s">
        <v>1275</v>
      </c>
      <c r="C137" s="8" t="s">
        <v>952</v>
      </c>
      <c r="D137" s="93" t="n">
        <f aca="false">Variance!$F$83</f>
        <v>-2.5</v>
      </c>
      <c r="E137" s="8" t="s">
        <v>1266</v>
      </c>
    </row>
    <row r="138" customFormat="false" ht="15" hidden="false" customHeight="false" outlineLevel="0" collapsed="false">
      <c r="A138" s="95" t="n">
        <v>9</v>
      </c>
      <c r="B138" s="8" t="s">
        <v>1276</v>
      </c>
      <c r="C138" s="8" t="s">
        <v>954</v>
      </c>
      <c r="D138" s="93" t="n">
        <f aca="false">Variance!$F$84</f>
        <v>1.33333333333333</v>
      </c>
      <c r="E138" s="8" t="s">
        <v>1266</v>
      </c>
    </row>
    <row r="139" customFormat="false" ht="15" hidden="false" customHeight="false" outlineLevel="0" collapsed="false">
      <c r="A139" s="95" t="n">
        <v>10</v>
      </c>
      <c r="B139" s="8" t="s">
        <v>1277</v>
      </c>
      <c r="C139" s="8" t="s">
        <v>1278</v>
      </c>
      <c r="D139" s="93" t="n">
        <f aca="false">Variance!$F$86</f>
        <v>171.396758481666</v>
      </c>
      <c r="E139" s="8" t="s">
        <v>1277</v>
      </c>
    </row>
    <row r="141" customFormat="false" ht="15" hidden="false" customHeight="false" outlineLevel="0" collapsed="false">
      <c r="A141" s="21" t="s">
        <v>1279</v>
      </c>
      <c r="C141" s="4" t="s">
        <v>1280</v>
      </c>
    </row>
    <row r="142" customFormat="false" ht="15" hidden="false" customHeight="false" outlineLevel="0" collapsed="false">
      <c r="A142" s="18" t="s">
        <v>1281</v>
      </c>
      <c r="B142" s="19" t="s">
        <v>1187</v>
      </c>
      <c r="C142" s="19" t="s">
        <v>1123</v>
      </c>
      <c r="D142" s="19" t="s">
        <v>1236</v>
      </c>
    </row>
    <row r="143" customFormat="false" ht="15" hidden="false" customHeight="false" outlineLevel="0" collapsed="false">
      <c r="A143" s="8" t="s">
        <v>1282</v>
      </c>
      <c r="B143" s="8" t="s">
        <v>960</v>
      </c>
      <c r="C143" s="93" t="n">
        <f aca="false">Variance!$F$90</f>
        <v>17.0057343398453</v>
      </c>
      <c r="D143" s="12" t="str">
        <f aca="false">Variance!$G$90</f>
        <v>Favorable</v>
      </c>
    </row>
    <row r="144" customFormat="false" ht="15" hidden="false" customHeight="false" outlineLevel="0" collapsed="false">
      <c r="A144" s="8" t="s">
        <v>1283</v>
      </c>
      <c r="B144" s="8" t="s">
        <v>924</v>
      </c>
      <c r="C144" s="93" t="n">
        <f aca="false">Variance!$F$91</f>
        <v>1.82642177099465</v>
      </c>
      <c r="D144" s="12" t="str">
        <f aca="false">Variance!$G$91</f>
        <v>Favorable</v>
      </c>
    </row>
    <row r="145" customFormat="false" ht="15" hidden="false" customHeight="false" outlineLevel="0" collapsed="false">
      <c r="A145" s="8" t="s">
        <v>1284</v>
      </c>
      <c r="B145" s="8" t="s">
        <v>926</v>
      </c>
      <c r="C145" s="93" t="n">
        <f aca="false">Variance!$F$92</f>
        <v>-7.42498380025407</v>
      </c>
      <c r="D145" s="12" t="str">
        <f aca="false">Variance!$G$92</f>
        <v>Unfavorable</v>
      </c>
    </row>
    <row r="146" customFormat="false" ht="15" hidden="false" customHeight="false" outlineLevel="0" collapsed="false">
      <c r="A146" s="8" t="s">
        <v>1285</v>
      </c>
      <c r="B146" s="8" t="s">
        <v>928</v>
      </c>
      <c r="C146" s="93" t="n">
        <f aca="false">Variance!$F$93</f>
        <v>22.6042963691048</v>
      </c>
      <c r="D146" s="12" t="str">
        <f aca="false">Variance!$G$93</f>
        <v>Favorable</v>
      </c>
    </row>
    <row r="147" customFormat="false" ht="15" hidden="false" customHeight="false" outlineLevel="0" collapsed="false">
      <c r="A147" s="8" t="s">
        <v>1286</v>
      </c>
      <c r="B147" s="8" t="s">
        <v>963</v>
      </c>
      <c r="C147" s="93" t="n">
        <f aca="false">Variance!$F$94</f>
        <v>-1.73599499999999</v>
      </c>
      <c r="D147" s="12" t="str">
        <f aca="false">Variance!$G$94</f>
        <v>Unfavorable</v>
      </c>
    </row>
    <row r="148" customFormat="false" ht="15" hidden="false" customHeight="false" outlineLevel="0" collapsed="false">
      <c r="A148" s="8" t="s">
        <v>1287</v>
      </c>
      <c r="B148" s="8" t="s">
        <v>964</v>
      </c>
      <c r="C148" s="93" t="n">
        <f aca="false">Variance!$F$95</f>
        <v>-0.871945304769533</v>
      </c>
      <c r="D148" s="12" t="str">
        <f aca="false">Variance!$G$95</f>
        <v>Unfavorable</v>
      </c>
    </row>
    <row r="149" customFormat="false" ht="15" hidden="false" customHeight="false" outlineLevel="0" collapsed="false">
      <c r="A149" s="8" t="s">
        <v>1288</v>
      </c>
      <c r="B149" s="8" t="s">
        <v>965</v>
      </c>
      <c r="C149" s="93" t="n">
        <f aca="false">Variance!$F$96</f>
        <v>-1.16666666666667</v>
      </c>
      <c r="D149" s="12" t="str">
        <f aca="false">Variance!$G$96</f>
        <v>Unfavorable</v>
      </c>
    </row>
    <row r="150" customFormat="false" ht="15" hidden="false" customHeight="false" outlineLevel="0" collapsed="false">
      <c r="A150" s="8" t="s">
        <v>1289</v>
      </c>
      <c r="B150" s="8" t="s">
        <v>966</v>
      </c>
      <c r="C150" s="93" t="n">
        <f aca="false">Variance!$F$97</f>
        <v>7.81610038642819</v>
      </c>
      <c r="D150" s="12" t="str">
        <f aca="false">Variance!$G$97</f>
        <v>Favorable</v>
      </c>
    </row>
    <row r="151" customFormat="false" ht="15" hidden="false" customHeight="false" outlineLevel="0" collapsed="false">
      <c r="A151" s="8" t="s">
        <v>1290</v>
      </c>
      <c r="B151" s="8" t="s">
        <v>1291</v>
      </c>
      <c r="C151" s="93" t="n">
        <f aca="false">Variance!$F$70</f>
        <v>0</v>
      </c>
      <c r="D151" s="12" t="str">
        <f aca="false">Variance!$G$70</f>
        <v>Reconciled</v>
      </c>
    </row>
    <row r="152" customFormat="false" ht="15" hidden="false" customHeight="false" outlineLevel="0" collapsed="false">
      <c r="A152" s="8" t="s">
        <v>1292</v>
      </c>
      <c r="B152" s="8" t="s">
        <v>1293</v>
      </c>
      <c r="C152" s="93" t="n">
        <f aca="false">Variance!$F$87</f>
        <v>0</v>
      </c>
      <c r="D152" s="12" t="str">
        <f aca="false">Variance!$G$87</f>
        <v>Reconciled</v>
      </c>
    </row>
    <row r="154" customFormat="false" ht="15" hidden="false" customHeight="false" outlineLevel="0" collapsed="false">
      <c r="A154" s="21" t="s">
        <v>1294</v>
      </c>
      <c r="C154" s="4" t="s">
        <v>1295</v>
      </c>
    </row>
    <row r="155" customFormat="false" ht="15" hidden="false" customHeight="false" outlineLevel="0" collapsed="false">
      <c r="A155" s="18" t="s">
        <v>1164</v>
      </c>
      <c r="B155" s="19" t="s">
        <v>1296</v>
      </c>
      <c r="C155" s="19" t="s">
        <v>1187</v>
      </c>
      <c r="D155" s="19" t="s">
        <v>1233</v>
      </c>
      <c r="E155" s="19" t="s">
        <v>1234</v>
      </c>
    </row>
    <row r="156" customFormat="false" ht="15" hidden="false" customHeight="false" outlineLevel="0" collapsed="false">
      <c r="A156" s="8" t="s">
        <v>837</v>
      </c>
      <c r="B156" s="8" t="s">
        <v>1297</v>
      </c>
      <c r="C156" s="8" t="s">
        <v>354</v>
      </c>
      <c r="D156" s="93" t="n">
        <f aca="false">Variance!$C$22</f>
        <v>122.939975812098</v>
      </c>
      <c r="E156" s="93" t="n">
        <f aca="false">Variance!$D$22</f>
        <v>127.870568500562</v>
      </c>
    </row>
    <row r="157" customFormat="false" ht="15" hidden="false" customHeight="false" outlineLevel="0" collapsed="false">
      <c r="A157" s="8" t="s">
        <v>1176</v>
      </c>
      <c r="B157" s="8" t="s">
        <v>1297</v>
      </c>
      <c r="C157" s="8" t="s">
        <v>354</v>
      </c>
      <c r="D157" s="93" t="n">
        <f aca="false">Variance!$C$23</f>
        <v>166.191970253124</v>
      </c>
      <c r="E157" s="93" t="n">
        <f aca="false">Variance!$D$23</f>
        <v>156.236328100136</v>
      </c>
    </row>
    <row r="158" customFormat="false" ht="15" hidden="false" customHeight="false" outlineLevel="0" collapsed="false">
      <c r="A158" s="8" t="s">
        <v>838</v>
      </c>
      <c r="B158" s="8" t="s">
        <v>1297</v>
      </c>
      <c r="C158" s="8" t="s">
        <v>354</v>
      </c>
      <c r="D158" s="93" t="n">
        <f aca="false">Variance!$C$24</f>
        <v>4.4744117459846</v>
      </c>
      <c r="E158" s="93" t="n">
        <f aca="false">Variance!$D$24</f>
        <v>5.0118504381405</v>
      </c>
    </row>
    <row r="159" customFormat="false" ht="15" hidden="false" customHeight="false" outlineLevel="0" collapsed="false">
      <c r="A159" s="8" t="s">
        <v>837</v>
      </c>
      <c r="B159" s="8" t="s">
        <v>1171</v>
      </c>
      <c r="C159" s="8" t="s">
        <v>1298</v>
      </c>
      <c r="D159" s="93" t="n">
        <f aca="false">Variance!$C$25</f>
        <v>1.98</v>
      </c>
      <c r="E159" s="93" t="n">
        <f aca="false">Variance!$D$25</f>
        <v>1.96</v>
      </c>
    </row>
    <row r="160" customFormat="false" ht="15" hidden="false" customHeight="false" outlineLevel="0" collapsed="false">
      <c r="A160" s="8" t="s">
        <v>1176</v>
      </c>
      <c r="B160" s="8" t="s">
        <v>1171</v>
      </c>
      <c r="C160" s="8" t="s">
        <v>1298</v>
      </c>
      <c r="D160" s="93" t="n">
        <f aca="false">Variance!$C$26</f>
        <v>0.792</v>
      </c>
      <c r="E160" s="93" t="n">
        <f aca="false">Variance!$D$26</f>
        <v>0.796</v>
      </c>
    </row>
    <row r="161" customFormat="false" ht="15" hidden="false" customHeight="false" outlineLevel="0" collapsed="false">
      <c r="A161" s="8" t="s">
        <v>838</v>
      </c>
      <c r="B161" s="8" t="s">
        <v>1171</v>
      </c>
      <c r="C161" s="8" t="s">
        <v>1298</v>
      </c>
      <c r="D161" s="93" t="n">
        <f aca="false">Variance!$C$27</f>
        <v>24.75</v>
      </c>
      <c r="E161" s="93" t="n">
        <f aca="false">Variance!$D$27</f>
        <v>25.5</v>
      </c>
    </row>
    <row r="162" customFormat="false" ht="15" hidden="false" customHeight="false" outlineLevel="0" collapsed="false">
      <c r="A162" s="8" t="s">
        <v>837</v>
      </c>
      <c r="B162" s="8" t="s">
        <v>1299</v>
      </c>
      <c r="C162" s="8" t="s">
        <v>1300</v>
      </c>
      <c r="D162" s="93" t="n">
        <f aca="false">Variance!$C$28</f>
        <v>0.92</v>
      </c>
      <c r="E162" s="93" t="n">
        <f aca="false">Variance!$D$28</f>
        <v>0.925</v>
      </c>
    </row>
    <row r="163" customFormat="false" ht="15" hidden="false" customHeight="false" outlineLevel="0" collapsed="false">
      <c r="A163" s="8" t="s">
        <v>1176</v>
      </c>
      <c r="B163" s="8" t="s">
        <v>1299</v>
      </c>
      <c r="C163" s="8" t="s">
        <v>1300</v>
      </c>
      <c r="D163" s="93" t="n">
        <f aca="false">Variance!$C$29</f>
        <v>0.94</v>
      </c>
      <c r="E163" s="93" t="n">
        <f aca="false">Variance!$D$29</f>
        <v>0.935</v>
      </c>
    </row>
    <row r="164" customFormat="false" ht="15" hidden="false" customHeight="false" outlineLevel="0" collapsed="false">
      <c r="A164" s="8" t="s">
        <v>838</v>
      </c>
      <c r="B164" s="8" t="s">
        <v>1299</v>
      </c>
      <c r="C164" s="8" t="s">
        <v>1300</v>
      </c>
      <c r="D164" s="93" t="n">
        <f aca="false">Variance!$C$30</f>
        <v>0.85</v>
      </c>
      <c r="E164" s="93" t="n">
        <f aca="false">Variance!$D$30</f>
        <v>0.82</v>
      </c>
    </row>
    <row r="165" customFormat="false" ht="15" hidden="false" customHeight="false" outlineLevel="0" collapsed="false">
      <c r="A165" s="8" t="s">
        <v>837</v>
      </c>
      <c r="B165" s="8" t="s">
        <v>1301</v>
      </c>
      <c r="C165" s="8" t="s">
        <v>1302</v>
      </c>
      <c r="D165" s="93" t="n">
        <f aca="false">Variance!$C$31</f>
        <v>0.8</v>
      </c>
      <c r="E165" s="93" t="n">
        <f aca="false">Variance!$D$31</f>
        <v>0.82</v>
      </c>
    </row>
    <row r="166" customFormat="false" ht="15" hidden="false" customHeight="false" outlineLevel="0" collapsed="false">
      <c r="A166" s="8" t="s">
        <v>1176</v>
      </c>
      <c r="B166" s="8" t="s">
        <v>1301</v>
      </c>
      <c r="C166" s="8" t="s">
        <v>1302</v>
      </c>
      <c r="D166" s="93" t="n">
        <f aca="false">Variance!$C$32</f>
        <v>0.8</v>
      </c>
      <c r="E166" s="93" t="n">
        <f aca="false">Variance!$D$32</f>
        <v>0.76</v>
      </c>
    </row>
    <row r="167" customFormat="false" ht="15" hidden="false" customHeight="false" outlineLevel="0" collapsed="false">
      <c r="A167" s="8" t="s">
        <v>838</v>
      </c>
      <c r="B167" s="8" t="s">
        <v>1301</v>
      </c>
      <c r="C167" s="8" t="s">
        <v>1302</v>
      </c>
      <c r="D167" s="93" t="n">
        <f aca="false">Variance!$C$33</f>
        <v>0.8</v>
      </c>
      <c r="E167" s="93" t="n">
        <f aca="false">Variance!$D$33</f>
        <v>0.88</v>
      </c>
    </row>
    <row r="168" customFormat="false" ht="15" hidden="false" customHeight="false" outlineLevel="0" collapsed="false">
      <c r="A168" s="8" t="s">
        <v>837</v>
      </c>
      <c r="B168" s="8" t="s">
        <v>1303</v>
      </c>
      <c r="C168" s="8" t="s">
        <v>371</v>
      </c>
      <c r="D168" s="93" t="n">
        <f aca="false">Variance!$C$34</f>
        <v>0.715854037267081</v>
      </c>
      <c r="E168" s="93" t="n">
        <f aca="false">Variance!$D$34</f>
        <v>0.711832187588285</v>
      </c>
    </row>
    <row r="169" customFormat="false" ht="15" hidden="false" customHeight="false" outlineLevel="0" collapsed="false">
      <c r="A169" s="8" t="s">
        <v>1176</v>
      </c>
      <c r="B169" s="8" t="s">
        <v>1303</v>
      </c>
      <c r="C169" s="8" t="s">
        <v>371</v>
      </c>
      <c r="D169" s="93" t="n">
        <f aca="false">Variance!$C$35</f>
        <v>0.314685476410731</v>
      </c>
      <c r="E169" s="93" t="n">
        <f aca="false">Variance!$D$35</f>
        <v>0.322867387021378</v>
      </c>
    </row>
    <row r="170" customFormat="false" ht="15" hidden="false" customHeight="false" outlineLevel="0" collapsed="false">
      <c r="A170" s="8" t="s">
        <v>838</v>
      </c>
      <c r="B170" s="8" t="s">
        <v>1303</v>
      </c>
      <c r="C170" s="8" t="s">
        <v>371</v>
      </c>
      <c r="D170" s="93" t="n">
        <f aca="false">Variance!$C$36</f>
        <v>10.6726696832579</v>
      </c>
      <c r="E170" s="93" t="n">
        <f aca="false">Variance!$D$36</f>
        <v>10.979242708511</v>
      </c>
    </row>
    <row r="171" customFormat="false" ht="15" hidden="false" customHeight="false" outlineLevel="0" collapsed="false">
      <c r="A171" s="8" t="s">
        <v>837</v>
      </c>
      <c r="B171" s="8" t="s">
        <v>1304</v>
      </c>
      <c r="C171" s="8" t="s">
        <v>823</v>
      </c>
      <c r="D171" s="93" t="n">
        <f aca="false">Variance!$C$37</f>
        <v>0</v>
      </c>
      <c r="E171" s="93" t="n">
        <f aca="false">Variance!$D$37</f>
        <v>0</v>
      </c>
    </row>
    <row r="172" customFormat="false" ht="15" hidden="false" customHeight="false" outlineLevel="0" collapsed="false">
      <c r="A172" s="8" t="s">
        <v>1176</v>
      </c>
      <c r="B172" s="8" t="s">
        <v>1304</v>
      </c>
      <c r="C172" s="8" t="s">
        <v>823</v>
      </c>
      <c r="D172" s="93" t="n">
        <f aca="false">Variance!$C$38</f>
        <v>0</v>
      </c>
      <c r="E172" s="93" t="n">
        <f aca="false">Variance!$D$38</f>
        <v>0</v>
      </c>
    </row>
    <row r="173" customFormat="false" ht="15" hidden="false" customHeight="false" outlineLevel="0" collapsed="false">
      <c r="A173" s="8" t="s">
        <v>838</v>
      </c>
      <c r="B173" s="8" t="s">
        <v>1304</v>
      </c>
      <c r="C173" s="8" t="s">
        <v>823</v>
      </c>
      <c r="D173" s="93" t="n">
        <f aca="false">Variance!$C$39</f>
        <v>0</v>
      </c>
      <c r="E173" s="93" t="n">
        <f aca="false">Variance!$D$39</f>
        <v>0</v>
      </c>
    </row>
    <row r="175" customFormat="false" ht="15" hidden="false" customHeight="false" outlineLevel="0" collapsed="false">
      <c r="A175" s="21" t="s">
        <v>1305</v>
      </c>
      <c r="C175" s="4" t="s">
        <v>1306</v>
      </c>
    </row>
    <row r="176" customFormat="false" ht="24.05" hidden="false" customHeight="false" outlineLevel="0" collapsed="false">
      <c r="A176" s="18" t="s">
        <v>1124</v>
      </c>
      <c r="B176" s="19" t="s">
        <v>1307</v>
      </c>
      <c r="C176" s="19" t="s">
        <v>1308</v>
      </c>
      <c r="D176" s="19" t="s">
        <v>1309</v>
      </c>
      <c r="E176" s="19" t="s">
        <v>1310</v>
      </c>
      <c r="F176" s="19" t="s">
        <v>1311</v>
      </c>
      <c r="G176" s="19" t="s">
        <v>1312</v>
      </c>
      <c r="H176" s="19" t="s">
        <v>1313</v>
      </c>
      <c r="I176" s="19" t="s">
        <v>1314</v>
      </c>
      <c r="J176" s="19" t="s">
        <v>1315</v>
      </c>
    </row>
    <row r="177" customFormat="false" ht="15" hidden="false" customHeight="false" outlineLevel="0" collapsed="false">
      <c r="A177" s="8" t="s">
        <v>280</v>
      </c>
      <c r="B177" s="93" t="n">
        <f aca="false">Capex!$F$65</f>
        <v>-14.0934024543176</v>
      </c>
      <c r="C177" s="93" t="n">
        <f aca="false">Capex!$F$66</f>
        <v>-0.112941614981494</v>
      </c>
      <c r="D177" s="93" t="str">
        <f aca="false">Capex!$F$67</f>
        <v>Not within life</v>
      </c>
      <c r="E177" s="93" t="n">
        <f aca="false">Capex!$F$70</f>
        <v>0.078528365741424</v>
      </c>
      <c r="F177" s="93" t="n">
        <f aca="false">Capex!$F$71</f>
        <v>0</v>
      </c>
      <c r="G177" s="12" t="str">
        <f aca="false">Capex!$C$155</f>
        <v>FAIL</v>
      </c>
      <c r="H177" s="12" t="str">
        <f aca="false">Capex!$C$156</f>
        <v>FAIL</v>
      </c>
      <c r="I177" s="12" t="str">
        <f aca="false">Capex!$C$157</f>
        <v>FAIL</v>
      </c>
      <c r="J177" s="12" t="str">
        <f aca="false">Capex!$C$158</f>
        <v>NO</v>
      </c>
    </row>
    <row r="178" customFormat="false" ht="15" hidden="false" customHeight="false" outlineLevel="0" collapsed="false">
      <c r="A178" s="8" t="s">
        <v>275</v>
      </c>
      <c r="B178" s="93" t="n">
        <f aca="false">Capex!$F$103</f>
        <v>69.893170454862</v>
      </c>
      <c r="C178" s="93" t="n">
        <f aca="false">Capex!$F$104</f>
        <v>0.464730571316749</v>
      </c>
      <c r="D178" s="93" t="n">
        <f aca="false">Capex!$F$105</f>
        <v>3.06947996600789</v>
      </c>
      <c r="E178" s="93" t="n">
        <f aca="false">Capex!$F$108</f>
        <v>0.0682039045328038</v>
      </c>
      <c r="F178" s="93" t="n">
        <f aca="false">Capex!$F$109</f>
        <v>0.482862543100372</v>
      </c>
      <c r="G178" s="12" t="str">
        <f aca="false">Capex!$D$155</f>
        <v>PASS</v>
      </c>
      <c r="H178" s="12" t="str">
        <f aca="false">Capex!$D$156</f>
        <v>PASS</v>
      </c>
      <c r="I178" s="12" t="str">
        <f aca="false">Capex!$D$157</f>
        <v>PASS</v>
      </c>
      <c r="J178" s="12" t="str">
        <f aca="false">Capex!$D$158</f>
        <v>YES</v>
      </c>
    </row>
    <row r="179" customFormat="false" ht="15" hidden="false" customHeight="false" outlineLevel="0" collapsed="false">
      <c r="A179" s="8" t="s">
        <v>281</v>
      </c>
      <c r="B179" s="93" t="n">
        <f aca="false">Capex!$F$141</f>
        <v>159.860576411099</v>
      </c>
      <c r="C179" s="93" t="n">
        <f aca="false">Capex!$F$142</f>
        <v>1.00401471429295</v>
      </c>
      <c r="D179" s="93" t="n">
        <f aca="false">Capex!$F$143</f>
        <v>1.40731517090163</v>
      </c>
      <c r="E179" s="93" t="n">
        <f aca="false">Capex!$F$146</f>
        <v>0.0652549550064734</v>
      </c>
      <c r="F179" s="93" t="n">
        <f aca="false">Capex!$F$147</f>
        <v>0.847724189260677</v>
      </c>
      <c r="G179" s="12" t="str">
        <f aca="false">Capex!$E$155</f>
        <v>PASS</v>
      </c>
      <c r="H179" s="12" t="str">
        <f aca="false">Capex!$E$156</f>
        <v>PASS</v>
      </c>
      <c r="I179" s="12" t="str">
        <f aca="false">Capex!$E$157</f>
        <v>PASS</v>
      </c>
      <c r="J179" s="12" t="str">
        <f aca="false">Capex!$E$158</f>
        <v>YES</v>
      </c>
    </row>
    <row r="181" customFormat="false" ht="15" hidden="false" customHeight="false" outlineLevel="0" collapsed="false">
      <c r="A181" s="21" t="s">
        <v>1316</v>
      </c>
      <c r="C181" s="4" t="s">
        <v>1317</v>
      </c>
    </row>
    <row r="182" customFormat="false" ht="24.05" hidden="false" customHeight="false" outlineLevel="0" collapsed="false">
      <c r="A182" s="18" t="s">
        <v>1124</v>
      </c>
      <c r="B182" s="19" t="s">
        <v>1318</v>
      </c>
      <c r="C182" s="19" t="s">
        <v>1131</v>
      </c>
      <c r="D182" s="19" t="s">
        <v>1150</v>
      </c>
      <c r="E182" s="19" t="s">
        <v>1151</v>
      </c>
      <c r="F182" s="19" t="s">
        <v>1319</v>
      </c>
      <c r="G182" s="19" t="s">
        <v>1320</v>
      </c>
      <c r="H182" s="19" t="s">
        <v>1321</v>
      </c>
      <c r="I182" s="19" t="s">
        <v>1149</v>
      </c>
    </row>
    <row r="183" customFormat="false" ht="15" hidden="false" customHeight="false" outlineLevel="0" collapsed="false">
      <c r="A183" s="8" t="s">
        <v>280</v>
      </c>
      <c r="B183" s="95" t="n">
        <v>0</v>
      </c>
      <c r="C183" s="12" t="str">
        <f aca="false">Capex!C$38</f>
        <v>FY2027</v>
      </c>
      <c r="D183" s="93" t="n">
        <f aca="false">Capex!C$58</f>
        <v>-27</v>
      </c>
      <c r="E183" s="93" t="n">
        <f aca="false">Capex!C$61</f>
        <v>-27</v>
      </c>
      <c r="F183" s="93" t="n">
        <f aca="false">Capex!C$60</f>
        <v>-27</v>
      </c>
      <c r="G183" s="93" t="n">
        <f aca="false">Capex!C$43</f>
        <v>0</v>
      </c>
      <c r="H183" s="93" t="n">
        <f aca="false">Capex!C$47</f>
        <v>0</v>
      </c>
      <c r="I183" s="93" t="n">
        <f aca="false">Capex!C$50</f>
        <v>0</v>
      </c>
    </row>
    <row r="184" customFormat="false" ht="15" hidden="false" customHeight="false" outlineLevel="0" collapsed="false">
      <c r="A184" s="8" t="s">
        <v>280</v>
      </c>
      <c r="B184" s="95" t="n">
        <v>1</v>
      </c>
      <c r="C184" s="12" t="str">
        <f aca="false">Capex!D$38</f>
        <v>FY2028</v>
      </c>
      <c r="D184" s="93" t="n">
        <f aca="false">Capex!D$58</f>
        <v>2.8023560655942</v>
      </c>
      <c r="E184" s="93" t="n">
        <f aca="false">Capex!D$61</f>
        <v>-24.1976439344058</v>
      </c>
      <c r="F184" s="93" t="n">
        <f aca="false">Capex!D$60</f>
        <v>2.57096886751762</v>
      </c>
      <c r="G184" s="93" t="n">
        <f aca="false">Capex!D$43</f>
        <v>0</v>
      </c>
      <c r="H184" s="93" t="n">
        <f aca="false">Capex!D$47</f>
        <v>2.05108362733443</v>
      </c>
      <c r="I184" s="93" t="n">
        <f aca="false">Capex!D$50</f>
        <v>2.35108362733443</v>
      </c>
    </row>
    <row r="185" customFormat="false" ht="15" hidden="false" customHeight="false" outlineLevel="0" collapsed="false">
      <c r="A185" s="8" t="s">
        <v>280</v>
      </c>
      <c r="B185" s="95" t="n">
        <v>2</v>
      </c>
      <c r="C185" s="12" t="str">
        <f aca="false">Capex!E$38</f>
        <v>FY2029</v>
      </c>
      <c r="D185" s="93" t="n">
        <f aca="false">Capex!E$58</f>
        <v>2.83476318690609</v>
      </c>
      <c r="E185" s="93" t="n">
        <f aca="false">Capex!E$61</f>
        <v>-21.3628807474997</v>
      </c>
      <c r="F185" s="93" t="n">
        <f aca="false">Capex!E$60</f>
        <v>2.38596346006741</v>
      </c>
      <c r="G185" s="93" t="n">
        <f aca="false">Capex!E$43</f>
        <v>0</v>
      </c>
      <c r="H185" s="93" t="n">
        <f aca="false">Capex!E$47</f>
        <v>2.09210529988112</v>
      </c>
      <c r="I185" s="93" t="n">
        <f aca="false">Capex!E$50</f>
        <v>2.39210529988112</v>
      </c>
    </row>
    <row r="186" customFormat="false" ht="15" hidden="false" customHeight="false" outlineLevel="0" collapsed="false">
      <c r="A186" s="8" t="s">
        <v>280</v>
      </c>
      <c r="B186" s="95" t="n">
        <v>3</v>
      </c>
      <c r="C186" s="12" t="str">
        <f aca="false">Capex!F$38</f>
        <v>FY2030</v>
      </c>
      <c r="D186" s="93" t="n">
        <f aca="false">Capex!F$58</f>
        <v>2.86781845064421</v>
      </c>
      <c r="E186" s="93" t="n">
        <f aca="false">Capex!F$61</f>
        <v>-18.4950622968555</v>
      </c>
      <c r="F186" s="93" t="n">
        <f aca="false">Capex!F$60</f>
        <v>2.21448203140177</v>
      </c>
      <c r="G186" s="93" t="n">
        <f aca="false">Capex!F$43</f>
        <v>0</v>
      </c>
      <c r="H186" s="93" t="n">
        <f aca="false">Capex!F$47</f>
        <v>2.13394740587875</v>
      </c>
      <c r="I186" s="93" t="n">
        <f aca="false">Capex!F$50</f>
        <v>2.43394740587875</v>
      </c>
    </row>
    <row r="187" customFormat="false" ht="15" hidden="false" customHeight="false" outlineLevel="0" collapsed="false">
      <c r="A187" s="8" t="s">
        <v>280</v>
      </c>
      <c r="B187" s="95" t="n">
        <v>4</v>
      </c>
      <c r="C187" s="12" t="str">
        <f aca="false">Capex!G$38</f>
        <v>FY2031</v>
      </c>
      <c r="D187" s="93" t="n">
        <f aca="false">Capex!G$58</f>
        <v>2.90153481965709</v>
      </c>
      <c r="E187" s="93" t="n">
        <f aca="false">Capex!G$61</f>
        <v>-15.5935274771984</v>
      </c>
      <c r="F187" s="93" t="n">
        <f aca="false">Capex!G$60</f>
        <v>2.05552041702859</v>
      </c>
      <c r="G187" s="93" t="n">
        <f aca="false">Capex!G$43</f>
        <v>0</v>
      </c>
      <c r="H187" s="93" t="n">
        <f aca="false">Capex!G$47</f>
        <v>2.17662635399632</v>
      </c>
      <c r="I187" s="93" t="n">
        <f aca="false">Capex!G$50</f>
        <v>2.47662635399632</v>
      </c>
    </row>
    <row r="188" customFormat="false" ht="15" hidden="false" customHeight="false" outlineLevel="0" collapsed="false">
      <c r="A188" s="8" t="s">
        <v>280</v>
      </c>
      <c r="B188" s="95" t="n">
        <v>5</v>
      </c>
      <c r="C188" s="12" t="str">
        <f aca="false">Capex!H$38</f>
        <v>FY2032</v>
      </c>
      <c r="D188" s="93" t="n">
        <f aca="false">Capex!H$58</f>
        <v>2.93592551605024</v>
      </c>
      <c r="E188" s="93" t="n">
        <f aca="false">Capex!H$61</f>
        <v>-12.6576019611482</v>
      </c>
      <c r="F188" s="93" t="n">
        <f aca="false">Capex!H$60</f>
        <v>1.90815014071521</v>
      </c>
      <c r="G188" s="93" t="n">
        <f aca="false">Capex!H$43</f>
        <v>0</v>
      </c>
      <c r="H188" s="93" t="n">
        <f aca="false">Capex!H$47</f>
        <v>2.22015888107625</v>
      </c>
      <c r="I188" s="93" t="n">
        <f aca="false">Capex!H$50</f>
        <v>2.52015888107625</v>
      </c>
    </row>
    <row r="189" customFormat="false" ht="15" hidden="false" customHeight="false" outlineLevel="0" collapsed="false">
      <c r="A189" s="8" t="s">
        <v>280</v>
      </c>
      <c r="B189" s="95" t="n">
        <v>6</v>
      </c>
      <c r="C189" s="12" t="str">
        <f aca="false">Capex!I$38</f>
        <v>FY2033</v>
      </c>
      <c r="D189" s="93" t="n">
        <f aca="false">Capex!I$58</f>
        <v>2.97100402637124</v>
      </c>
      <c r="E189" s="93" t="n">
        <f aca="false">Capex!I$61</f>
        <v>-9.68659793477693</v>
      </c>
      <c r="F189" s="93" t="n">
        <f aca="false">Capex!I$60</f>
        <v>1.77151262895177</v>
      </c>
      <c r="G189" s="93" t="n">
        <f aca="false">Capex!I$43</f>
        <v>0</v>
      </c>
      <c r="H189" s="93" t="n">
        <f aca="false">Capex!I$47</f>
        <v>2.26456205869777</v>
      </c>
      <c r="I189" s="93" t="n">
        <f aca="false">Capex!I$50</f>
        <v>2.56456205869777</v>
      </c>
    </row>
    <row r="190" customFormat="false" ht="15" hidden="false" customHeight="false" outlineLevel="0" collapsed="false">
      <c r="A190" s="8" t="s">
        <v>275</v>
      </c>
      <c r="B190" s="95" t="n">
        <v>0</v>
      </c>
      <c r="C190" s="12" t="str">
        <f aca="false">Capex!C$76</f>
        <v>FY2027</v>
      </c>
      <c r="D190" s="93" t="n">
        <f aca="false">Capex!C$96</f>
        <v>-27</v>
      </c>
      <c r="E190" s="93" t="n">
        <f aca="false">Capex!C$99</f>
        <v>-27</v>
      </c>
      <c r="F190" s="93" t="n">
        <f aca="false">Capex!C$98</f>
        <v>-27</v>
      </c>
      <c r="G190" s="93" t="n">
        <f aca="false">Capex!C$81</f>
        <v>0</v>
      </c>
      <c r="H190" s="93" t="n">
        <f aca="false">Capex!C$85</f>
        <v>0</v>
      </c>
      <c r="I190" s="93" t="n">
        <f aca="false">Capex!C$88</f>
        <v>0</v>
      </c>
    </row>
    <row r="191" customFormat="false" ht="15" hidden="false" customHeight="false" outlineLevel="0" collapsed="false">
      <c r="A191" s="8" t="s">
        <v>275</v>
      </c>
      <c r="B191" s="95" t="n">
        <v>1</v>
      </c>
      <c r="C191" s="12" t="str">
        <f aca="false">Capex!D$76</f>
        <v>FY2028</v>
      </c>
      <c r="D191" s="93" t="n">
        <f aca="false">Capex!D$96</f>
        <v>2.89773247845322</v>
      </c>
      <c r="E191" s="93" t="n">
        <f aca="false">Capex!D$99</f>
        <v>-24.1022675215468</v>
      </c>
      <c r="F191" s="93" t="n">
        <f aca="false">Capex!D$98</f>
        <v>2.65847016371855</v>
      </c>
      <c r="G191" s="93" t="n">
        <f aca="false">Capex!D$81</f>
        <v>0</v>
      </c>
      <c r="H191" s="93" t="n">
        <f aca="false">Capex!D$85</f>
        <v>2.24601521762587</v>
      </c>
      <c r="I191" s="93" t="n">
        <f aca="false">Capex!D$88</f>
        <v>2.54601521762587</v>
      </c>
    </row>
    <row r="192" customFormat="false" ht="15" hidden="false" customHeight="false" outlineLevel="0" collapsed="false">
      <c r="A192" s="8" t="s">
        <v>275</v>
      </c>
      <c r="B192" s="95" t="n">
        <v>2</v>
      </c>
      <c r="C192" s="12" t="str">
        <f aca="false">Capex!E$76</f>
        <v>FY2029</v>
      </c>
      <c r="D192" s="93" t="n">
        <f aca="false">Capex!E$96</f>
        <v>6.58873447300062</v>
      </c>
      <c r="E192" s="93" t="n">
        <f aca="false">Capex!E$99</f>
        <v>-17.5135330485462</v>
      </c>
      <c r="F192" s="93" t="n">
        <f aca="false">Capex!E$98</f>
        <v>5.54560598687031</v>
      </c>
      <c r="G192" s="93" t="n">
        <f aca="false">Capex!E$81</f>
        <v>0.328070823873883</v>
      </c>
      <c r="H192" s="93" t="n">
        <f aca="false">Capex!E$85</f>
        <v>2.31707863636363</v>
      </c>
      <c r="I192" s="93" t="n">
        <f aca="false">Capex!E$88</f>
        <v>8.61052697370269</v>
      </c>
    </row>
    <row r="193" customFormat="false" ht="15" hidden="false" customHeight="false" outlineLevel="0" collapsed="false">
      <c r="A193" s="8" t="s">
        <v>275</v>
      </c>
      <c r="B193" s="95" t="n">
        <v>3</v>
      </c>
      <c r="C193" s="12" t="str">
        <f aca="false">Capex!F$76</f>
        <v>FY2030</v>
      </c>
      <c r="D193" s="93" t="n">
        <f aca="false">Capex!F$96</f>
        <v>15.685748363955</v>
      </c>
      <c r="E193" s="93" t="n">
        <f aca="false">Capex!F$99</f>
        <v>-1.82778468459115</v>
      </c>
      <c r="F193" s="93" t="n">
        <f aca="false">Capex!F$98</f>
        <v>12.1122757590409</v>
      </c>
      <c r="G193" s="93" t="n">
        <f aca="false">Capex!F$81</f>
        <v>1.06379507330631</v>
      </c>
      <c r="H193" s="93" t="n">
        <f aca="false">Capex!F$85</f>
        <v>2.31707863636363</v>
      </c>
      <c r="I193" s="93" t="n">
        <f aca="false">Capex!F$88</f>
        <v>21.5455733378651</v>
      </c>
    </row>
    <row r="194" customFormat="false" ht="15" hidden="false" customHeight="false" outlineLevel="0" collapsed="false">
      <c r="A194" s="8" t="s">
        <v>275</v>
      </c>
      <c r="B194" s="95" t="n">
        <v>4</v>
      </c>
      <c r="C194" s="12" t="str">
        <f aca="false">Capex!G$76</f>
        <v>FY2031</v>
      </c>
      <c r="D194" s="93" t="n">
        <f aca="false">Capex!G$96</f>
        <v>26.3066433334705</v>
      </c>
      <c r="E194" s="93" t="n">
        <f aca="false">Capex!G$99</f>
        <v>24.4788586488793</v>
      </c>
      <c r="F194" s="93" t="n">
        <f aca="false">Capex!G$98</f>
        <v>18.6362893559307</v>
      </c>
      <c r="G194" s="93" t="n">
        <f aca="false">Capex!G$81</f>
        <v>1.8436627777047</v>
      </c>
      <c r="H194" s="93" t="n">
        <f aca="false">Capex!G$85</f>
        <v>2.31707863636363</v>
      </c>
      <c r="I194" s="93" t="n">
        <f aca="false">Capex!G$88</f>
        <v>34.5631004249658</v>
      </c>
    </row>
    <row r="195" customFormat="false" ht="15" hidden="false" customHeight="false" outlineLevel="0" collapsed="false">
      <c r="A195" s="8" t="s">
        <v>275</v>
      </c>
      <c r="B195" s="95" t="n">
        <v>5</v>
      </c>
      <c r="C195" s="12" t="str">
        <f aca="false">Capex!H$76</f>
        <v>FY2032</v>
      </c>
      <c r="D195" s="93" t="n">
        <f aca="false">Capex!H$96</f>
        <v>36.9958744886118</v>
      </c>
      <c r="E195" s="93" t="n">
        <f aca="false">Capex!H$99</f>
        <v>61.4747331374912</v>
      </c>
      <c r="F195" s="93" t="n">
        <f aca="false">Capex!H$98</f>
        <v>24.0447799937031</v>
      </c>
      <c r="G195" s="93" t="n">
        <f aca="false">Capex!H$81</f>
        <v>2.67032254436698</v>
      </c>
      <c r="H195" s="93" t="n">
        <f aca="false">Capex!H$85</f>
        <v>2.31707863636363</v>
      </c>
      <c r="I195" s="93" t="n">
        <f aca="false">Capex!H$88</f>
        <v>47.6678322148342</v>
      </c>
    </row>
    <row r="196" customFormat="false" ht="15" hidden="false" customHeight="false" outlineLevel="0" collapsed="false">
      <c r="A196" s="8" t="s">
        <v>275</v>
      </c>
      <c r="B196" s="95" t="n">
        <v>6</v>
      </c>
      <c r="C196" s="12" t="str">
        <f aca="false">Capex!I$76</f>
        <v>FY2033</v>
      </c>
      <c r="D196" s="93" t="n">
        <f aca="false">Capex!I$96</f>
        <v>56.8465647329769</v>
      </c>
      <c r="E196" s="93" t="n">
        <f aca="false">Capex!I$99</f>
        <v>118.321297870468</v>
      </c>
      <c r="F196" s="93" t="n">
        <f aca="false">Capex!I$98</f>
        <v>33.8957491955984</v>
      </c>
      <c r="G196" s="93" t="n">
        <f aca="false">Capex!I$81</f>
        <v>3.2724</v>
      </c>
      <c r="H196" s="93" t="n">
        <f aca="false">Capex!I$85</f>
        <v>2.31707863636363</v>
      </c>
      <c r="I196" s="93" t="n">
        <f aca="false">Capex!I$88</f>
        <v>56.361217526699</v>
      </c>
    </row>
    <row r="197" customFormat="false" ht="15" hidden="false" customHeight="false" outlineLevel="0" collapsed="false">
      <c r="A197" s="8" t="s">
        <v>281</v>
      </c>
      <c r="B197" s="95" t="n">
        <v>0</v>
      </c>
      <c r="C197" s="12" t="str">
        <f aca="false">Capex!C$114</f>
        <v>FY2027</v>
      </c>
      <c r="D197" s="93" t="n">
        <f aca="false">Capex!C$134</f>
        <v>-27</v>
      </c>
      <c r="E197" s="93" t="n">
        <f aca="false">Capex!C$137</f>
        <v>-27</v>
      </c>
      <c r="F197" s="93" t="n">
        <f aca="false">Capex!C$136</f>
        <v>-27</v>
      </c>
      <c r="G197" s="93" t="n">
        <f aca="false">Capex!C$119</f>
        <v>0</v>
      </c>
      <c r="H197" s="93" t="n">
        <f aca="false">Capex!C$123</f>
        <v>0</v>
      </c>
      <c r="I197" s="93" t="n">
        <f aca="false">Capex!C$126</f>
        <v>0</v>
      </c>
    </row>
    <row r="198" customFormat="false" ht="15" hidden="false" customHeight="false" outlineLevel="0" collapsed="false">
      <c r="A198" s="8" t="s">
        <v>281</v>
      </c>
      <c r="B198" s="95" t="n">
        <v>1</v>
      </c>
      <c r="C198" s="12" t="str">
        <f aca="false">Capex!D$114</f>
        <v>FY2028</v>
      </c>
      <c r="D198" s="93" t="n">
        <f aca="false">Capex!D$134</f>
        <v>13.7566478390603</v>
      </c>
      <c r="E198" s="93" t="n">
        <f aca="false">Capex!D$137</f>
        <v>-13.2433521609397</v>
      </c>
      <c r="F198" s="93" t="n">
        <f aca="false">Capex!D$136</f>
        <v>12.6207778340002</v>
      </c>
      <c r="G198" s="93" t="n">
        <f aca="false">Capex!D$119</f>
        <v>0.890480863974878</v>
      </c>
      <c r="H198" s="93" t="n">
        <f aca="false">Capex!D$123</f>
        <v>2.24655775280899</v>
      </c>
      <c r="I198" s="93" t="n">
        <f aca="false">Capex!D$126</f>
        <v>19.8319419439025</v>
      </c>
    </row>
    <row r="199" customFormat="false" ht="15" hidden="false" customHeight="false" outlineLevel="0" collapsed="false">
      <c r="A199" s="8" t="s">
        <v>281</v>
      </c>
      <c r="B199" s="95" t="n">
        <v>2</v>
      </c>
      <c r="C199" s="12" t="str">
        <f aca="false">Capex!E$114</f>
        <v>FY2029</v>
      </c>
      <c r="D199" s="93" t="n">
        <f aca="false">Capex!E$134</f>
        <v>32.5137709249189</v>
      </c>
      <c r="E199" s="93" t="n">
        <f aca="false">Capex!E$137</f>
        <v>19.2704187639792</v>
      </c>
      <c r="F199" s="93" t="n">
        <f aca="false">Capex!E$136</f>
        <v>27.3661904931562</v>
      </c>
      <c r="G199" s="93" t="n">
        <f aca="false">Capex!E$119</f>
        <v>2.18696895037237</v>
      </c>
      <c r="H199" s="93" t="n">
        <f aca="false">Capex!E$123</f>
        <v>2.24655775280899</v>
      </c>
      <c r="I199" s="93" t="n">
        <f aca="false">Capex!E$126</f>
        <v>43.9161200047534</v>
      </c>
    </row>
    <row r="200" customFormat="false" ht="15" hidden="false" customHeight="false" outlineLevel="0" collapsed="false">
      <c r="A200" s="8" t="s">
        <v>281</v>
      </c>
      <c r="B200" s="95" t="n">
        <v>3</v>
      </c>
      <c r="C200" s="12" t="str">
        <f aca="false">Capex!F$114</f>
        <v>FY2030</v>
      </c>
      <c r="D200" s="93" t="n">
        <f aca="false">Capex!F$134</f>
        <v>49.8326871732771</v>
      </c>
      <c r="E200" s="93" t="n">
        <f aca="false">Capex!F$137</f>
        <v>69.1031059372563</v>
      </c>
      <c r="F200" s="93" t="n">
        <f aca="false">Capex!F$136</f>
        <v>38.4799778022555</v>
      </c>
      <c r="G200" s="93" t="n">
        <f aca="false">Capex!F$119</f>
        <v>3.3048</v>
      </c>
      <c r="H200" s="93" t="n">
        <f aca="false">Capex!F$123</f>
        <v>2.24655775280899</v>
      </c>
      <c r="I200" s="93" t="n">
        <f aca="false">Capex!F$126</f>
        <v>63.4586158704001</v>
      </c>
    </row>
    <row r="201" customFormat="false" ht="15" hidden="false" customHeight="false" outlineLevel="0" collapsed="false">
      <c r="A201" s="8" t="s">
        <v>281</v>
      </c>
      <c r="B201" s="95" t="n">
        <v>4</v>
      </c>
      <c r="C201" s="12" t="str">
        <f aca="false">Capex!G$114</f>
        <v>FY2031</v>
      </c>
      <c r="D201" s="93" t="n">
        <f aca="false">Capex!G$134</f>
        <v>52.9639939491283</v>
      </c>
      <c r="E201" s="93" t="n">
        <f aca="false">Capex!G$137</f>
        <v>122.067099886385</v>
      </c>
      <c r="F201" s="93" t="n">
        <f aca="false">Capex!G$136</f>
        <v>37.521028592267</v>
      </c>
      <c r="G201" s="93" t="n">
        <f aca="false">Capex!G$119</f>
        <v>3.3048</v>
      </c>
      <c r="H201" s="93" t="n">
        <f aca="false">Capex!G$123</f>
        <v>2.24655775280899</v>
      </c>
      <c r="I201" s="93" t="n">
        <f aca="false">Capex!G$126</f>
        <v>61.8878379529921</v>
      </c>
    </row>
    <row r="202" customFormat="false" ht="15" hidden="false" customHeight="false" outlineLevel="0" collapsed="false">
      <c r="A202" s="8" t="s">
        <v>281</v>
      </c>
      <c r="B202" s="95" t="n">
        <v>5</v>
      </c>
      <c r="C202" s="12" t="str">
        <f aca="false">Capex!H$114</f>
        <v>FY2032</v>
      </c>
      <c r="D202" s="93" t="n">
        <f aca="false">Capex!H$134</f>
        <v>51.6657653661458</v>
      </c>
      <c r="E202" s="93" t="n">
        <f aca="false">Capex!H$137</f>
        <v>173.73286525253</v>
      </c>
      <c r="F202" s="93" t="n">
        <f aca="false">Capex!H$136</f>
        <v>33.5792025085842</v>
      </c>
      <c r="G202" s="93" t="n">
        <f aca="false">Capex!H$119</f>
        <v>3.3048</v>
      </c>
      <c r="H202" s="93" t="n">
        <f aca="false">Capex!H$123</f>
        <v>2.24655775280899</v>
      </c>
      <c r="I202" s="93" t="n">
        <f aca="false">Capex!H$126</f>
        <v>60.3484755939322</v>
      </c>
    </row>
    <row r="203" customFormat="false" ht="15" hidden="false" customHeight="false" outlineLevel="0" collapsed="false">
      <c r="A203" s="8" t="s">
        <v>281</v>
      </c>
      <c r="B203" s="95" t="n">
        <v>6</v>
      </c>
      <c r="C203" s="12" t="str">
        <f aca="false">Capex!I$114</f>
        <v>FY2033</v>
      </c>
      <c r="D203" s="93" t="n">
        <f aca="false">Capex!I$134</f>
        <v>62.544763899818</v>
      </c>
      <c r="E203" s="93" t="n">
        <f aca="false">Capex!I$137</f>
        <v>236.277629152348</v>
      </c>
      <c r="F203" s="93" t="n">
        <f aca="false">Capex!I$136</f>
        <v>37.2933991808361</v>
      </c>
      <c r="G203" s="93" t="n">
        <f aca="false">Capex!I$119</f>
        <v>3.3048</v>
      </c>
      <c r="H203" s="93" t="n">
        <f aca="false">Capex!I$123</f>
        <v>2.24655775280899</v>
      </c>
      <c r="I203" s="93" t="n">
        <f aca="false">Capex!I$126</f>
        <v>58.8399004820536</v>
      </c>
    </row>
    <row r="205" customFormat="false" ht="15" hidden="false" customHeight="false" outlineLevel="0" collapsed="false">
      <c r="A205" s="21" t="s">
        <v>1322</v>
      </c>
      <c r="C205" s="4" t="s">
        <v>1323</v>
      </c>
    </row>
    <row r="206" customFormat="false" ht="15" hidden="false" customHeight="false" outlineLevel="0" collapsed="false">
      <c r="A206" s="18" t="s">
        <v>1122</v>
      </c>
      <c r="B206" s="19" t="s">
        <v>1187</v>
      </c>
      <c r="C206" s="19" t="s">
        <v>1123</v>
      </c>
    </row>
    <row r="207" customFormat="false" ht="15" hidden="false" customHeight="false" outlineLevel="0" collapsed="false">
      <c r="A207" s="8" t="s">
        <v>1324</v>
      </c>
      <c r="B207" s="8" t="s">
        <v>1325</v>
      </c>
      <c r="C207" s="40" t="n">
        <f aca="false">Capex!$F$6</f>
        <v>24</v>
      </c>
    </row>
    <row r="208" customFormat="false" ht="15" hidden="false" customHeight="false" outlineLevel="0" collapsed="false">
      <c r="A208" s="8" t="s">
        <v>1326</v>
      </c>
      <c r="B208" s="8" t="s">
        <v>1327</v>
      </c>
      <c r="C208" s="40" t="n">
        <f aca="false">Capex!$F$7</f>
        <v>3</v>
      </c>
    </row>
    <row r="209" customFormat="false" ht="15" hidden="false" customHeight="false" outlineLevel="0" collapsed="false">
      <c r="A209" s="8" t="s">
        <v>1152</v>
      </c>
      <c r="B209" s="8" t="s">
        <v>1328</v>
      </c>
      <c r="C209" s="40" t="n">
        <f aca="false">Capex!$F$19</f>
        <v>27</v>
      </c>
    </row>
    <row r="210" customFormat="false" ht="15" hidden="false" customHeight="false" outlineLevel="0" collapsed="false">
      <c r="A210" s="8" t="s">
        <v>1329</v>
      </c>
      <c r="B210" s="8" t="s">
        <v>1330</v>
      </c>
      <c r="C210" s="69" t="n">
        <f aca="false">Capex!$F$8</f>
        <v>0.3</v>
      </c>
    </row>
    <row r="211" customFormat="false" ht="15" hidden="false" customHeight="false" outlineLevel="0" collapsed="false">
      <c r="A211" s="8" t="s">
        <v>1331</v>
      </c>
      <c r="B211" s="8" t="s">
        <v>1332</v>
      </c>
      <c r="C211" s="25" t="n">
        <f aca="false">Capex!$F$9</f>
        <v>0.03</v>
      </c>
    </row>
    <row r="212" customFormat="false" ht="15" hidden="false" customHeight="false" outlineLevel="0" collapsed="false">
      <c r="A212" s="8" t="s">
        <v>1333</v>
      </c>
      <c r="B212" s="8" t="s">
        <v>1334</v>
      </c>
      <c r="C212" s="40" t="n">
        <f aca="false">Capex!$F$10</f>
        <v>1.5</v>
      </c>
    </row>
    <row r="213" customFormat="false" ht="15" hidden="false" customHeight="false" outlineLevel="0" collapsed="false">
      <c r="A213" s="8" t="s">
        <v>1335</v>
      </c>
      <c r="B213" s="8" t="s">
        <v>1336</v>
      </c>
      <c r="C213" s="40" t="n">
        <f aca="false">Capex!$F$11</f>
        <v>1.2</v>
      </c>
    </row>
    <row r="214" customFormat="false" ht="15" hidden="false" customHeight="false" outlineLevel="0" collapsed="false">
      <c r="A214" s="8" t="s">
        <v>1337</v>
      </c>
      <c r="B214" s="8" t="s">
        <v>1338</v>
      </c>
      <c r="C214" s="81" t="n">
        <f aca="false">Capex!$F$12</f>
        <v>6</v>
      </c>
    </row>
    <row r="215" customFormat="false" ht="15" hidden="false" customHeight="false" outlineLevel="0" collapsed="false">
      <c r="A215" s="8" t="s">
        <v>1339</v>
      </c>
      <c r="B215" s="8" t="s">
        <v>1340</v>
      </c>
      <c r="C215" s="25" t="n">
        <f aca="false">Capex!$F$16</f>
        <v>0.09</v>
      </c>
    </row>
    <row r="216" customFormat="false" ht="15" hidden="false" customHeight="false" outlineLevel="0" collapsed="false">
      <c r="A216" s="8" t="s">
        <v>1341</v>
      </c>
      <c r="B216" s="8" t="s">
        <v>1342</v>
      </c>
      <c r="C216" s="25" t="n">
        <f aca="false">Capex!$F$17</f>
        <v>0.11</v>
      </c>
    </row>
    <row r="217" customFormat="false" ht="15" hidden="false" customHeight="false" outlineLevel="0" collapsed="false">
      <c r="A217" s="8" t="s">
        <v>1343</v>
      </c>
      <c r="B217" s="8" t="s">
        <v>1344</v>
      </c>
      <c r="C217" s="42" t="n">
        <f aca="false">Capex!$F$18</f>
        <v>4</v>
      </c>
    </row>
    <row r="218" customFormat="false" ht="15" hidden="false" customHeight="false" outlineLevel="0" collapsed="false">
      <c r="A218" s="8" t="s">
        <v>1345</v>
      </c>
      <c r="B218" s="8" t="s">
        <v>1346</v>
      </c>
      <c r="C218" s="12" t="str">
        <f aca="false">Capex!$C$160</f>
        <v>APPROVE WITH A DEMAND CHECKPOINT - meets the criteria in Base and Upside, fails in Downside</v>
      </c>
    </row>
    <row r="219" customFormat="false" ht="15" hidden="false" customHeight="false" outlineLevel="0" collapsed="false">
      <c r="A219" s="8" t="s">
        <v>1347</v>
      </c>
      <c r="B219" s="8" t="s">
        <v>1348</v>
      </c>
      <c r="C219" s="12" t="str">
        <f aca="false">Capex!$C$161</f>
        <v>Rule: reject if Base fails; approve outright only if Downside also passes; otherwise approve with a checkpoint. Downside NPV -$14.1m: with FPGA demand growth of 2% a year, demand never exceeds existing capacity, so only yield, scrap and savings benefits remain.</v>
      </c>
    </row>
    <row r="220" customFormat="false" ht="15" hidden="false" customHeight="false" outlineLevel="0" collapsed="false">
      <c r="A220" s="8" t="s">
        <v>1349</v>
      </c>
      <c r="B220" s="8" t="s">
        <v>1350</v>
      </c>
      <c r="C220" s="12" t="str">
        <f aca="false">Capex!$C$162</f>
        <v>Checkpoint: release the purchase order once trailing FPGA demand exceeds 0.94m good units a month (95% of current good-unit capacity at max utilization).</v>
      </c>
    </row>
    <row r="222" customFormat="false" ht="15" hidden="false" customHeight="false" outlineLevel="0" collapsed="false">
      <c r="A222" s="21" t="s">
        <v>1351</v>
      </c>
      <c r="C222" s="4" t="s">
        <v>1352</v>
      </c>
    </row>
    <row r="223" customFormat="false" ht="15" hidden="false" customHeight="false" outlineLevel="0" collapsed="false">
      <c r="A223" s="18" t="s">
        <v>1353</v>
      </c>
      <c r="B223" s="19" t="s">
        <v>1187</v>
      </c>
      <c r="C223" s="19" t="s">
        <v>1188</v>
      </c>
      <c r="D223" s="19" t="s">
        <v>280</v>
      </c>
      <c r="E223" s="19" t="s">
        <v>275</v>
      </c>
      <c r="F223" s="19" t="s">
        <v>281</v>
      </c>
    </row>
    <row r="224" customFormat="false" ht="15" hidden="false" customHeight="false" outlineLevel="0" collapsed="false">
      <c r="A224" s="8" t="s">
        <v>1354</v>
      </c>
      <c r="B224" s="12" t="str">
        <f aca="false">Assumptions!$A$10</f>
        <v>Customer demand growth</v>
      </c>
      <c r="C224" s="12" t="str">
        <f aca="false">Assumptions!$B$10</f>
        <v>%</v>
      </c>
      <c r="D224" s="93" t="n">
        <f aca="false">Assumptions!$C$10</f>
        <v>0.05</v>
      </c>
      <c r="E224" s="93" t="n">
        <f aca="false">Assumptions!$D$10</f>
        <v>0.2</v>
      </c>
      <c r="F224" s="93" t="n">
        <f aca="false">Assumptions!$E$10</f>
        <v>0.3</v>
      </c>
    </row>
    <row r="225" customFormat="false" ht="15" hidden="false" customHeight="false" outlineLevel="0" collapsed="false">
      <c r="A225" s="8" t="s">
        <v>1355</v>
      </c>
      <c r="B225" s="12" t="str">
        <f aca="false">Assumptions!$A$11</f>
        <v>Average selling price change</v>
      </c>
      <c r="C225" s="12" t="str">
        <f aca="false">Assumptions!$B$11</f>
        <v>%</v>
      </c>
      <c r="D225" s="93" t="n">
        <f aca="false">Assumptions!$C$11</f>
        <v>-0.04</v>
      </c>
      <c r="E225" s="93" t="n">
        <f aca="false">Assumptions!$D$11</f>
        <v>-0.01</v>
      </c>
      <c r="F225" s="93" t="n">
        <f aca="false">Assumptions!$E$11</f>
        <v>0.01</v>
      </c>
    </row>
    <row r="226" customFormat="false" ht="15" hidden="false" customHeight="false" outlineLevel="0" collapsed="false">
      <c r="A226" s="8" t="s">
        <v>1356</v>
      </c>
      <c r="B226" s="12" t="str">
        <f aca="false">Assumptions!$A$12</f>
        <v>Manufacturing yield change (percentage points vs base-year yield)</v>
      </c>
      <c r="C226" s="12" t="str">
        <f aca="false">Assumptions!$B$12</f>
        <v>pts</v>
      </c>
      <c r="D226" s="93" t="n">
        <f aca="false">Assumptions!$C$12</f>
        <v>-0.02</v>
      </c>
      <c r="E226" s="93" t="n">
        <f aca="false">Assumptions!$D$12</f>
        <v>0</v>
      </c>
      <c r="F226" s="93" t="n">
        <f aca="false">Assumptions!$E$12</f>
        <v>0.01</v>
      </c>
    </row>
    <row r="227" customFormat="false" ht="15" hidden="false" customHeight="false" outlineLevel="0" collapsed="false">
      <c r="A227" s="8" t="s">
        <v>1301</v>
      </c>
      <c r="B227" s="12" t="str">
        <f aca="false">Assumptions!$A$13</f>
        <v>Capacity utilization (internal final test)</v>
      </c>
      <c r="C227" s="12" t="str">
        <f aca="false">Assumptions!$B$13</f>
        <v>%</v>
      </c>
      <c r="D227" s="93" t="n">
        <f aca="false">Assumptions!$C$13</f>
        <v>0.7</v>
      </c>
      <c r="E227" s="93" t="n">
        <f aca="false">Assumptions!$D$13</f>
        <v>0.8</v>
      </c>
      <c r="F227" s="93" t="n">
        <f aca="false">Assumptions!$E$13</f>
        <v>0.88</v>
      </c>
    </row>
    <row r="228" customFormat="false" ht="15" hidden="false" customHeight="false" outlineLevel="0" collapsed="false">
      <c r="A228" s="8" t="s">
        <v>1357</v>
      </c>
      <c r="B228" s="12" t="str">
        <f aca="false">Assumptions!$A$14</f>
        <v>Material-cost inflation (variable cost per unit)</v>
      </c>
      <c r="C228" s="12" t="str">
        <f aca="false">Assumptions!$B$14</f>
        <v>%</v>
      </c>
      <c r="D228" s="93" t="n">
        <f aca="false">Assumptions!$C$14</f>
        <v>0.06</v>
      </c>
      <c r="E228" s="93" t="n">
        <f aca="false">Assumptions!$D$14</f>
        <v>0.03</v>
      </c>
      <c r="F228" s="93" t="n">
        <f aca="false">Assumptions!$E$14</f>
        <v>0.01</v>
      </c>
    </row>
    <row r="229" customFormat="false" ht="15" hidden="false" customHeight="false" outlineLevel="0" collapsed="false">
      <c r="A229" s="8" t="s">
        <v>1358</v>
      </c>
      <c r="B229" s="12" t="str">
        <f aca="false">Assumptions!$A$15</f>
        <v>R&amp;D expense growth</v>
      </c>
      <c r="C229" s="12" t="str">
        <f aca="false">Assumptions!$B$15</f>
        <v>%</v>
      </c>
      <c r="D229" s="93" t="n">
        <f aca="false">Assumptions!$C$15</f>
        <v>0.02</v>
      </c>
      <c r="E229" s="93" t="n">
        <f aca="false">Assumptions!$D$15</f>
        <v>0.05</v>
      </c>
      <c r="F229" s="93" t="n">
        <f aca="false">Assumptions!$E$15</f>
        <v>0.08</v>
      </c>
    </row>
    <row r="230" customFormat="false" ht="15" hidden="false" customHeight="false" outlineLevel="0" collapsed="false">
      <c r="A230" s="8" t="s">
        <v>1359</v>
      </c>
      <c r="B230" s="12" t="str">
        <f aca="false">Assumptions!$A$16</f>
        <v>SG&amp;A expense growth</v>
      </c>
      <c r="C230" s="12" t="str">
        <f aca="false">Assumptions!$B$16</f>
        <v>%</v>
      </c>
      <c r="D230" s="93" t="n">
        <f aca="false">Assumptions!$C$16</f>
        <v>0.01</v>
      </c>
      <c r="E230" s="93" t="n">
        <f aca="false">Assumptions!$D$16</f>
        <v>0.04</v>
      </c>
      <c r="F230" s="93" t="n">
        <f aca="false">Assumptions!$E$16</f>
        <v>0.06</v>
      </c>
    </row>
    <row r="231" customFormat="false" ht="15" hidden="false" customHeight="false" outlineLevel="0" collapsed="false">
      <c r="A231" s="8" t="s">
        <v>1360</v>
      </c>
      <c r="B231" s="12" t="str">
        <f aca="false">Assumptions!$A$17</f>
        <v>Capital expenditures (% of revenue, excl. proposed test-equipment project)</v>
      </c>
      <c r="C231" s="12" t="str">
        <f aca="false">Assumptions!$B$17</f>
        <v>%</v>
      </c>
      <c r="D231" s="93" t="n">
        <f aca="false">Assumptions!$C$17</f>
        <v>0.02</v>
      </c>
      <c r="E231" s="93" t="n">
        <f aca="false">Assumptions!$D$17</f>
        <v>0.03</v>
      </c>
      <c r="F231" s="93" t="n">
        <f aca="false">Assumptions!$E$17</f>
        <v>0.04</v>
      </c>
    </row>
    <row r="232" customFormat="false" ht="15" hidden="false" customHeight="false" outlineLevel="0" collapsed="false">
      <c r="A232" s="8" t="s">
        <v>1361</v>
      </c>
      <c r="B232" s="12" t="str">
        <f aca="false">Assumptions!$A$18</f>
        <v>Tax rate</v>
      </c>
      <c r="C232" s="12" t="str">
        <f aca="false">Assumptions!$B$18</f>
        <v>%</v>
      </c>
      <c r="D232" s="93" t="n">
        <f aca="false">Assumptions!$C$18</f>
        <v>0.21</v>
      </c>
      <c r="E232" s="93" t="n">
        <f aca="false">Assumptions!$D$18</f>
        <v>0.18</v>
      </c>
      <c r="F232" s="93" t="n">
        <f aca="false">Assumptions!$E$18</f>
        <v>0.16</v>
      </c>
    </row>
    <row r="234" customFormat="false" ht="15" hidden="false" customHeight="false" outlineLevel="0" collapsed="false">
      <c r="A234" s="21" t="s">
        <v>1362</v>
      </c>
      <c r="C234" s="4" t="s">
        <v>1363</v>
      </c>
    </row>
    <row r="235" customFormat="false" ht="24.05" hidden="false" customHeight="false" outlineLevel="0" collapsed="false">
      <c r="A235" s="18" t="s">
        <v>1131</v>
      </c>
      <c r="B235" s="19" t="s">
        <v>439</v>
      </c>
      <c r="C235" s="19" t="s">
        <v>1145</v>
      </c>
      <c r="D235" s="19" t="s">
        <v>1148</v>
      </c>
      <c r="E235" s="19" t="s">
        <v>1364</v>
      </c>
      <c r="F235" s="19" t="s">
        <v>1365</v>
      </c>
      <c r="G235" s="19" t="s">
        <v>1366</v>
      </c>
      <c r="H235" s="19" t="s">
        <v>1367</v>
      </c>
      <c r="I235" s="19" t="s">
        <v>1368</v>
      </c>
      <c r="J235" s="19" t="s">
        <v>1369</v>
      </c>
      <c r="K235" s="19" t="s">
        <v>1370</v>
      </c>
    </row>
    <row r="236" customFormat="false" ht="15" hidden="false" customHeight="false" outlineLevel="0" collapsed="false">
      <c r="A236" s="8" t="s">
        <v>428</v>
      </c>
      <c r="B236" s="93" t="n">
        <f aca="false">Hist_Data!$C$7</f>
        <v>6820.9</v>
      </c>
      <c r="C236" s="93" t="n">
        <f aca="false">Hist_Analysis!$C$9</f>
        <v>0.652347930624991</v>
      </c>
      <c r="D236" s="93" t="n">
        <f aca="false">Hist_Analysis!$C$12</f>
        <v>0.271166561597443</v>
      </c>
      <c r="E236" s="93" t="n">
        <f aca="false">Hist_Analysis!$C$15</f>
        <v>0.401941092817663</v>
      </c>
      <c r="F236" s="93" t="n">
        <f aca="false">Hist_Analysis!$C$32</f>
        <v>2093.1</v>
      </c>
      <c r="G236" s="93" t="n">
        <f aca="false">Hist_Analysis!$C$37</f>
        <v>0.0542597017988829</v>
      </c>
      <c r="H236" s="93" t="n">
        <f aca="false">Hist_Analysis!$C$43</f>
        <v>131.512672373803</v>
      </c>
      <c r="I236" s="93" t="n">
        <f aca="false">Hist_Data!$C$26</f>
        <v>3814.8</v>
      </c>
      <c r="J236" s="93" t="n">
        <f aca="false">Hist_Data!$C$27</f>
        <v>1939.1</v>
      </c>
      <c r="K236" s="93" t="n">
        <f aca="false">Hist_Data!$C$28</f>
        <v>1067</v>
      </c>
    </row>
    <row r="237" customFormat="false" ht="15" hidden="false" customHeight="false" outlineLevel="0" collapsed="false">
      <c r="A237" s="8" t="s">
        <v>429</v>
      </c>
      <c r="B237" s="93" t="n">
        <f aca="false">Hist_Data!$D$7</f>
        <v>8438.7</v>
      </c>
      <c r="C237" s="93" t="n">
        <f aca="false">Hist_Analysis!$D$9</f>
        <v>0.675210636709446</v>
      </c>
      <c r="D237" s="93" t="n">
        <f aca="false">Hist_Analysis!$D$12</f>
        <v>0.369251187979191</v>
      </c>
      <c r="E237" s="93" t="n">
        <f aca="false">Hist_Analysis!$D$15</f>
        <v>0.448161446668326</v>
      </c>
      <c r="F237" s="93" t="n">
        <f aca="false">Hist_Analysis!$D$32</f>
        <v>2733.9</v>
      </c>
      <c r="G237" s="93" t="n">
        <f aca="false">Hist_Analysis!$D$37</f>
        <v>0.0576155094979084</v>
      </c>
      <c r="H237" s="93" t="n">
        <f aca="false">Hist_Analysis!$D$43</f>
        <v>176.440637769994</v>
      </c>
      <c r="I237" s="93" t="n">
        <f aca="false">Hist_Data!$D$26</f>
        <v>4755.7</v>
      </c>
      <c r="J237" s="93" t="n">
        <f aca="false">Hist_Data!$D$27</f>
        <v>2376.9</v>
      </c>
      <c r="K237" s="93" t="n">
        <f aca="false">Hist_Data!$D$28</f>
        <v>1306.1</v>
      </c>
    </row>
    <row r="238" customFormat="false" ht="15" hidden="false" customHeight="false" outlineLevel="0" collapsed="false">
      <c r="A238" s="8" t="s">
        <v>430</v>
      </c>
      <c r="B238" s="93" t="n">
        <f aca="false">Hist_Data!$E$7</f>
        <v>7634.4</v>
      </c>
      <c r="C238" s="93" t="n">
        <f aca="false">Hist_Analysis!$E$9</f>
        <v>0.654367075343184</v>
      </c>
      <c r="D238" s="93" t="n">
        <f aca="false">Hist_Analysis!$E$12</f>
        <v>0.336765168186105</v>
      </c>
      <c r="E238" s="93" t="n">
        <f aca="false">Hist_Analysis!$E$15</f>
        <v>0.414453002200566</v>
      </c>
      <c r="F238" s="93" t="n">
        <f aca="false">Hist_Analysis!$E$32</f>
        <v>2424.6</v>
      </c>
      <c r="G238" s="93" t="n">
        <f aca="false">Hist_Analysis!$E$37</f>
        <v>0.0373441265849314</v>
      </c>
      <c r="H238" s="93" t="n">
        <f aca="false">Hist_Analysis!$E$43</f>
        <v>182.036608936219</v>
      </c>
      <c r="I238" s="93" t="n">
        <f aca="false">Hist_Data!$E$26</f>
        <v>4272.4</v>
      </c>
      <c r="J238" s="93" t="n">
        <f aca="false">Hist_Data!$E$27</f>
        <v>2016.4</v>
      </c>
      <c r="K238" s="93" t="n">
        <f aca="false">Hist_Data!$E$28</f>
        <v>1345.6</v>
      </c>
    </row>
    <row r="239" customFormat="false" ht="15" hidden="false" customHeight="false" outlineLevel="0" collapsed="false">
      <c r="A239" s="8" t="s">
        <v>431</v>
      </c>
      <c r="B239" s="93" t="n">
        <f aca="false">Hist_Data!$F$7</f>
        <v>4401.6</v>
      </c>
      <c r="C239" s="93" t="n">
        <f aca="false">Hist_Analysis!$F$9</f>
        <v>0.56068247909851</v>
      </c>
      <c r="D239" s="93" t="n">
        <f aca="false">Hist_Analysis!$F$12</f>
        <v>0.0673164303889495</v>
      </c>
      <c r="E239" s="93" t="n">
        <f aca="false">Hist_Analysis!$F$15</f>
        <v>0.196837513631407</v>
      </c>
      <c r="F239" s="93" t="n">
        <f aca="false">Hist_Analysis!$F$32</f>
        <v>723.7</v>
      </c>
      <c r="G239" s="93" t="n">
        <f aca="false">Hist_Analysis!$F$37</f>
        <v>0.0286259541984733</v>
      </c>
      <c r="H239" s="93" t="n">
        <f aca="false">Hist_Analysis!$F$43</f>
        <v>244.157573563635</v>
      </c>
      <c r="I239" s="93" t="n">
        <f aca="false">Hist_Data!$F$26</f>
        <v>2249.7</v>
      </c>
      <c r="J239" s="93" t="n">
        <f aca="false">Hist_Data!$F$27</f>
        <v>1157</v>
      </c>
      <c r="K239" s="93" t="n">
        <f aca="false">Hist_Data!$F$28</f>
        <v>994.9</v>
      </c>
    </row>
    <row r="240" customFormat="false" ht="15" hidden="false" customHeight="false" outlineLevel="0" collapsed="false">
      <c r="A240" s="8" t="s">
        <v>432</v>
      </c>
      <c r="B240" s="93" t="n">
        <f aca="false">Hist_Data!$G$7</f>
        <v>4713.1</v>
      </c>
      <c r="C240" s="93" t="n">
        <f aca="false">Hist_Analysis!$G$9</f>
        <v>0.577348242133628</v>
      </c>
      <c r="D240" s="93" t="n">
        <f aca="false">Hist_Analysis!$G$12</f>
        <v>0.10398676030638</v>
      </c>
      <c r="E240" s="93" t="n">
        <f aca="false">Hist_Analysis!$G$15</f>
        <v>0.203878551271987</v>
      </c>
      <c r="F240" s="93" t="n">
        <f aca="false">Hist_Analysis!$G$32</f>
        <v>660.5</v>
      </c>
      <c r="G240" s="93" t="n">
        <f aca="false">Hist_Analysis!$G$37</f>
        <v>0.0193291039867603</v>
      </c>
      <c r="H240" s="93" t="n">
        <f aca="false">Hist_Analysis!$G$43</f>
        <v>189.71937751004</v>
      </c>
      <c r="I240" s="93" t="n">
        <f aca="false">Hist_Data!$G$26</f>
        <v>2355.4</v>
      </c>
      <c r="J240" s="93" t="n">
        <f aca="false">Hist_Data!$G$27</f>
        <v>1329</v>
      </c>
      <c r="K240" s="93" t="n">
        <f aca="false">Hist_Data!$G$28</f>
        <v>1028.7</v>
      </c>
    </row>
    <row r="242" customFormat="false" ht="15" hidden="false" customHeight="false" outlineLevel="0" collapsed="false">
      <c r="A242" s="21" t="s">
        <v>1371</v>
      </c>
      <c r="C242" s="4" t="s">
        <v>1372</v>
      </c>
    </row>
    <row r="243" customFormat="false" ht="15" hidden="false" customHeight="false" outlineLevel="0" collapsed="false">
      <c r="A243" s="18" t="s">
        <v>1373</v>
      </c>
      <c r="B243" s="19" t="s">
        <v>1123</v>
      </c>
    </row>
    <row r="244" customFormat="false" ht="15" hidden="false" customHeight="false" outlineLevel="0" collapsed="false">
      <c r="A244" s="8" t="s">
        <v>1374</v>
      </c>
      <c r="B244" s="93" t="n">
        <f aca="false">PnL!$O$8</f>
        <v>1184.84605673548</v>
      </c>
    </row>
    <row r="245" customFormat="false" ht="15" hidden="false" customHeight="false" outlineLevel="0" collapsed="false">
      <c r="A245" s="8" t="s">
        <v>1375</v>
      </c>
      <c r="B245" s="93" t="n">
        <f aca="false">PnL!$O$17</f>
        <v>406.022621531428</v>
      </c>
    </row>
    <row r="246" customFormat="false" ht="15" hidden="false" customHeight="false" outlineLevel="0" collapsed="false">
      <c r="A246" s="8" t="s">
        <v>1376</v>
      </c>
      <c r="B246" s="93" t="n">
        <f aca="false">PnL!$O$21</f>
        <v>332.938549655771</v>
      </c>
    </row>
    <row r="247" customFormat="false" ht="15" hidden="false" customHeight="false" outlineLevel="0" collapsed="false">
      <c r="A247" s="8" t="s">
        <v>1377</v>
      </c>
      <c r="B247" s="93" t="n">
        <f aca="false">FCF!$O$25</f>
        <v>325.05529847611</v>
      </c>
    </row>
    <row r="248" customFormat="false" ht="15" hidden="false" customHeight="false" outlineLevel="0" collapsed="false">
      <c r="A248" s="8" t="s">
        <v>1378</v>
      </c>
      <c r="B248" s="93" t="n">
        <f aca="false">PnL!$O$12</f>
        <v>720.022621531428</v>
      </c>
    </row>
    <row r="249" customFormat="false" ht="15" hidden="false" customHeight="false" outlineLevel="0" collapsed="false">
      <c r="A249" s="8" t="s">
        <v>1207</v>
      </c>
      <c r="B249" s="93" t="n">
        <f aca="false">Budget!$O$97</f>
        <v>1184.84605673548</v>
      </c>
    </row>
    <row r="250" customFormat="false" ht="15" hidden="false" customHeight="false" outlineLevel="0" collapsed="false">
      <c r="A250" s="8" t="s">
        <v>1214</v>
      </c>
      <c r="B250" s="93" t="n">
        <f aca="false">Actuals!$H$100</f>
        <v>502.792617601393</v>
      </c>
    </row>
    <row r="251" customFormat="false" ht="15" hidden="false" customHeight="false" outlineLevel="0" collapsed="false">
      <c r="A251" s="8" t="s">
        <v>1221</v>
      </c>
      <c r="B251" s="93" t="n">
        <f aca="false">Actuals!$H$112</f>
        <v>171.396758481666</v>
      </c>
    </row>
    <row r="252" customFormat="false" ht="15" hidden="false" customHeight="false" outlineLevel="0" collapsed="false">
      <c r="A252" s="8" t="s">
        <v>1223</v>
      </c>
      <c r="B252" s="93" t="n">
        <f aca="false">Variance!$F$97</f>
        <v>7.81610038642819</v>
      </c>
    </row>
    <row r="253" customFormat="false" ht="15" hidden="false" customHeight="false" outlineLevel="0" collapsed="false">
      <c r="A253" s="8" t="s">
        <v>1379</v>
      </c>
      <c r="B253" s="93" t="n">
        <f aca="false">Capex!$F$103</f>
        <v>69.893170454862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I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8" min="3" style="0" width="11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4" t="s">
        <v>1380</v>
      </c>
    </row>
    <row r="2" customFormat="false" ht="15" hidden="false" customHeight="false" outlineLevel="0" collapsed="false">
      <c r="A2" s="4" t="s">
        <v>1381</v>
      </c>
    </row>
    <row r="3" customFormat="false" ht="15" hidden="false" customHeight="false" outlineLevel="0" collapsed="false">
      <c r="A3" s="15" t="s">
        <v>2</v>
      </c>
    </row>
    <row r="5" customFormat="false" ht="15" hidden="false" customHeight="false" outlineLevel="0" collapsed="false">
      <c r="A5" s="18" t="s">
        <v>1382</v>
      </c>
      <c r="B5" s="19" t="s">
        <v>96</v>
      </c>
      <c r="C5" s="19" t="s">
        <v>428</v>
      </c>
      <c r="D5" s="19" t="s">
        <v>429</v>
      </c>
      <c r="E5" s="19" t="s">
        <v>430</v>
      </c>
      <c r="F5" s="19" t="s">
        <v>431</v>
      </c>
      <c r="G5" s="19" t="s">
        <v>432</v>
      </c>
      <c r="H5" s="19" t="s">
        <v>1383</v>
      </c>
      <c r="I5" s="19" t="s">
        <v>102</v>
      </c>
    </row>
    <row r="6" customFormat="false" ht="15" hidden="false" customHeight="false" outlineLevel="0" collapsed="false">
      <c r="A6" s="16" t="s">
        <v>1384</v>
      </c>
      <c r="B6" s="17"/>
      <c r="C6" s="17"/>
      <c r="D6" s="17"/>
      <c r="E6" s="17"/>
      <c r="F6" s="17"/>
      <c r="G6" s="17"/>
      <c r="H6" s="17"/>
      <c r="I6" s="17"/>
    </row>
    <row r="7" customFormat="false" ht="15" hidden="false" customHeight="false" outlineLevel="0" collapsed="false">
      <c r="A7" s="8" t="s">
        <v>1385</v>
      </c>
      <c r="B7" s="8" t="s">
        <v>435</v>
      </c>
      <c r="C7" s="96" t="n">
        <f aca="false">Hist_Data!$C$9-(Hist_Data!$C$7-Hist_Data!$C$8)</f>
        <v>0</v>
      </c>
      <c r="D7" s="96" t="n">
        <f aca="false">Hist_Data!$D$9-(Hist_Data!$D$7-Hist_Data!$D$8)</f>
        <v>0</v>
      </c>
      <c r="E7" s="96" t="n">
        <f aca="false">Hist_Data!$E$9-(Hist_Data!$E$7-Hist_Data!$E$8)</f>
        <v>0</v>
      </c>
      <c r="F7" s="96" t="n">
        <f aca="false">Hist_Data!$F$9-(Hist_Data!$F$7-Hist_Data!$F$8)</f>
        <v>0</v>
      </c>
      <c r="G7" s="96" t="n">
        <f aca="false">Hist_Data!$G$9-(Hist_Data!$G$7-Hist_Data!$G$8)</f>
        <v>0</v>
      </c>
      <c r="H7" s="10" t="n">
        <v>0.05</v>
      </c>
      <c r="I7" s="7" t="str">
        <f aca="false">IF(AND(ABS(C7)&lt;=$H$7,ABS(D7)&lt;=$H$7,ABS(E7)&lt;=$H$7,ABS(F7)&lt;=$H$7,ABS(G7)&lt;=$H$7),"PASS","FAIL")</f>
        <v>PASS</v>
      </c>
    </row>
    <row r="8" customFormat="false" ht="15" hidden="false" customHeight="false" outlineLevel="0" collapsed="false">
      <c r="A8" s="8" t="s">
        <v>1386</v>
      </c>
      <c r="B8" s="8" t="s">
        <v>435</v>
      </c>
      <c r="C8" s="96" t="n">
        <f aca="false">Hist_Data!$C$14-(Hist_Data!$C$10+Hist_Data!$C$11+(N(Hist_Data!$C$12)+N(Hist_Data!$C$13)))</f>
        <v>0</v>
      </c>
      <c r="D8" s="96" t="n">
        <f aca="false">Hist_Data!$D$14-(Hist_Data!$D$10+Hist_Data!$D$11+(N(Hist_Data!$D$12)+N(Hist_Data!$D$13)))</f>
        <v>0</v>
      </c>
      <c r="E8" s="96" t="n">
        <f aca="false">Hist_Data!$E$14-(Hist_Data!$E$10+Hist_Data!$E$11+(N(Hist_Data!$E$12)+N(Hist_Data!$E$13)))</f>
        <v>0</v>
      </c>
      <c r="F8" s="96" t="n">
        <f aca="false">Hist_Data!$F$14-(Hist_Data!$F$10+Hist_Data!$F$11+(N(Hist_Data!$F$12)+N(Hist_Data!$F$13)))</f>
        <v>0</v>
      </c>
      <c r="G8" s="96" t="n">
        <f aca="false">Hist_Data!$G$14-(Hist_Data!$G$10+Hist_Data!$G$11+(N(Hist_Data!$G$12)+N(Hist_Data!$G$13)))</f>
        <v>0</v>
      </c>
      <c r="H8" s="10" t="n">
        <v>0.05</v>
      </c>
      <c r="I8" s="7" t="str">
        <f aca="false">IF(AND(ABS(C8)&lt;=$H$8,ABS(D8)&lt;=$H$8,ABS(E8)&lt;=$H$8,ABS(F8)&lt;=$H$8,ABS(G8)&lt;=$H$8),"PASS","FAIL")</f>
        <v>PASS</v>
      </c>
    </row>
    <row r="9" customFormat="false" ht="15" hidden="false" customHeight="false" outlineLevel="0" collapsed="false">
      <c r="A9" s="8" t="s">
        <v>1387</v>
      </c>
      <c r="B9" s="8" t="s">
        <v>435</v>
      </c>
      <c r="C9" s="96" t="n">
        <f aca="false">Hist_Data!$C$15-(Hist_Data!$C$9-Hist_Data!$C$14)</f>
        <v>0</v>
      </c>
      <c r="D9" s="96" t="n">
        <f aca="false">Hist_Data!$D$15-(Hist_Data!$D$9-Hist_Data!$D$14)</f>
        <v>0</v>
      </c>
      <c r="E9" s="96" t="n">
        <f aca="false">Hist_Data!$E$15-(Hist_Data!$E$9-Hist_Data!$E$14)</f>
        <v>0</v>
      </c>
      <c r="F9" s="96" t="n">
        <f aca="false">Hist_Data!$F$15-(Hist_Data!$F$9-Hist_Data!$F$14)</f>
        <v>0</v>
      </c>
      <c r="G9" s="96" t="n">
        <f aca="false">Hist_Data!$G$15-(Hist_Data!$G$9-Hist_Data!$G$14)</f>
        <v>0</v>
      </c>
      <c r="H9" s="10" t="n">
        <v>0.05</v>
      </c>
      <c r="I9" s="7" t="str">
        <f aca="false">IF(AND(ABS(C9)&lt;=$H$9,ABS(D9)&lt;=$H$9,ABS(E9)&lt;=$H$9,ABS(F9)&lt;=$H$9,ABS(G9)&lt;=$H$9),"PASS","FAIL")</f>
        <v>PASS</v>
      </c>
    </row>
    <row r="10" customFormat="false" ht="15" hidden="false" customHeight="false" outlineLevel="0" collapsed="false">
      <c r="A10" s="8" t="s">
        <v>1388</v>
      </c>
      <c r="B10" s="8" t="s">
        <v>435</v>
      </c>
      <c r="C10" s="96" t="n">
        <f aca="false">Hist_Data!$C$20-(Hist_Data!$C$15+(N(Hist_Data!$C$16)+N(Hist_Data!$C$17)+N(Hist_Data!$C$18)+N(Hist_Data!$C$19)))</f>
        <v>0</v>
      </c>
      <c r="D10" s="96" t="n">
        <f aca="false">Hist_Data!$D$20-(Hist_Data!$D$15+(N(Hist_Data!$D$16)+N(Hist_Data!$D$17)+N(Hist_Data!$D$18)+N(Hist_Data!$D$19)))</f>
        <v>0</v>
      </c>
      <c r="E10" s="96" t="n">
        <f aca="false">Hist_Data!$E$20-(Hist_Data!$E$15+(N(Hist_Data!$E$16)+N(Hist_Data!$E$17)+N(Hist_Data!$E$18)+N(Hist_Data!$E$19)))</f>
        <v>0</v>
      </c>
      <c r="F10" s="96" t="n">
        <f aca="false">Hist_Data!$F$20-(Hist_Data!$F$15+(N(Hist_Data!$F$16)+N(Hist_Data!$F$17)+N(Hist_Data!$F$18)+N(Hist_Data!$F$19)))</f>
        <v>0</v>
      </c>
      <c r="G10" s="96" t="n">
        <f aca="false">Hist_Data!$G$20-(Hist_Data!$G$15+(N(Hist_Data!$G$16)+N(Hist_Data!$G$17)+N(Hist_Data!$G$18)+N(Hist_Data!$G$19)))</f>
        <v>0</v>
      </c>
      <c r="H10" s="10" t="n">
        <v>0.05</v>
      </c>
      <c r="I10" s="7" t="str">
        <f aca="false">IF(AND(ABS(C10)&lt;=$H$10,ABS(D10)&lt;=$H$10,ABS(E10)&lt;=$H$10,ABS(F10)&lt;=$H$10,ABS(G10)&lt;=$H$10),"PASS","FAIL")</f>
        <v>PASS</v>
      </c>
    </row>
    <row r="11" customFormat="false" ht="15" hidden="false" customHeight="false" outlineLevel="0" collapsed="false">
      <c r="A11" s="8" t="s">
        <v>1389</v>
      </c>
      <c r="B11" s="8" t="s">
        <v>435</v>
      </c>
      <c r="C11" s="96" t="n">
        <f aca="false">Hist_Data!$C$22-(Hist_Data!$C$20-Hist_Data!$C$21)</f>
        <v>0</v>
      </c>
      <c r="D11" s="96" t="n">
        <f aca="false">Hist_Data!$D$22-(Hist_Data!$D$20-Hist_Data!$D$21)</f>
        <v>0</v>
      </c>
      <c r="E11" s="96" t="n">
        <f aca="false">Hist_Data!$E$22-(Hist_Data!$E$20-Hist_Data!$E$21)</f>
        <v>0</v>
      </c>
      <c r="F11" s="96" t="n">
        <f aca="false">Hist_Data!$F$22-(Hist_Data!$F$20-Hist_Data!$F$21)</f>
        <v>0</v>
      </c>
      <c r="G11" s="96" t="n">
        <f aca="false">Hist_Data!$G$22-(Hist_Data!$G$20-Hist_Data!$G$21)</f>
        <v>0</v>
      </c>
      <c r="H11" s="10" t="n">
        <v>0.05</v>
      </c>
      <c r="I11" s="7" t="str">
        <f aca="false">IF(AND(ABS(C11)&lt;=$H$11,ABS(D11)&lt;=$H$11,ABS(E11)&lt;=$H$11,ABS(F11)&lt;=$H$11,ABS(G11)&lt;=$H$11),"PASS","FAIL")</f>
        <v>PASS</v>
      </c>
    </row>
    <row r="12" customFormat="false" ht="15" hidden="false" customHeight="false" outlineLevel="0" collapsed="false">
      <c r="A12" s="8" t="s">
        <v>1390</v>
      </c>
      <c r="B12" s="8" t="s">
        <v>22</v>
      </c>
      <c r="C12" s="96" t="n">
        <f aca="false">(N(Hist_Data!$C$26)+N(Hist_Data!$C$27)+N(Hist_Data!$C$28))-Hist_Data!$C$7</f>
        <v>0</v>
      </c>
      <c r="D12" s="96" t="n">
        <f aca="false">(N(Hist_Data!$D$26)+N(Hist_Data!$D$27)+N(Hist_Data!$D$28))-Hist_Data!$D$7</f>
        <v>0</v>
      </c>
      <c r="E12" s="96" t="n">
        <f aca="false">(N(Hist_Data!$E$26)+N(Hist_Data!$E$27)+N(Hist_Data!$E$28))-Hist_Data!$E$7</f>
        <v>0</v>
      </c>
      <c r="F12" s="96" t="n">
        <f aca="false">(N(Hist_Data!$F$26)+N(Hist_Data!$F$27)+N(Hist_Data!$F$28))-Hist_Data!$F$7</f>
        <v>0</v>
      </c>
      <c r="G12" s="96" t="n">
        <f aca="false">(N(Hist_Data!$G$26)+N(Hist_Data!$G$27)+N(Hist_Data!$G$28))-Hist_Data!$G$7</f>
        <v>0</v>
      </c>
      <c r="H12" s="10" t="n">
        <v>0.05</v>
      </c>
      <c r="I12" s="7" t="str">
        <f aca="false">IF(AND(ABS(C12)&lt;=$H$12,ABS(D12)&lt;=$H$12,ABS(E12)&lt;=$H$12,ABS(F12)&lt;=$H$12,ABS(G12)&lt;=$H$12),"PASS","FAIL")</f>
        <v>PASS</v>
      </c>
    </row>
    <row r="13" customFormat="false" ht="15" hidden="false" customHeight="false" outlineLevel="0" collapsed="false">
      <c r="A13" s="8" t="s">
        <v>1391</v>
      </c>
      <c r="B13" s="8" t="s">
        <v>22</v>
      </c>
      <c r="C13" s="50" t="s">
        <v>592</v>
      </c>
      <c r="D13" s="50" t="s">
        <v>592</v>
      </c>
      <c r="E13" s="96" t="n">
        <f aca="false">(Hist_Data!$E$30+Hist_Data!$E$32)-Hist_Data!$E$7</f>
        <v>0</v>
      </c>
      <c r="F13" s="96" t="n">
        <f aca="false">(Hist_Data!$F$30+Hist_Data!$F$32)-Hist_Data!$F$7</f>
        <v>0</v>
      </c>
      <c r="G13" s="96" t="n">
        <f aca="false">(Hist_Data!$G$30+Hist_Data!$G$32)-Hist_Data!$G$7</f>
        <v>0</v>
      </c>
      <c r="H13" s="10" t="n">
        <v>0.05</v>
      </c>
      <c r="I13" s="7" t="str">
        <f aca="false">IF(AND(ABS(E13)&lt;=$H$13,ABS(F13)&lt;=$H$13,ABS(G13)&lt;=$H$13),"PASS","FAIL")</f>
        <v>PASS</v>
      </c>
    </row>
    <row r="14" customFormat="false" ht="15" hidden="false" customHeight="false" outlineLevel="0" collapsed="false">
      <c r="A14" s="8" t="s">
        <v>1392</v>
      </c>
      <c r="B14" s="8" t="s">
        <v>211</v>
      </c>
      <c r="C14" s="96" t="n">
        <f aca="false">Hist_Data!$C$34-Hist_Data!$C$22</f>
        <v>0</v>
      </c>
      <c r="D14" s="96" t="n">
        <f aca="false">Hist_Data!$D$34-Hist_Data!$D$22</f>
        <v>0</v>
      </c>
      <c r="E14" s="96" t="n">
        <f aca="false">Hist_Data!$E$34-Hist_Data!$E$22</f>
        <v>0</v>
      </c>
      <c r="F14" s="96" t="n">
        <f aca="false">Hist_Data!$F$34-Hist_Data!$F$22</f>
        <v>0</v>
      </c>
      <c r="G14" s="96" t="n">
        <f aca="false">Hist_Data!$G$34-Hist_Data!$G$22</f>
        <v>0</v>
      </c>
      <c r="H14" s="10" t="n">
        <v>0.05</v>
      </c>
      <c r="I14" s="7" t="str">
        <f aca="false">IF(AND(ABS(C14)&lt;=$H$14,ABS(D14)&lt;=$H$14,ABS(E14)&lt;=$H$14,ABS(F14)&lt;=$H$14,ABS(G14)&lt;=$H$14),"PASS","FAIL")</f>
        <v>PASS</v>
      </c>
    </row>
    <row r="15" customFormat="false" ht="15" hidden="false" customHeight="false" outlineLevel="0" collapsed="false">
      <c r="A15" s="8" t="s">
        <v>1393</v>
      </c>
      <c r="B15" s="8" t="s">
        <v>211</v>
      </c>
      <c r="C15" s="96" t="n">
        <f aca="false">Hist_Data!$C$47-Hist_Data!$C$49</f>
        <v>0</v>
      </c>
      <c r="D15" s="96" t="n">
        <f aca="false">Hist_Data!$D$47-Hist_Data!$D$49</f>
        <v>0</v>
      </c>
      <c r="E15" s="96" t="n">
        <f aca="false">Hist_Data!$E$47-Hist_Data!$E$49</f>
        <v>0</v>
      </c>
      <c r="F15" s="96" t="n">
        <f aca="false">Hist_Data!$F$47-Hist_Data!$F$49</f>
        <v>0</v>
      </c>
      <c r="G15" s="96" t="n">
        <f aca="false">Hist_Data!$G$47-Hist_Data!$G$49</f>
        <v>0</v>
      </c>
      <c r="H15" s="10" t="n">
        <v>0.05</v>
      </c>
      <c r="I15" s="7" t="str">
        <f aca="false">IF(AND(ABS(C15)&lt;=$H$15,ABS(D15)&lt;=$H$15,ABS(E15)&lt;=$H$15,ABS(F15)&lt;=$H$15,ABS(G15)&lt;=$H$15),"PASS","FAIL")</f>
        <v>PASS</v>
      </c>
    </row>
    <row r="16" customFormat="false" ht="15" hidden="false" customHeight="false" outlineLevel="0" collapsed="false">
      <c r="A16" s="8" t="s">
        <v>1394</v>
      </c>
      <c r="B16" s="8" t="s">
        <v>1395</v>
      </c>
      <c r="C16" s="96" t="n">
        <f aca="false">Hist_Data!$C$53-(N(Hist_Data!$C$49)+N(Hist_Data!$C$62)+N(Hist_Data!$C$50)+N(Hist_Data!$C$51)+N(Hist_Data!$C$52)+0)</f>
        <v>0</v>
      </c>
      <c r="D16" s="96" t="n">
        <f aca="false">Hist_Data!$D$53-(N(Hist_Data!$D$49)+N(Hist_Data!$D$62)+N(Hist_Data!$D$50)+N(Hist_Data!$D$51)+N(Hist_Data!$D$52)+0)</f>
        <v>0</v>
      </c>
      <c r="E16" s="96" t="n">
        <f aca="false">Hist_Data!$E$53-(N(Hist_Data!$E$49)+N(Hist_Data!$E$62)+N(Hist_Data!$E$50)+N(Hist_Data!$E$51)+N(Hist_Data!$E$52)+0)</f>
        <v>0</v>
      </c>
      <c r="F16" s="96" t="n">
        <f aca="false">Hist_Data!$F$53-(N(Hist_Data!$F$49)+N(Hist_Data!$F$62)+N(Hist_Data!$F$50)+N(Hist_Data!$F$51)+N(Hist_Data!$F$52)+0)</f>
        <v>0</v>
      </c>
      <c r="G16" s="96" t="n">
        <f aca="false">Hist_Data!$G$53-(N(Hist_Data!$G$49)+N(Hist_Data!$G$62)+N(Hist_Data!$G$50)+N(Hist_Data!$G$51)+N(Hist_Data!$G$52)+0)</f>
        <v>0</v>
      </c>
      <c r="H16" s="10" t="n">
        <v>0.05</v>
      </c>
      <c r="I16" s="7" t="str">
        <f aca="false">IF(AND(ABS(C16)&lt;=$H$16,ABS(D16)&lt;=$H$16,ABS(E16)&lt;=$H$16,ABS(F16)&lt;=$H$16,ABS(G16)&lt;=$H$16),"PASS","FAIL")</f>
        <v>PASS</v>
      </c>
    </row>
    <row r="17" customFormat="false" ht="15" hidden="false" customHeight="false" outlineLevel="0" collapsed="false">
      <c r="A17" s="8" t="s">
        <v>1396</v>
      </c>
      <c r="B17" s="8" t="s">
        <v>1395</v>
      </c>
      <c r="C17" s="96" t="n">
        <f aca="false">Hist_Data!$C$59-(N(Hist_Data!$C$56)+N(Hist_Data!$C$57)+N(Hist_Data!$C$58)+0)</f>
        <v>0</v>
      </c>
      <c r="D17" s="96" t="n">
        <f aca="false">Hist_Data!$D$59-(N(Hist_Data!$D$56)+N(Hist_Data!$D$57)+N(Hist_Data!$D$58)+0)</f>
        <v>0</v>
      </c>
      <c r="E17" s="96" t="n">
        <f aca="false">Hist_Data!$E$59-(N(Hist_Data!$E$56)+N(Hist_Data!$E$57)+N(Hist_Data!$E$58)+0)</f>
        <v>0</v>
      </c>
      <c r="F17" s="96" t="n">
        <f aca="false">Hist_Data!$F$59-(N(Hist_Data!$F$56)+N(Hist_Data!$F$57)+N(Hist_Data!$F$58)+0)</f>
        <v>0</v>
      </c>
      <c r="G17" s="96" t="n">
        <f aca="false">Hist_Data!$G$59-(N(Hist_Data!$G$56)+N(Hist_Data!$G$57)+N(Hist_Data!$G$58)+0)</f>
        <v>0</v>
      </c>
      <c r="H17" s="10" t="n">
        <v>0.05</v>
      </c>
      <c r="I17" s="7" t="str">
        <f aca="false">IF(AND(ABS(C17)&lt;=$H$17,ABS(D17)&lt;=$H$17,ABS(E17)&lt;=$H$17,ABS(F17)&lt;=$H$17,ABS(G17)&lt;=$H$17),"PASS","FAIL")</f>
        <v>PASS</v>
      </c>
    </row>
    <row r="18" customFormat="false" ht="15" hidden="false" customHeight="false" outlineLevel="0" collapsed="false">
      <c r="A18" s="8" t="s">
        <v>1397</v>
      </c>
      <c r="B18" s="8" t="s">
        <v>1395</v>
      </c>
      <c r="C18" s="50" t="s">
        <v>592</v>
      </c>
      <c r="D18" s="50" t="s">
        <v>592</v>
      </c>
      <c r="E18" s="50" t="s">
        <v>592</v>
      </c>
      <c r="F18" s="96" t="n">
        <f aca="false">Hist_Data!$F$51-(N(Hist_Data!$F$64)+N(Hist_Data!$F$65)+N(Hist_Data!$F$66))</f>
        <v>0</v>
      </c>
      <c r="G18" s="96" t="n">
        <f aca="false">Hist_Data!$G$51-(N(Hist_Data!$G$64)+N(Hist_Data!$G$65)+N(Hist_Data!$G$66))</f>
        <v>0</v>
      </c>
      <c r="H18" s="10" t="n">
        <v>0.05</v>
      </c>
      <c r="I18" s="7" t="str">
        <f aca="false">IF(AND(ABS(F18)&lt;=$H$18,ABS(G18)&lt;=$H$18),"PASS","FAIL")</f>
        <v>PASS</v>
      </c>
    </row>
    <row r="19" customFormat="false" ht="15" hidden="false" customHeight="false" outlineLevel="0" collapsed="false">
      <c r="A19" s="16" t="s">
        <v>1398</v>
      </c>
      <c r="B19" s="17"/>
      <c r="C19" s="17"/>
      <c r="D19" s="17"/>
      <c r="E19" s="17"/>
      <c r="F19" s="17"/>
      <c r="G19" s="17"/>
      <c r="H19" s="17"/>
      <c r="I19" s="17"/>
    </row>
    <row r="20" customFormat="false" ht="15" hidden="false" customHeight="false" outlineLevel="0" collapsed="false">
      <c r="A20" s="8" t="s">
        <v>1399</v>
      </c>
      <c r="B20" s="8" t="s">
        <v>1400</v>
      </c>
      <c r="C20" s="96" t="n">
        <f aca="false">Hist_Analysis!$C$9-(1-Hist_Data!$C$8/Hist_Data!$C$7)</f>
        <v>0</v>
      </c>
      <c r="D20" s="96" t="n">
        <f aca="false">Hist_Analysis!$D$9-(1-Hist_Data!$D$8/Hist_Data!$D$7)</f>
        <v>0</v>
      </c>
      <c r="E20" s="96" t="n">
        <f aca="false">Hist_Analysis!$E$9-(1-Hist_Data!$E$8/Hist_Data!$E$7)</f>
        <v>0</v>
      </c>
      <c r="F20" s="96" t="n">
        <f aca="false">Hist_Analysis!$F$9-(1-Hist_Data!$F$8/Hist_Data!$F$7)</f>
        <v>0</v>
      </c>
      <c r="G20" s="96" t="n">
        <f aca="false">Hist_Analysis!$G$9-(1-Hist_Data!$G$8/Hist_Data!$G$7)</f>
        <v>0</v>
      </c>
      <c r="H20" s="10" t="n">
        <v>0.0001</v>
      </c>
      <c r="I20" s="7" t="str">
        <f aca="false">IF(AND(ABS(C20)&lt;=$H$20,ABS(D20)&lt;=$H$20,ABS(E20)&lt;=$H$20,ABS(F20)&lt;=$H$20,ABS(G20)&lt;=$H$20),"PASS","FAIL")</f>
        <v>PASS</v>
      </c>
    </row>
    <row r="21" customFormat="false" ht="15" hidden="false" customHeight="false" outlineLevel="0" collapsed="false">
      <c r="A21" s="8" t="s">
        <v>1401</v>
      </c>
      <c r="B21" s="8" t="s">
        <v>1400</v>
      </c>
      <c r="C21" s="96" t="n">
        <f aca="false">Hist_Analysis!$C$23-1</f>
        <v>0</v>
      </c>
      <c r="D21" s="96" t="n">
        <f aca="false">Hist_Analysis!$D$23-1</f>
        <v>0</v>
      </c>
      <c r="E21" s="96" t="n">
        <f aca="false">Hist_Analysis!$E$23-1</f>
        <v>0</v>
      </c>
      <c r="F21" s="96" t="n">
        <f aca="false">Hist_Analysis!$F$23-1</f>
        <v>0</v>
      </c>
      <c r="G21" s="96" t="n">
        <f aca="false">Hist_Analysis!$G$23-1</f>
        <v>0</v>
      </c>
      <c r="H21" s="10" t="n">
        <v>0.0001</v>
      </c>
      <c r="I21" s="7" t="str">
        <f aca="false">IF(AND(ABS(C21)&lt;=$H$21,ABS(D21)&lt;=$H$21,ABS(E21)&lt;=$H$21,ABS(F21)&lt;=$H$21,ABS(G21)&lt;=$H$21),"PASS","FAIL")</f>
        <v>PASS</v>
      </c>
    </row>
    <row r="22" customFormat="false" ht="15" hidden="false" customHeight="false" outlineLevel="0" collapsed="false">
      <c r="A22" s="8" t="s">
        <v>1402</v>
      </c>
      <c r="B22" s="8" t="s">
        <v>1400</v>
      </c>
      <c r="C22" s="50" t="s">
        <v>592</v>
      </c>
      <c r="D22" s="96" t="n">
        <f aca="false">Hist_Data!$C$7*(1+Hist_Analysis!$D$8)-Hist_Data!$D$7</f>
        <v>0</v>
      </c>
      <c r="E22" s="96" t="n">
        <f aca="false">Hist_Data!$D$7*(1+Hist_Analysis!$E$8)-Hist_Data!$E$7</f>
        <v>0</v>
      </c>
      <c r="F22" s="96" t="n">
        <f aca="false">Hist_Data!$E$7*(1+Hist_Analysis!$F$8)-Hist_Data!$F$7</f>
        <v>0</v>
      </c>
      <c r="G22" s="96" t="n">
        <f aca="false">Hist_Data!$F$7*(1+Hist_Analysis!$G$8)-Hist_Data!$G$7</f>
        <v>0</v>
      </c>
      <c r="H22" s="10" t="n">
        <v>0.05</v>
      </c>
      <c r="I22" s="7" t="str">
        <f aca="false">IF(AND(ABS(D22)&lt;=$H$22,ABS(E22)&lt;=$H$22,ABS(F22)&lt;=$H$22,ABS(G22)&lt;=$H$22),"PASS","FAIL")</f>
        <v>PASS</v>
      </c>
    </row>
    <row r="23" customFormat="false" ht="15" hidden="false" customHeight="false" outlineLevel="0" collapsed="false">
      <c r="A23" s="8" t="s">
        <v>1403</v>
      </c>
      <c r="B23" s="8" t="s">
        <v>422</v>
      </c>
      <c r="C23" s="96" t="n">
        <f aca="false">Hist_Analysis!$C$32-(Hist_Data!$C$22+Hist_Data!$C$35+Hist_Data!$C$43+(N(Hist_Data!$C$37)+N(Hist_Data!$C$38)+N(Hist_Data!$C$39)+N(Hist_Data!$C$40)+N(Hist_Data!$C$41)))</f>
        <v>0</v>
      </c>
      <c r="D23" s="96" t="n">
        <f aca="false">Hist_Analysis!$D$32-(Hist_Data!$D$22+Hist_Data!$D$35+Hist_Data!$D$43+(N(Hist_Data!$D$37)+N(Hist_Data!$D$38)+N(Hist_Data!$D$39)+N(Hist_Data!$D$40)+N(Hist_Data!$D$41)))</f>
        <v>0</v>
      </c>
      <c r="E23" s="96" t="n">
        <f aca="false">Hist_Analysis!$E$32-(Hist_Data!$E$22+Hist_Data!$E$35+Hist_Data!$E$43+(N(Hist_Data!$E$37)+N(Hist_Data!$E$38)+N(Hist_Data!$E$39)+N(Hist_Data!$E$40)+N(Hist_Data!$E$41)))</f>
        <v>0</v>
      </c>
      <c r="F23" s="96" t="n">
        <f aca="false">Hist_Analysis!$F$32-(Hist_Data!$F$22+Hist_Data!$F$35+Hist_Data!$F$43+(N(Hist_Data!$F$37)+N(Hist_Data!$F$38)+N(Hist_Data!$F$39)+N(Hist_Data!$F$40)+N(Hist_Data!$F$41)))</f>
        <v>0</v>
      </c>
      <c r="G23" s="96" t="n">
        <f aca="false">Hist_Analysis!$G$32-(Hist_Data!$G$22+Hist_Data!$G$35+Hist_Data!$G$43+(N(Hist_Data!$G$37)+N(Hist_Data!$G$38)+N(Hist_Data!$G$39)+N(Hist_Data!$G$40)+N(Hist_Data!$G$41)))</f>
        <v>0</v>
      </c>
      <c r="H23" s="10" t="n">
        <v>0.05</v>
      </c>
      <c r="I23" s="7" t="str">
        <f aca="false">IF(AND(ABS(C23)&lt;=$H$23,ABS(D23)&lt;=$H$23,ABS(E23)&lt;=$H$23,ABS(F23)&lt;=$H$23,ABS(G23)&lt;=$H$23),"PASS","FAIL")</f>
        <v>PASS</v>
      </c>
    </row>
    <row r="24" customFormat="false" ht="15" hidden="false" customHeight="false" outlineLevel="0" collapsed="false">
      <c r="A24" s="8" t="s">
        <v>1404</v>
      </c>
      <c r="B24" s="8" t="s">
        <v>422</v>
      </c>
      <c r="C24" s="96" t="n">
        <f aca="false">(Hist_Analysis!$C$32+Hist_Analysis!$C$33)-(Hist_Data!$C$42+Hist_Data!$C$43)</f>
        <v>0</v>
      </c>
      <c r="D24" s="96" t="n">
        <f aca="false">(Hist_Analysis!$D$32+Hist_Analysis!$D$33)-(Hist_Data!$D$42+Hist_Data!$D$43)</f>
        <v>0</v>
      </c>
      <c r="E24" s="96" t="n">
        <f aca="false">(Hist_Analysis!$E$32+Hist_Analysis!$E$33)-(Hist_Data!$E$42+Hist_Data!$E$43)</f>
        <v>0</v>
      </c>
      <c r="F24" s="96" t="n">
        <f aca="false">(Hist_Analysis!$F$32+Hist_Analysis!$F$33)-(Hist_Data!$F$42+Hist_Data!$F$43)</f>
        <v>0</v>
      </c>
      <c r="G24" s="96" t="n">
        <f aca="false">(Hist_Analysis!$G$32+Hist_Analysis!$G$33)-(Hist_Data!$G$42+Hist_Data!$G$43)</f>
        <v>0</v>
      </c>
      <c r="H24" s="10" t="n">
        <v>0.05</v>
      </c>
      <c r="I24" s="7" t="str">
        <f aca="false">IF(AND(ABS(C24)&lt;=$H$24,ABS(D24)&lt;=$H$24,ABS(E24)&lt;=$H$24,ABS(F24)&lt;=$H$24,ABS(G24)&lt;=$H$24),"PASS","FAIL")</f>
        <v>PASS</v>
      </c>
    </row>
    <row r="25" customFormat="false" ht="15" hidden="false" customHeight="false" outlineLevel="0" collapsed="false">
      <c r="A25" s="8" t="s">
        <v>1405</v>
      </c>
      <c r="B25" s="8" t="s">
        <v>1406</v>
      </c>
      <c r="C25" s="96" t="n">
        <f aca="false">Hist_Analysis!$C$45-((Hist_Data!$C$50/Hist_Data!$C$7+Hist_Data!$C$51/Hist_Data!$C$8-Hist_Data!$C$56/Hist_Data!$C$8)*365)</f>
        <v>0</v>
      </c>
      <c r="D25" s="96" t="n">
        <f aca="false">Hist_Analysis!$D$45-((Hist_Data!$D$50/Hist_Data!$D$7+Hist_Data!$D$51/Hist_Data!$D$8-Hist_Data!$D$56/Hist_Data!$D$8)*365)</f>
        <v>0</v>
      </c>
      <c r="E25" s="96" t="n">
        <f aca="false">Hist_Analysis!$E$45-((Hist_Data!$E$50/Hist_Data!$E$7+Hist_Data!$E$51/Hist_Data!$E$8-Hist_Data!$E$56/Hist_Data!$E$8)*365)</f>
        <v>0</v>
      </c>
      <c r="F25" s="96" t="n">
        <f aca="false">Hist_Analysis!$F$45-((Hist_Data!$F$50/Hist_Data!$F$7+Hist_Data!$F$51/Hist_Data!$F$8-Hist_Data!$F$56/Hist_Data!$F$8)*365)</f>
        <v>0</v>
      </c>
      <c r="G25" s="96" t="n">
        <f aca="false">Hist_Analysis!$G$45-((Hist_Data!$G$50/Hist_Data!$G$7+Hist_Data!$G$51/Hist_Data!$G$8-Hist_Data!$G$56/Hist_Data!$G$8)*365)</f>
        <v>0</v>
      </c>
      <c r="H25" s="10" t="n">
        <v>0.0001</v>
      </c>
      <c r="I25" s="7" t="str">
        <f aca="false">IF(AND(ABS(C25)&lt;=$H$25,ABS(D25)&lt;=$H$25,ABS(E25)&lt;=$H$25,ABS(F25)&lt;=$H$25,ABS(G25)&lt;=$H$25),"PASS","FAIL")</f>
        <v>PASS</v>
      </c>
    </row>
    <row r="26" customFormat="false" ht="15" hidden="false" customHeight="false" outlineLevel="0" collapsed="false">
      <c r="A26" s="16" t="s">
        <v>1407</v>
      </c>
      <c r="B26" s="17"/>
      <c r="C26" s="17"/>
      <c r="D26" s="17"/>
      <c r="E26" s="17"/>
      <c r="F26" s="17"/>
      <c r="G26" s="17"/>
      <c r="H26" s="17"/>
      <c r="I26" s="17"/>
    </row>
    <row r="27" customFormat="false" ht="15" hidden="false" customHeight="false" outlineLevel="0" collapsed="false">
      <c r="A27" s="18" t="s">
        <v>1408</v>
      </c>
      <c r="B27" s="19"/>
      <c r="C27" s="19" t="s">
        <v>1409</v>
      </c>
      <c r="D27" s="19" t="s">
        <v>1410</v>
      </c>
      <c r="E27" s="19" t="s">
        <v>881</v>
      </c>
      <c r="F27" s="19"/>
      <c r="G27" s="19"/>
      <c r="H27" s="19" t="s">
        <v>1383</v>
      </c>
      <c r="I27" s="19" t="s">
        <v>102</v>
      </c>
    </row>
    <row r="28" customFormat="false" ht="15" hidden="false" customHeight="false" outlineLevel="0" collapsed="false">
      <c r="A28" s="8" t="s">
        <v>1411</v>
      </c>
      <c r="C28" s="0" t="n">
        <f aca="false">110/100-1</f>
        <v>0.1</v>
      </c>
      <c r="D28" s="10" t="n">
        <v>0.1</v>
      </c>
      <c r="E28" s="0" t="n">
        <f aca="false">C28-D28</f>
        <v>0</v>
      </c>
      <c r="H28" s="10" t="n">
        <v>1E-006</v>
      </c>
      <c r="I28" s="7" t="str">
        <f aca="false">IF(ABS(E28)&lt;=H28,"PASS","FAIL")</f>
        <v>PASS</v>
      </c>
    </row>
    <row r="29" customFormat="false" ht="15" hidden="false" customHeight="false" outlineLevel="0" collapsed="false">
      <c r="A29" s="8" t="s">
        <v>1412</v>
      </c>
      <c r="C29" s="0" t="n">
        <f aca="false">(200-80)/200</f>
        <v>0.6</v>
      </c>
      <c r="D29" s="10" t="n">
        <v>0.6</v>
      </c>
      <c r="E29" s="0" t="n">
        <f aca="false">C29-D29</f>
        <v>0</v>
      </c>
      <c r="H29" s="10" t="n">
        <v>1E-006</v>
      </c>
      <c r="I29" s="7" t="str">
        <f aca="false">IF(ABS(E29)&lt;=H29,"PASS","FAIL")</f>
        <v>PASS</v>
      </c>
    </row>
    <row r="30" customFormat="false" ht="15" hidden="false" customHeight="false" outlineLevel="0" collapsed="false">
      <c r="A30" s="8" t="s">
        <v>1413</v>
      </c>
      <c r="C30" s="0" t="n">
        <f aca="false">100+20-30-10</f>
        <v>80</v>
      </c>
      <c r="D30" s="10" t="n">
        <v>80</v>
      </c>
      <c r="E30" s="0" t="n">
        <f aca="false">C30-D30</f>
        <v>0</v>
      </c>
      <c r="H30" s="10" t="n">
        <v>1E-006</v>
      </c>
      <c r="I30" s="7" t="str">
        <f aca="false">IF(ABS(E30)&lt;=H30,"PASS","FAIL")</f>
        <v>PASS</v>
      </c>
    </row>
    <row r="31" customFormat="false" ht="15" hidden="false" customHeight="false" outlineLevel="0" collapsed="false">
      <c r="A31" s="8" t="s">
        <v>1414</v>
      </c>
      <c r="C31" s="0" t="n">
        <f aca="false">-(-15+5+3)</f>
        <v>7</v>
      </c>
      <c r="D31" s="10" t="n">
        <v>7</v>
      </c>
      <c r="E31" s="0" t="n">
        <f aca="false">C31-D31</f>
        <v>0</v>
      </c>
      <c r="H31" s="10" t="n">
        <v>1E-006</v>
      </c>
      <c r="I31" s="7" t="str">
        <f aca="false">IF(ABS(E31)&lt;=H31,"PASS","FAIL")</f>
        <v>PASS</v>
      </c>
    </row>
    <row r="32" customFormat="false" ht="15" hidden="false" customHeight="false" outlineLevel="0" collapsed="false">
      <c r="A32" s="8" t="s">
        <v>1415</v>
      </c>
      <c r="C32" s="0" t="n">
        <f aca="false">100/365*365</f>
        <v>100</v>
      </c>
      <c r="D32" s="10" t="n">
        <v>100</v>
      </c>
      <c r="E32" s="0" t="n">
        <f aca="false">C32-D32</f>
        <v>0</v>
      </c>
      <c r="H32" s="10" t="n">
        <v>1E-006</v>
      </c>
      <c r="I32" s="7" t="str">
        <f aca="false">IF(ABS(E32)&lt;=H32,"PASS","FAIL")</f>
        <v>PASS</v>
      </c>
    </row>
    <row r="33" customFormat="false" ht="15" hidden="false" customHeight="false" outlineLevel="0" collapsed="false">
      <c r="A33" s="8" t="s">
        <v>1416</v>
      </c>
      <c r="C33" s="0" t="n">
        <f aca="false">50+120-30</f>
        <v>140</v>
      </c>
      <c r="D33" s="10" t="n">
        <v>140</v>
      </c>
      <c r="E33" s="0" t="n">
        <f aca="false">C33-D33</f>
        <v>0</v>
      </c>
      <c r="H33" s="10" t="n">
        <v>1E-006</v>
      </c>
      <c r="I33" s="7" t="str">
        <f aca="false">IF(ABS(E33)&lt;=H33,"PASS","FAIL")</f>
        <v>PASS</v>
      </c>
    </row>
    <row r="34" customFormat="false" ht="15" hidden="false" customHeight="false" outlineLevel="0" collapsed="false">
      <c r="A34" s="8" t="s">
        <v>1417</v>
      </c>
      <c r="C34" s="0" t="n">
        <f aca="false">50/100+30/100+20/100</f>
        <v>1</v>
      </c>
      <c r="D34" s="10" t="n">
        <v>1</v>
      </c>
      <c r="E34" s="0" t="n">
        <f aca="false">C34-D34</f>
        <v>0</v>
      </c>
      <c r="H34" s="10" t="n">
        <v>1E-006</v>
      </c>
      <c r="I34" s="7" t="str">
        <f aca="false">IF(ABS(E34)&lt;=H34,"PASS","FAIL")</f>
        <v>PASS</v>
      </c>
    </row>
    <row r="35" customFormat="false" ht="15" hidden="false" customHeight="false" outlineLevel="0" collapsed="false">
      <c r="A35" s="16" t="s">
        <v>1418</v>
      </c>
      <c r="B35" s="17"/>
      <c r="C35" s="17"/>
      <c r="D35" s="17"/>
      <c r="E35" s="17"/>
      <c r="F35" s="17"/>
      <c r="G35" s="17"/>
      <c r="H35" s="17"/>
      <c r="I35" s="17"/>
    </row>
    <row r="36" customFormat="false" ht="15" hidden="false" customHeight="false" outlineLevel="0" collapsed="false">
      <c r="A36" s="18" t="s">
        <v>1382</v>
      </c>
      <c r="B36" s="19" t="s">
        <v>96</v>
      </c>
      <c r="C36" s="19" t="s">
        <v>1409</v>
      </c>
      <c r="D36" s="19"/>
      <c r="E36" s="19"/>
      <c r="F36" s="19"/>
      <c r="G36" s="19"/>
      <c r="H36" s="19" t="s">
        <v>1383</v>
      </c>
      <c r="I36" s="19" t="s">
        <v>102</v>
      </c>
    </row>
    <row r="37" customFormat="false" ht="15" hidden="false" customHeight="false" outlineLevel="0" collapsed="false">
      <c r="A37" s="8" t="s">
        <v>1419</v>
      </c>
      <c r="B37" s="8" t="s">
        <v>1420</v>
      </c>
      <c r="C37" s="96" t="n">
        <f aca="false">IF(ISNUMBER(Assumptions!$D$6),0,1)</f>
        <v>0</v>
      </c>
      <c r="H37" s="10" t="n">
        <v>0</v>
      </c>
      <c r="I37" s="7" t="str">
        <f aca="false">IF(ABS(C37)&lt;=H37,"PASS","FAIL")</f>
        <v>PASS</v>
      </c>
    </row>
    <row r="38" customFormat="false" ht="15" hidden="false" customHeight="false" outlineLevel="0" collapsed="false">
      <c r="A38" s="8" t="s">
        <v>1421</v>
      </c>
      <c r="B38" s="8" t="s">
        <v>1420</v>
      </c>
      <c r="C38" s="96" t="n">
        <f aca="false">SUMPRODUCT(ABS(Assumptions!$F$10:$F$18-((Assumptions!$D$6=1)*Assumptions!$C$10:$C$18+(Assumptions!$D$6=2)*Assumptions!$D$10:$D$18+(Assumptions!$D$6=3)*Assumptions!$E$10:$E$18)))</f>
        <v>0</v>
      </c>
      <c r="H38" s="10" t="n">
        <v>0.0001</v>
      </c>
      <c r="I38" s="7" t="str">
        <f aca="false">IF(ABS(C38)&lt;=H38,"PASS","FAIL")</f>
        <v>PASS</v>
      </c>
    </row>
    <row r="39" customFormat="false" ht="15" hidden="false" customHeight="false" outlineLevel="0" collapsed="false">
      <c r="A39" s="8" t="s">
        <v>1422</v>
      </c>
      <c r="B39" s="8" t="s">
        <v>1420</v>
      </c>
      <c r="C39" s="96" t="n">
        <f aca="false">IF(Ops_Model!$B$4=Assumptions!$C$6,0,1)</f>
        <v>0</v>
      </c>
      <c r="H39" s="10" t="n">
        <v>0</v>
      </c>
      <c r="I39" s="7" t="str">
        <f aca="false">IF(ABS(C39)&lt;=H39,"PASS","FAIL")</f>
        <v>PASS</v>
      </c>
    </row>
    <row r="40" customFormat="false" ht="15" hidden="false" customHeight="false" outlineLevel="0" collapsed="false">
      <c r="A40" s="8" t="s">
        <v>1423</v>
      </c>
      <c r="B40" s="8" t="s">
        <v>1424</v>
      </c>
      <c r="C40" s="96" t="n">
        <f aca="false">Assumptions!$O$72-12</f>
        <v>0</v>
      </c>
      <c r="H40" s="10" t="n">
        <v>0.0001</v>
      </c>
      <c r="I40" s="7" t="str">
        <f aca="false">IF(ABS(C40)&lt;=H40,"PASS","FAIL")</f>
        <v>PASS</v>
      </c>
    </row>
    <row r="41" customFormat="false" ht="15" hidden="false" customHeight="false" outlineLevel="0" collapsed="false">
      <c r="A41" s="8" t="s">
        <v>1425</v>
      </c>
      <c r="B41" s="8" t="s">
        <v>1424</v>
      </c>
      <c r="C41" s="96" t="n">
        <f aca="false">(Ops_Model!$C$6&lt;&gt;DATE(2026,4,1))+(Ops_Model!$N$6&lt;&gt;DATE(2027,3,1))+SUMPRODUCT(--(DAY(Ops_Model!$C$6:$N$6)&lt;&gt;1))+(COUNT(Ops_Model!$C$6:$N$6)&lt;&gt;12)+SUMPRODUCT((Ops_Model!$D$6:$N$6-Ops_Model!$C$6:$M$6&lt;28)+(Ops_Model!$D$6:$N$6-Ops_Model!$C$6:$M$6&gt;31))</f>
        <v>0</v>
      </c>
      <c r="H41" s="10" t="n">
        <v>0</v>
      </c>
      <c r="I41" s="7" t="str">
        <f aca="false">IF(ABS(C41)&lt;=H41,"PASS","FAIL")</f>
        <v>PASS</v>
      </c>
    </row>
    <row r="42" customFormat="false" ht="15" hidden="false" customHeight="false" outlineLevel="0" collapsed="false">
      <c r="A42" s="8" t="s">
        <v>1426</v>
      </c>
      <c r="B42" s="8" t="s">
        <v>22</v>
      </c>
      <c r="C42" s="96" t="n">
        <f aca="false">Assumptions!$F$40-1</f>
        <v>0</v>
      </c>
      <c r="H42" s="10" t="n">
        <v>0.0001</v>
      </c>
      <c r="I42" s="7" t="str">
        <f aca="false">IF(ABS(C42)&lt;=H42,"PASS","FAIL")</f>
        <v>PASS</v>
      </c>
    </row>
    <row r="43" customFormat="false" ht="15" hidden="false" customHeight="false" outlineLevel="0" collapsed="false">
      <c r="A43" s="8" t="s">
        <v>1427</v>
      </c>
      <c r="B43" s="8" t="s">
        <v>22</v>
      </c>
      <c r="C43" s="96" t="n">
        <f aca="false">Assumptions!$F$41-Assumptions!$F$33</f>
        <v>0</v>
      </c>
      <c r="H43" s="10" t="n">
        <v>0.05</v>
      </c>
      <c r="I43" s="7" t="str">
        <f aca="false">IF(ABS(C43)&lt;=H43,"PASS","FAIL")</f>
        <v>PASS</v>
      </c>
    </row>
    <row r="44" customFormat="false" ht="15" hidden="false" customHeight="false" outlineLevel="0" collapsed="false">
      <c r="A44" s="8" t="s">
        <v>1428</v>
      </c>
      <c r="B44" s="8" t="s">
        <v>175</v>
      </c>
      <c r="C44" s="96" t="n">
        <f aca="false">SUMPRODUCT((Ops_Model!$C$11:$N$11&lt;0)+(Ops_Model!$C$11:$N$11&gt;1)+(Ops_Model!$C$13:$N$13&lt;0)+(Ops_Model!$C$13:$N$13&gt;1))+SUMPRODUCT((Ops_Model!$C$41:$N$41&lt;0)+(Ops_Model!$C$41:$N$41&gt;1)+(Ops_Model!$C$43:$N$43&lt;0)+(Ops_Model!$C$43:$N$43&gt;1))+SUMPRODUCT((Ops_Model!$C$71:$N$71&lt;0)+(Ops_Model!$C$71:$N$71&gt;1)+(Ops_Model!$C$73:$N$73&lt;0)+(Ops_Model!$C$73:$N$73&gt;1))</f>
        <v>0</v>
      </c>
      <c r="H44" s="10" t="n">
        <v>0</v>
      </c>
      <c r="I44" s="7" t="str">
        <f aca="false">IF(ABS(C44)&lt;=H44,"PASS","FAIL")</f>
        <v>PASS</v>
      </c>
    </row>
    <row r="45" customFormat="false" ht="15" hidden="false" customHeight="false" outlineLevel="0" collapsed="false">
      <c r="A45" s="8" t="s">
        <v>1429</v>
      </c>
      <c r="B45" s="8" t="s">
        <v>175</v>
      </c>
      <c r="C45" s="96" t="n">
        <f aca="false">SUMPRODUCT(ABS(Ops_Model!$C$12:$N$12-Ops_Model!$C$10:$N$10*Ops_Model!$C$11:$N$11))+SUMPRODUCT(ABS(Ops_Model!$C$42:$N$42-Ops_Model!$C$40:$N$40*Ops_Model!$C$41:$N$41))+SUMPRODUCT(ABS(Ops_Model!$C$72:$N$72-Ops_Model!$C$70:$N$70*Ops_Model!$C$71:$N$71))</f>
        <v>0</v>
      </c>
      <c r="H45" s="10" t="n">
        <v>0.0001</v>
      </c>
      <c r="I45" s="7" t="str">
        <f aca="false">IF(ABS(C45)&lt;=H45,"PASS","FAIL")</f>
        <v>PASS</v>
      </c>
    </row>
    <row r="46" customFormat="false" ht="15" hidden="false" customHeight="false" outlineLevel="0" collapsed="false">
      <c r="A46" s="8" t="s">
        <v>1430</v>
      </c>
      <c r="B46" s="8" t="s">
        <v>175</v>
      </c>
      <c r="C46" s="96" t="n">
        <f aca="false">SUMPRODUCT(ABS(Ops_Model!$C$14:$N$14-Ops_Model!$C$12:$N$12*Ops_Model!$C$13:$N$13))+SUMPRODUCT(ABS(Ops_Model!$C$44:$N$44-Ops_Model!$C$42:$N$42*Ops_Model!$C$43:$N$43))+SUMPRODUCT(ABS(Ops_Model!$C$74:$N$74-Ops_Model!$C$72:$N$72*Ops_Model!$C$73:$N$73))</f>
        <v>0</v>
      </c>
      <c r="H46" s="10" t="n">
        <v>0.0001</v>
      </c>
      <c r="I46" s="7" t="str">
        <f aca="false">IF(ABS(C46)&lt;=H46,"PASS","FAIL")</f>
        <v>PASS</v>
      </c>
    </row>
    <row r="47" customFormat="false" ht="15" hidden="false" customHeight="false" outlineLevel="0" collapsed="false">
      <c r="A47" s="8" t="s">
        <v>1431</v>
      </c>
      <c r="B47" s="8" t="s">
        <v>175</v>
      </c>
      <c r="C47" s="96" t="n">
        <f aca="false">SUMPRODUCT(ABS(Ops_Model!$C$17:$N$17-((Ops_Model!$C$9:$N$9&lt;Ops_Model!$C$16:$N$16)*Ops_Model!$C$9:$N$9+(Ops_Model!$C$9:$N$9&gt;=Ops_Model!$C$16:$N$16)*Ops_Model!$C$16:$N$16)))+SUMPRODUCT(ABS(Ops_Model!$C$47:$N$47-((Ops_Model!$C$39:$N$39&lt;Ops_Model!$C$46:$N$46)*Ops_Model!$C$39:$N$39+(Ops_Model!$C$39:$N$39&gt;=Ops_Model!$C$46:$N$46)*Ops_Model!$C$46:$N$46)))+SUMPRODUCT(ABS(Ops_Model!$C$77:$N$77-((Ops_Model!$C$69:$N$69&lt;Ops_Model!$C$76:$N$76)*Ops_Model!$C$69:$N$69+(Ops_Model!$C$69:$N$69&gt;=Ops_Model!$C$76:$N$76)*Ops_Model!$C$76:$N$76)))</f>
        <v>0</v>
      </c>
      <c r="H47" s="10" t="n">
        <v>0.0001</v>
      </c>
      <c r="I47" s="7" t="str">
        <f aca="false">IF(ABS(C47)&lt;=H47,"PASS","FAIL")</f>
        <v>PASS</v>
      </c>
    </row>
    <row r="48" customFormat="false" ht="15" hidden="false" customHeight="false" outlineLevel="0" collapsed="false">
      <c r="A48" s="8" t="s">
        <v>1432</v>
      </c>
      <c r="B48" s="8" t="s">
        <v>175</v>
      </c>
      <c r="C48" s="96" t="n">
        <f aca="false">SUMPRODUCT(--(Ops_Model!$C$18:$N$18&lt;-0.000001))+SUMPRODUCT(--(Ops_Model!$C$31:$N$31&lt;-0.000001))+SUMPRODUCT(--(Ops_Model!$C$48:$N$48&lt;-0.000001))+SUMPRODUCT(--(Ops_Model!$C$61:$N$61&lt;-0.000001))+SUMPRODUCT(--(Ops_Model!$C$78:$N$78&lt;-0.000001))+SUMPRODUCT(--(Ops_Model!$C$91:$N$91&lt;-0.000001))</f>
        <v>0</v>
      </c>
      <c r="H48" s="10" t="n">
        <v>0</v>
      </c>
      <c r="I48" s="7" t="str">
        <f aca="false">IF(ABS(C48)&lt;=H48,"PASS","FAIL")</f>
        <v>PASS</v>
      </c>
    </row>
    <row r="49" customFormat="false" ht="15" hidden="false" customHeight="false" outlineLevel="0" collapsed="false">
      <c r="A49" s="8" t="s">
        <v>1433</v>
      </c>
      <c r="B49" s="8" t="s">
        <v>175</v>
      </c>
      <c r="C49" s="96" t="n">
        <f aca="false">ABS(Ops_Model!$O$15+Ops_Model!$O$14-Ops_Model!$O$17-Ops_Model!$O$18)+ABS(Ops_Model!$O$45+Ops_Model!$O$44-Ops_Model!$O$47-Ops_Model!$O$48)+ABS(Ops_Model!$O$75+Ops_Model!$O$74-Ops_Model!$O$77-Ops_Model!$O$78)</f>
        <v>0</v>
      </c>
      <c r="H49" s="10" t="n">
        <v>0.0001</v>
      </c>
      <c r="I49" s="7" t="str">
        <f aca="false">IF(ABS(C49)&lt;=H49,"PASS","FAIL")</f>
        <v>PASS</v>
      </c>
    </row>
    <row r="50" customFormat="false" ht="15" hidden="false" customHeight="false" outlineLevel="0" collapsed="false">
      <c r="A50" s="8" t="s">
        <v>1434</v>
      </c>
      <c r="B50" s="8" t="s">
        <v>175</v>
      </c>
      <c r="C50" s="96" t="n">
        <f aca="false">ABS(Ops_Model!$O$28+Ops_Model!$O$26-Ops_Model!$O$30-Ops_Model!$O$31)+ABS(Ops_Model!$O$58+Ops_Model!$O$56-Ops_Model!$O$60-Ops_Model!$O$61)+ABS(Ops_Model!$O$88+Ops_Model!$O$86-Ops_Model!$O$90-Ops_Model!$O$91)</f>
        <v>0</v>
      </c>
      <c r="H50" s="10" t="n">
        <v>0.0001</v>
      </c>
      <c r="I50" s="7" t="str">
        <f aca="false">IF(ABS(C50)&lt;=H50,"PASS","FAIL")</f>
        <v>PASS</v>
      </c>
    </row>
    <row r="51" customFormat="false" ht="15" hidden="false" customHeight="false" outlineLevel="0" collapsed="false">
      <c r="A51" s="8" t="s">
        <v>1435</v>
      </c>
      <c r="B51" s="8" t="s">
        <v>22</v>
      </c>
      <c r="C51" s="96" t="n">
        <f aca="false">ABS(SUMPRODUCT(Ops_Model!$C$17:$N$17,Ops_Model!$C$21:$N$21)-Ops_Model!$O$22)+ABS(SUMPRODUCT(Ops_Model!$C$47:$N$47,Ops_Model!$C$51:$N$51)-Ops_Model!$O$52)+ABS(SUMPRODUCT(Ops_Model!$C$77:$N$77,Ops_Model!$C$81:$N$81)-Ops_Model!$O$82)</f>
        <v>0</v>
      </c>
      <c r="H51" s="10" t="n">
        <v>0.0001</v>
      </c>
      <c r="I51" s="7" t="str">
        <f aca="false">IF(ABS(C51)&lt;=H51,"PASS","FAIL")</f>
        <v>PASS</v>
      </c>
    </row>
    <row r="52" customFormat="false" ht="15" hidden="false" customHeight="false" outlineLevel="0" collapsed="false">
      <c r="A52" s="8" t="s">
        <v>1436</v>
      </c>
      <c r="B52" s="8" t="s">
        <v>1437</v>
      </c>
      <c r="C52" s="96" t="n">
        <f aca="false">ABS(SUMPRODUCT(Ops_Model!$C$12:$N$12,Ops_Model!$C$23:$N$23)-Ops_Model!$O$24)+ABS(SUMPRODUCT(Ops_Model!$C$42:$N$42,Ops_Model!$C$53:$N$53)-Ops_Model!$O$54)+ABS(SUMPRODUCT(Ops_Model!$C$72:$N$72,Ops_Model!$C$83:$N$83)-Ops_Model!$O$84)</f>
        <v>0</v>
      </c>
      <c r="H52" s="10" t="n">
        <v>0.0001</v>
      </c>
      <c r="I52" s="7" t="str">
        <f aca="false">IF(ABS(C52)&lt;=H52,"PASS","FAIL")</f>
        <v>PASS</v>
      </c>
    </row>
    <row r="53" customFormat="false" ht="15" hidden="false" customHeight="false" outlineLevel="0" collapsed="false">
      <c r="A53" s="8" t="s">
        <v>1438</v>
      </c>
      <c r="B53" s="8" t="s">
        <v>22</v>
      </c>
      <c r="C53" s="96" t="n">
        <f aca="false">Ops_Model!$O$98-(Ops_Model!$O$22+Ops_Model!$O$52+Ops_Model!$O$82)</f>
        <v>0</v>
      </c>
      <c r="H53" s="10" t="n">
        <v>0.0001</v>
      </c>
      <c r="I53" s="7" t="str">
        <f aca="false">IF(ABS(C53)&lt;=H53,"PASS","FAIL")</f>
        <v>PASS</v>
      </c>
    </row>
    <row r="54" customFormat="false" ht="15" hidden="false" customHeight="false" outlineLevel="0" collapsed="false">
      <c r="A54" s="8" t="s">
        <v>1439</v>
      </c>
      <c r="B54" s="8" t="s">
        <v>367</v>
      </c>
      <c r="C54" s="96" t="n">
        <f aca="false">Ops_Model!$O$105-(Ops_Model!$O$98-Ops_Model!$O$102)</f>
        <v>0</v>
      </c>
      <c r="H54" s="10" t="n">
        <v>0.0001</v>
      </c>
      <c r="I54" s="7" t="str">
        <f aca="false">IF(ABS(C54)&lt;=H54,"PASS","FAIL")</f>
        <v>PASS</v>
      </c>
    </row>
    <row r="55" customFormat="false" ht="15" hidden="false" customHeight="false" outlineLevel="0" collapsed="false">
      <c r="A55" s="8" t="s">
        <v>1440</v>
      </c>
      <c r="B55" s="8" t="s">
        <v>22</v>
      </c>
      <c r="C55" s="96" t="n">
        <f aca="false">SUM(Ops_Model!$C$98:$N$98)-(SUM(Ops_Model!$C$22:$N$22)+SUM(Ops_Model!$C$52:$N$52)+SUM(Ops_Model!$C$82:$N$82))</f>
        <v>0</v>
      </c>
      <c r="H55" s="10" t="n">
        <v>0.0001</v>
      </c>
      <c r="I55" s="7" t="str">
        <f aca="false">IF(ABS(C55)&lt;=H55,"PASS","FAIL")</f>
        <v>PASS</v>
      </c>
    </row>
    <row r="56" customFormat="false" ht="15" hidden="false" customHeight="false" outlineLevel="0" collapsed="false">
      <c r="A56" s="8" t="s">
        <v>1441</v>
      </c>
      <c r="B56" s="8" t="s">
        <v>367</v>
      </c>
      <c r="C56" s="96" t="n">
        <f aca="false">MAX(0,Ops_Model!$O$105-Ops_Model!$O$103)</f>
        <v>0</v>
      </c>
      <c r="H56" s="10" t="n">
        <v>0.0001</v>
      </c>
      <c r="I56" s="7" t="str">
        <f aca="false">IF(ABS(C56)&lt;=H56,"PASS","FAIL")</f>
        <v>PASS</v>
      </c>
    </row>
    <row r="57" customFormat="false" ht="15" hidden="false" customHeight="false" outlineLevel="0" collapsed="false">
      <c r="A57" s="18" t="s">
        <v>1442</v>
      </c>
      <c r="B57" s="19"/>
      <c r="C57" s="19" t="s">
        <v>1409</v>
      </c>
      <c r="D57" s="19" t="s">
        <v>1410</v>
      </c>
      <c r="E57" s="19" t="s">
        <v>881</v>
      </c>
      <c r="F57" s="19"/>
      <c r="G57" s="19"/>
      <c r="H57" s="19" t="s">
        <v>1383</v>
      </c>
      <c r="I57" s="19" t="s">
        <v>102</v>
      </c>
    </row>
    <row r="58" customFormat="false" ht="15" hidden="false" customHeight="false" outlineLevel="0" collapsed="false">
      <c r="A58" s="8" t="s">
        <v>1443</v>
      </c>
      <c r="C58" s="0" t="n">
        <f aca="false">100*0.8</f>
        <v>80</v>
      </c>
      <c r="D58" s="10" t="n">
        <v>80</v>
      </c>
      <c r="E58" s="0" t="n">
        <f aca="false">C58-D58</f>
        <v>0</v>
      </c>
      <c r="H58" s="10" t="n">
        <v>1E-006</v>
      </c>
      <c r="I58" s="7" t="str">
        <f aca="false">IF(ABS(E58)&lt;=H58,"PASS","FAIL")</f>
        <v>PASS</v>
      </c>
    </row>
    <row r="59" customFormat="false" ht="15" hidden="false" customHeight="false" outlineLevel="0" collapsed="false">
      <c r="A59" s="8" t="s">
        <v>1444</v>
      </c>
      <c r="C59" s="0" t="n">
        <f aca="false">80*0.9</f>
        <v>72</v>
      </c>
      <c r="D59" s="10" t="n">
        <v>72</v>
      </c>
      <c r="E59" s="0" t="n">
        <f aca="false">C59-D59</f>
        <v>0</v>
      </c>
      <c r="H59" s="10" t="n">
        <v>1E-006</v>
      </c>
      <c r="I59" s="7" t="str">
        <f aca="false">IF(ABS(E59)&lt;=H59,"PASS","FAIL")</f>
        <v>PASS</v>
      </c>
    </row>
    <row r="60" customFormat="false" ht="15" hidden="false" customHeight="false" outlineLevel="0" collapsed="false">
      <c r="A60" s="8" t="s">
        <v>1445</v>
      </c>
      <c r="C60" s="0" t="n">
        <f aca="false">MIN(70,0+72)</f>
        <v>70</v>
      </c>
      <c r="D60" s="10" t="n">
        <v>70</v>
      </c>
      <c r="E60" s="0" t="n">
        <f aca="false">C60-D60</f>
        <v>0</v>
      </c>
      <c r="H60" s="10" t="n">
        <v>1E-006</v>
      </c>
      <c r="I60" s="7" t="str">
        <f aca="false">IF(ABS(E60)&lt;=H60,"PASS","FAIL")</f>
        <v>PASS</v>
      </c>
    </row>
    <row r="61" customFormat="false" ht="15" hidden="false" customHeight="false" outlineLevel="0" collapsed="false">
      <c r="A61" s="8" t="s">
        <v>1446</v>
      </c>
      <c r="C61" s="0" t="n">
        <f aca="false">90-MIN(90,72)</f>
        <v>18</v>
      </c>
      <c r="D61" s="10" t="n">
        <v>18</v>
      </c>
      <c r="E61" s="0" t="n">
        <f aca="false">C61-D61</f>
        <v>0</v>
      </c>
      <c r="H61" s="10" t="n">
        <v>1E-006</v>
      </c>
      <c r="I61" s="7" t="str">
        <f aca="false">IF(ABS(E61)&lt;=H61,"PASS","FAIL")</f>
        <v>PASS</v>
      </c>
    </row>
    <row r="62" customFormat="false" ht="15" hidden="false" customHeight="false" outlineLevel="0" collapsed="false">
      <c r="A62" s="8" t="s">
        <v>1447</v>
      </c>
      <c r="C62" s="0" t="n">
        <f aca="false">70*2</f>
        <v>140</v>
      </c>
      <c r="D62" s="10" t="n">
        <v>140</v>
      </c>
      <c r="E62" s="0" t="n">
        <f aca="false">C62-D62</f>
        <v>0</v>
      </c>
      <c r="H62" s="10" t="n">
        <v>1E-006</v>
      </c>
      <c r="I62" s="7" t="str">
        <f aca="false">IF(ABS(E62)&lt;=H62,"PASS","FAIL")</f>
        <v>PASS</v>
      </c>
    </row>
    <row r="63" customFormat="false" ht="15" hidden="false" customHeight="false" outlineLevel="0" collapsed="false">
      <c r="A63" s="8" t="s">
        <v>1448</v>
      </c>
      <c r="C63" s="0" t="n">
        <f aca="false">(10+90)/82</f>
        <v>1.21951219512195</v>
      </c>
      <c r="D63" s="10" t="n">
        <v>1.21951219512195</v>
      </c>
      <c r="E63" s="0" t="n">
        <f aca="false">C63-D63</f>
        <v>0</v>
      </c>
      <c r="H63" s="10" t="n">
        <v>1E-006</v>
      </c>
      <c r="I63" s="7" t="str">
        <f aca="false">IF(ABS(E63)&lt;=H63,"PASS","FAIL")</f>
        <v>PASS</v>
      </c>
    </row>
    <row r="64" customFormat="false" ht="15" hidden="false" customHeight="false" outlineLevel="0" collapsed="false">
      <c r="A64" s="8" t="s">
        <v>1449</v>
      </c>
      <c r="C64" s="0" t="n">
        <f aca="false">70*(10+90)/82</f>
        <v>85.3658536585366</v>
      </c>
      <c r="D64" s="10" t="n">
        <v>85.3658536585366</v>
      </c>
      <c r="E64" s="0" t="n">
        <f aca="false">C64-D64</f>
        <v>0</v>
      </c>
      <c r="H64" s="10" t="n">
        <v>1E-006</v>
      </c>
      <c r="I64" s="7" t="str">
        <f aca="false">IF(ABS(E64)&lt;=H64,"PASS","FAIL")</f>
        <v>PASS</v>
      </c>
    </row>
    <row r="65" customFormat="false" ht="15" hidden="false" customHeight="false" outlineLevel="0" collapsed="false">
      <c r="A65" s="8" t="s">
        <v>1450</v>
      </c>
      <c r="C65" s="0" t="n">
        <f aca="false">10+90-70*(10+90)/82</f>
        <v>14.6341463414634</v>
      </c>
      <c r="D65" s="10" t="n">
        <v>14.6341463414634</v>
      </c>
      <c r="E65" s="0" t="n">
        <f aca="false">C65-D65</f>
        <v>0</v>
      </c>
      <c r="H65" s="10" t="n">
        <v>1E-006</v>
      </c>
      <c r="I65" s="7" t="str">
        <f aca="false">IF(ABS(E65)&lt;=H65,"PASS","FAIL")</f>
        <v>PASS</v>
      </c>
    </row>
    <row r="66" customFormat="false" ht="15" hidden="false" customHeight="false" outlineLevel="0" collapsed="false">
      <c r="A66" s="8" t="s">
        <v>1451</v>
      </c>
      <c r="C66" s="0" t="n">
        <f aca="false">140-70*(0.45/0.9)</f>
        <v>105</v>
      </c>
      <c r="D66" s="10" t="n">
        <v>105</v>
      </c>
      <c r="E66" s="0" t="n">
        <f aca="false">C66-D66</f>
        <v>0</v>
      </c>
      <c r="H66" s="10" t="n">
        <v>1E-006</v>
      </c>
      <c r="I66" s="7" t="str">
        <f aca="false">IF(ABS(E66)&lt;=H66,"PASS","FAIL")</f>
        <v>PASS</v>
      </c>
    </row>
    <row r="67" customFormat="false" ht="15" hidden="false" customHeight="false" outlineLevel="0" collapsed="false">
      <c r="A67" s="16" t="s">
        <v>1452</v>
      </c>
      <c r="B67" s="17"/>
      <c r="C67" s="17"/>
      <c r="D67" s="17"/>
      <c r="E67" s="17"/>
      <c r="F67" s="17"/>
      <c r="G67" s="17"/>
      <c r="H67" s="17"/>
      <c r="I67" s="17"/>
    </row>
    <row r="68" customFormat="false" ht="15" hidden="false" customHeight="false" outlineLevel="0" collapsed="false">
      <c r="A68" s="18" t="s">
        <v>1382</v>
      </c>
      <c r="B68" s="19" t="s">
        <v>96</v>
      </c>
      <c r="C68" s="19" t="s">
        <v>1409</v>
      </c>
      <c r="D68" s="19"/>
      <c r="E68" s="19"/>
      <c r="F68" s="19"/>
      <c r="G68" s="19"/>
      <c r="H68" s="19" t="s">
        <v>1383</v>
      </c>
      <c r="I68" s="19" t="s">
        <v>102</v>
      </c>
    </row>
    <row r="69" customFormat="false" ht="15" hidden="false" customHeight="false" outlineLevel="0" collapsed="false">
      <c r="A69" s="8" t="s">
        <v>1453</v>
      </c>
      <c r="B69" s="8" t="s">
        <v>22</v>
      </c>
      <c r="C69" s="96" t="n">
        <f aca="false">SUMPRODUCT(ABS(Revenue!$C$9:$N$9-Ops_Model!$C$22:$N$22))+SUMPRODUCT(ABS(Revenue!$C$14:$N$14-Ops_Model!$C$52:$N$52))+SUMPRODUCT(ABS(Revenue!$C$19:$N$19-Ops_Model!$C$82:$N$82))</f>
        <v>0</v>
      </c>
      <c r="H69" s="10" t="n">
        <v>0.0001</v>
      </c>
      <c r="I69" s="7" t="str">
        <f aca="false">IF(ABS(C69)&lt;=H69,"PASS","FAIL")</f>
        <v>PASS</v>
      </c>
    </row>
    <row r="70" customFormat="false" ht="15" hidden="false" customHeight="false" outlineLevel="0" collapsed="false">
      <c r="A70" s="8" t="s">
        <v>1454</v>
      </c>
      <c r="B70" s="8" t="s">
        <v>1455</v>
      </c>
      <c r="C70" s="96" t="n">
        <f aca="false">ABS(SUM(Revenue!$P$23:$S$23)-Revenue!$O$23)+ABS(SUM(Revenue!$C$23:$N$23)-Revenue!$O$23)</f>
        <v>0</v>
      </c>
      <c r="H70" s="10" t="n">
        <v>0.0001</v>
      </c>
      <c r="I70" s="7" t="str">
        <f aca="false">IF(ABS(C70)&lt;=H70,"PASS","FAIL")</f>
        <v>PASS</v>
      </c>
    </row>
    <row r="71" customFormat="false" ht="15" hidden="false" customHeight="false" outlineLevel="0" collapsed="false">
      <c r="A71" s="8" t="s">
        <v>1456</v>
      </c>
      <c r="B71" s="8" t="s">
        <v>22</v>
      </c>
      <c r="C71" s="96" t="n">
        <f aca="false">SUMPRODUCT(ABS(Revenue!$C$27:$N$27-1))</f>
        <v>2.22044604925031E-016</v>
      </c>
      <c r="H71" s="10" t="n">
        <v>0.0001</v>
      </c>
      <c r="I71" s="7" t="str">
        <f aca="false">IF(ABS(C71)&lt;=H71,"PASS","FAIL")</f>
        <v>PASS</v>
      </c>
    </row>
    <row r="72" customFormat="false" ht="15" hidden="false" customHeight="false" outlineLevel="0" collapsed="false">
      <c r="A72" s="8" t="s">
        <v>1457</v>
      </c>
      <c r="B72" s="8" t="s">
        <v>22</v>
      </c>
      <c r="C72" s="96" t="n">
        <f aca="false">PnL!$O$8-Ops_Model!$O$98</f>
        <v>0</v>
      </c>
      <c r="H72" s="10" t="n">
        <v>0.0001</v>
      </c>
      <c r="I72" s="7" t="str">
        <f aca="false">IF(ABS(C72)&lt;=H72,"PASS","FAIL")</f>
        <v>PASS</v>
      </c>
    </row>
    <row r="73" customFormat="false" ht="15" hidden="false" customHeight="false" outlineLevel="0" collapsed="false">
      <c r="A73" s="8" t="s">
        <v>1458</v>
      </c>
      <c r="B73" s="8" t="s">
        <v>367</v>
      </c>
      <c r="C73" s="96" t="n">
        <f aca="false">(PnL!$O$12+PnL!$O$10)-Ops_Model!$O$105</f>
        <v>0</v>
      </c>
      <c r="H73" s="10" t="n">
        <v>0.0001</v>
      </c>
      <c r="I73" s="7" t="str">
        <f aca="false">IF(ABS(C73)&lt;=H73,"PASS","FAIL")</f>
        <v>PASS</v>
      </c>
    </row>
    <row r="74" customFormat="false" ht="15" hidden="false" customHeight="false" outlineLevel="0" collapsed="false">
      <c r="A74" s="8" t="s">
        <v>1459</v>
      </c>
      <c r="B74" s="8" t="s">
        <v>367</v>
      </c>
      <c r="C74" s="96" t="n">
        <f aca="false">SUMPRODUCT(ABS(PnL!$C$12:$N$12-(PnL!$C$8:$N$8-PnL!$C$11:$N$11)))</f>
        <v>0</v>
      </c>
      <c r="H74" s="10" t="n">
        <v>0.0001</v>
      </c>
      <c r="I74" s="7" t="str">
        <f aca="false">IF(ABS(C74)&lt;=H74,"PASS","FAIL")</f>
        <v>PASS</v>
      </c>
    </row>
    <row r="75" customFormat="false" ht="15" hidden="false" customHeight="false" outlineLevel="0" collapsed="false">
      <c r="A75" s="8" t="s">
        <v>1460</v>
      </c>
      <c r="B75" s="8" t="s">
        <v>220</v>
      </c>
      <c r="C75" s="96" t="n">
        <f aca="false">SUMPRODUCT(ABS(PnL!$C$17:$N$17-(PnL!$C$12:$N$12-PnL!$C$14:$N$14-PnL!$C$15:$N$15)))</f>
        <v>0</v>
      </c>
      <c r="H75" s="10" t="n">
        <v>0.0001</v>
      </c>
      <c r="I75" s="7" t="str">
        <f aca="false">IF(ABS(C75)&lt;=H75,"PASS","FAIL")</f>
        <v>PASS</v>
      </c>
    </row>
    <row r="76" customFormat="false" ht="15" hidden="false" customHeight="false" outlineLevel="0" collapsed="false">
      <c r="A76" s="8" t="s">
        <v>1461</v>
      </c>
      <c r="B76" s="8" t="s">
        <v>220</v>
      </c>
      <c r="C76" s="96" t="n">
        <f aca="false">ABS(PnL!$O$14-Assumptions!$F$34*(1+Assumptions!$F$15))+ABS(PnL!$O$15-Assumptions!$F$35*(1+Assumptions!$F$16))</f>
        <v>0</v>
      </c>
      <c r="H76" s="10" t="n">
        <v>0.0001</v>
      </c>
      <c r="I76" s="7" t="str">
        <f aca="false">IF(ABS(C76)&lt;=H76,"PASS","FAIL")</f>
        <v>PASS</v>
      </c>
    </row>
    <row r="77" customFormat="false" ht="15" hidden="false" customHeight="false" outlineLevel="0" collapsed="false">
      <c r="A77" s="8" t="s">
        <v>1462</v>
      </c>
      <c r="B77" s="8" t="s">
        <v>220</v>
      </c>
      <c r="C77" s="96" t="n">
        <f aca="false">PnL!$O$20-Assumptions!$F$18*PnL!$O$19</f>
        <v>0</v>
      </c>
      <c r="H77" s="10" t="n">
        <v>0.0001</v>
      </c>
      <c r="I77" s="7" t="str">
        <f aca="false">IF(ABS(C77)&lt;=H77,"PASS","FAIL")</f>
        <v>PASS</v>
      </c>
    </row>
    <row r="78" customFormat="false" ht="15" hidden="false" customHeight="false" outlineLevel="0" collapsed="false">
      <c r="A78" s="8" t="s">
        <v>1463</v>
      </c>
      <c r="B78" s="8" t="s">
        <v>220</v>
      </c>
      <c r="C78" s="96" t="n">
        <f aca="false">ABS(PnL!$O$21-(PnL!$O$19-PnL!$O$20))+ABS(SUM(PnL!$P$21:$S$21)-PnL!$O$21)</f>
        <v>0</v>
      </c>
      <c r="H78" s="10" t="n">
        <v>0.0001</v>
      </c>
      <c r="I78" s="7" t="str">
        <f aca="false">IF(ABS(C78)&lt;=H78,"PASS","FAIL")</f>
        <v>PASS</v>
      </c>
    </row>
    <row r="79" customFormat="false" ht="15" hidden="false" customHeight="false" outlineLevel="0" collapsed="false">
      <c r="A79" s="8" t="s">
        <v>1464</v>
      </c>
      <c r="B79" s="8" t="s">
        <v>422</v>
      </c>
      <c r="C79" s="96" t="n">
        <f aca="false">FCF!$O$8-Assumptions!$F$17*Revenue!$O$23</f>
        <v>0</v>
      </c>
      <c r="H79" s="10" t="n">
        <v>0.0001</v>
      </c>
      <c r="I79" s="7" t="str">
        <f aca="false">IF(ABS(C79)&lt;=H79,"PASS","FAIL")</f>
        <v>PASS</v>
      </c>
    </row>
    <row r="80" customFormat="false" ht="15" hidden="false" customHeight="false" outlineLevel="0" collapsed="false">
      <c r="A80" s="8" t="s">
        <v>1465</v>
      </c>
      <c r="B80" s="8" t="s">
        <v>422</v>
      </c>
      <c r="C80" s="96" t="n">
        <f aca="false">FCF!$O$9-SUMPRODUCT(FCF!$C$8:$N$8,12-COLUMN(FCF!$C$8:$N$8)+COLUMN(FCF!$C$1)-1)/Assumptions!$F$85</f>
        <v>0</v>
      </c>
      <c r="H80" s="10" t="n">
        <v>0.0001</v>
      </c>
      <c r="I80" s="7" t="str">
        <f aca="false">IF(ABS(C80)&lt;=H80,"PASS","FAIL")</f>
        <v>PASS</v>
      </c>
    </row>
    <row r="81" customFormat="false" ht="15" hidden="false" customHeight="false" outlineLevel="0" collapsed="false">
      <c r="A81" s="8" t="s">
        <v>1466</v>
      </c>
      <c r="B81" s="8" t="s">
        <v>422</v>
      </c>
      <c r="C81" s="96" t="n">
        <f aca="false">FCF!$O$18-(FCF!$N$17-Assumptions!$F$92)</f>
        <v>0</v>
      </c>
      <c r="H81" s="10" t="n">
        <v>0.0001</v>
      </c>
      <c r="I81" s="7" t="str">
        <f aca="false">IF(ABS(C81)&lt;=H81,"PASS","FAIL")</f>
        <v>PASS</v>
      </c>
    </row>
    <row r="82" customFormat="false" ht="15" hidden="false" customHeight="false" outlineLevel="0" collapsed="false">
      <c r="A82" s="8" t="s">
        <v>1467</v>
      </c>
      <c r="B82" s="8" t="s">
        <v>422</v>
      </c>
      <c r="C82" s="96" t="n">
        <f aca="false">SUMPRODUCT(ABS(FCF!$C$25:$N$25-(PnL!$C$21:$N$21+FCF!$C$11:$N$11-FCF!$C$8:$N$8-FCF!$C$18:$N$18)))</f>
        <v>0</v>
      </c>
      <c r="H82" s="10" t="n">
        <v>0.0001</v>
      </c>
      <c r="I82" s="7" t="str">
        <f aca="false">IF(ABS(C82)&lt;=H82,"PASS","FAIL")</f>
        <v>PASS</v>
      </c>
    </row>
    <row r="83" customFormat="false" ht="15" hidden="false" customHeight="false" outlineLevel="0" collapsed="false">
      <c r="A83" s="8" t="s">
        <v>1468</v>
      </c>
      <c r="B83" s="8" t="s">
        <v>422</v>
      </c>
      <c r="C83" s="96" t="n">
        <f aca="false">FCF!$N$28-FCF!$O$25</f>
        <v>0</v>
      </c>
      <c r="H83" s="10" t="n">
        <v>0.0001</v>
      </c>
      <c r="I83" s="7" t="str">
        <f aca="false">IF(ABS(C83)&lt;=H83,"PASS","FAIL")</f>
        <v>PASS</v>
      </c>
    </row>
    <row r="84" customFormat="false" ht="15" hidden="false" customHeight="false" outlineLevel="0" collapsed="false">
      <c r="A84" s="8" t="s">
        <v>1469</v>
      </c>
      <c r="B84" s="8" t="s">
        <v>422</v>
      </c>
      <c r="C84" s="96" t="n">
        <f aca="false">(FCF!$O$21+FCF!$O$11-FCF!$O$18)-(PnL!$O$8-(Ops_Model!$O$101-FCF!$O$10)-PnL!$O$16-PnL!$O$20-(FCF!$N$14-Assumptions!$F$89)+(FCF!$N$16-Assumptions!$F$91))</f>
        <v>0</v>
      </c>
      <c r="H84" s="10" t="n">
        <v>0.0001</v>
      </c>
      <c r="I84" s="7" t="str">
        <f aca="false">IF(ABS(C84)&lt;=H84,"PASS","FAIL")</f>
        <v>PASS</v>
      </c>
    </row>
    <row r="85" customFormat="false" ht="15" hidden="false" customHeight="false" outlineLevel="0" collapsed="false">
      <c r="A85" s="8" t="s">
        <v>1470</v>
      </c>
      <c r="B85" s="8" t="s">
        <v>422</v>
      </c>
      <c r="C85" s="96" t="n">
        <f aca="false">SUMPRODUCT(ABS(FCF!$C$15:$N$15-Ops_Model!$C$107:$N$107))</f>
        <v>0</v>
      </c>
      <c r="H85" s="10" t="n">
        <v>0.0001</v>
      </c>
      <c r="I85" s="7" t="str">
        <f aca="false">IF(ABS(C85)&lt;=H85,"PASS","FAIL")</f>
        <v>PASS</v>
      </c>
    </row>
    <row r="86" customFormat="false" ht="15" hidden="false" customHeight="false" outlineLevel="0" collapsed="false">
      <c r="A86" s="8" t="s">
        <v>1471</v>
      </c>
      <c r="B86" s="8" t="s">
        <v>1420</v>
      </c>
      <c r="C86" s="96" t="n">
        <f aca="false">(Revenue!$B$4&lt;&gt;Assumptions!$C$6)+(PnL!$B$4&lt;&gt;Assumptions!$C$6)+(FCF!$B$4&lt;&gt;Assumptions!$C$6)</f>
        <v>0</v>
      </c>
      <c r="H86" s="10" t="n">
        <v>0</v>
      </c>
      <c r="I86" s="7" t="str">
        <f aca="false">IF(ABS(C86)&lt;=H86,"PASS","FAIL")</f>
        <v>PASS</v>
      </c>
    </row>
    <row r="87" customFormat="false" ht="15" hidden="false" customHeight="false" outlineLevel="0" collapsed="false">
      <c r="A87" s="8" t="s">
        <v>1472</v>
      </c>
      <c r="B87" s="8" t="s">
        <v>1424</v>
      </c>
      <c r="C87" s="96" t="n">
        <f aca="false">SUMPRODUCT(--(Revenue!$C$6:$N$6&lt;&gt;Ops_Model!$C$6:$N$6))+SUMPRODUCT(--(PnL!$C$6:$N$6&lt;&gt;Ops_Model!$C$6:$N$6))+SUMPRODUCT(--(FCF!$C$6:$N$6&lt;&gt;Ops_Model!$C$6:$N$6))</f>
        <v>0</v>
      </c>
      <c r="H87" s="10" t="n">
        <v>0</v>
      </c>
      <c r="I87" s="7" t="str">
        <f aca="false">IF(ABS(C87)&lt;=H87,"PASS","FAIL")</f>
        <v>PASS</v>
      </c>
    </row>
    <row r="88" customFormat="false" ht="15" hidden="false" customHeight="false" outlineLevel="0" collapsed="false">
      <c r="A88" s="18" t="s">
        <v>1442</v>
      </c>
      <c r="B88" s="19"/>
      <c r="C88" s="19" t="s">
        <v>1409</v>
      </c>
      <c r="D88" s="19" t="s">
        <v>1410</v>
      </c>
      <c r="E88" s="19" t="s">
        <v>881</v>
      </c>
      <c r="F88" s="19"/>
      <c r="G88" s="19"/>
      <c r="H88" s="19" t="s">
        <v>1383</v>
      </c>
      <c r="I88" s="19" t="s">
        <v>102</v>
      </c>
    </row>
    <row r="89" customFormat="false" ht="15" hidden="false" customHeight="false" outlineLevel="0" collapsed="false">
      <c r="A89" s="8" t="s">
        <v>1473</v>
      </c>
      <c r="C89" s="0" t="n">
        <f aca="false">100*12*60/365</f>
        <v>197.260273972603</v>
      </c>
      <c r="D89" s="10" t="n">
        <v>197.260273972603</v>
      </c>
      <c r="E89" s="0" t="n">
        <f aca="false">C89-D89</f>
        <v>0</v>
      </c>
      <c r="H89" s="10" t="n">
        <v>1E-006</v>
      </c>
      <c r="I89" s="7" t="str">
        <f aca="false">IF(ABS(E89)&lt;=H89,"PASS","FAIL")</f>
        <v>PASS</v>
      </c>
    </row>
    <row r="90" customFormat="false" ht="15" hidden="false" customHeight="false" outlineLevel="0" collapsed="false">
      <c r="A90" s="8" t="s">
        <v>1474</v>
      </c>
      <c r="C90" s="0" t="n">
        <f aca="false">60/60</f>
        <v>1</v>
      </c>
      <c r="D90" s="10" t="n">
        <v>1</v>
      </c>
      <c r="E90" s="0" t="n">
        <f aca="false">C90-D90</f>
        <v>0</v>
      </c>
      <c r="H90" s="10" t="n">
        <v>1E-006</v>
      </c>
      <c r="I90" s="7" t="str">
        <f aca="false">IF(ABS(E90)&lt;=H90,"PASS","FAIL")</f>
        <v>PASS</v>
      </c>
    </row>
    <row r="91" customFormat="false" ht="15" hidden="false" customHeight="false" outlineLevel="0" collapsed="false">
      <c r="A91" s="8" t="s">
        <v>1475</v>
      </c>
      <c r="C91" s="0" t="n">
        <f aca="false">60*(12-1)/60</f>
        <v>11</v>
      </c>
      <c r="D91" s="10" t="n">
        <v>11</v>
      </c>
      <c r="E91" s="0" t="n">
        <f aca="false">C91-D91</f>
        <v>0</v>
      </c>
      <c r="H91" s="10" t="n">
        <v>1E-006</v>
      </c>
      <c r="I91" s="7" t="str">
        <f aca="false">IF(ABS(E91)&lt;=H91,"PASS","FAIL")</f>
        <v>PASS</v>
      </c>
    </row>
    <row r="92" customFormat="false" ht="15" hidden="false" customHeight="false" outlineLevel="0" collapsed="false">
      <c r="A92" s="8" t="s">
        <v>1476</v>
      </c>
      <c r="C92" s="0" t="n">
        <f aca="false">100-100*0.18</f>
        <v>82</v>
      </c>
      <c r="D92" s="10" t="n">
        <v>82</v>
      </c>
      <c r="E92" s="0" t="n">
        <f aca="false">C92-D92</f>
        <v>0</v>
      </c>
      <c r="H92" s="10" t="n">
        <v>1E-006</v>
      </c>
      <c r="I92" s="7" t="str">
        <f aca="false">IF(ABS(E92)&lt;=H92,"PASS","FAIL")</f>
        <v>PASS</v>
      </c>
    </row>
    <row r="93" customFormat="false" ht="15" hidden="false" customHeight="false" outlineLevel="0" collapsed="false">
      <c r="A93" s="8" t="s">
        <v>1477</v>
      </c>
      <c r="C93" s="0" t="n">
        <f aca="false">600-210-104</f>
        <v>286</v>
      </c>
      <c r="D93" s="10" t="n">
        <v>286</v>
      </c>
      <c r="E93" s="0" t="n">
        <f aca="false">C93-D93</f>
        <v>0</v>
      </c>
      <c r="H93" s="10" t="n">
        <v>1E-006</v>
      </c>
      <c r="I93" s="7" t="str">
        <f aca="false">IF(ABS(E93)&lt;=H93,"PASS","FAIL")</f>
        <v>PASS</v>
      </c>
    </row>
    <row r="94" customFormat="false" ht="15" hidden="false" customHeight="false" outlineLevel="0" collapsed="false">
      <c r="A94" s="8" t="s">
        <v>1478</v>
      </c>
      <c r="C94" s="0" t="n">
        <f aca="false">(200+150-50)-280</f>
        <v>20</v>
      </c>
      <c r="D94" s="10" t="n">
        <v>20</v>
      </c>
      <c r="E94" s="0" t="n">
        <f aca="false">C94-D94</f>
        <v>0</v>
      </c>
      <c r="H94" s="10" t="n">
        <v>1E-006</v>
      </c>
      <c r="I94" s="7" t="str">
        <f aca="false">IF(ABS(E94)&lt;=H94,"PASS","FAIL")</f>
        <v>PASS</v>
      </c>
    </row>
    <row r="95" customFormat="false" ht="15" hidden="false" customHeight="false" outlineLevel="0" collapsed="false">
      <c r="A95" s="8" t="s">
        <v>1479</v>
      </c>
      <c r="C95" s="0" t="n">
        <f aca="false">82+10-30-20</f>
        <v>42</v>
      </c>
      <c r="D95" s="10" t="n">
        <v>42</v>
      </c>
      <c r="E95" s="0" t="n">
        <f aca="false">C95-D95</f>
        <v>0</v>
      </c>
      <c r="H95" s="10" t="n">
        <v>1E-006</v>
      </c>
      <c r="I95" s="7" t="str">
        <f aca="false">IF(ABS(E95)&lt;=H95,"PASS","FAIL")</f>
        <v>PASS</v>
      </c>
    </row>
    <row r="96" customFormat="false" ht="15" hidden="false" customHeight="false" outlineLevel="0" collapsed="false">
      <c r="A96" s="16" t="s">
        <v>1480</v>
      </c>
      <c r="B96" s="17"/>
      <c r="C96" s="17"/>
      <c r="D96" s="17"/>
      <c r="E96" s="17"/>
      <c r="F96" s="17"/>
      <c r="G96" s="17"/>
      <c r="H96" s="17"/>
      <c r="I96" s="17"/>
    </row>
    <row r="97" customFormat="false" ht="15" hidden="false" customHeight="false" outlineLevel="0" collapsed="false">
      <c r="A97" s="18" t="s">
        <v>1382</v>
      </c>
      <c r="B97" s="19" t="s">
        <v>96</v>
      </c>
      <c r="C97" s="19" t="s">
        <v>1409</v>
      </c>
      <c r="D97" s="19"/>
      <c r="E97" s="19"/>
      <c r="F97" s="19"/>
      <c r="G97" s="19"/>
      <c r="H97" s="19" t="s">
        <v>1383</v>
      </c>
      <c r="I97" s="19" t="s">
        <v>102</v>
      </c>
    </row>
    <row r="98" customFormat="false" ht="15" hidden="false" customHeight="false" outlineLevel="0" collapsed="false">
      <c r="A98" s="8" t="s">
        <v>1481</v>
      </c>
      <c r="B98" s="8" t="s">
        <v>1420</v>
      </c>
      <c r="C98" s="96" t="n">
        <f aca="false">ABS(Budget!$C$9-Assumptions!$D$10)+ABS(Budget!$C$10-Assumptions!$D$11)+ABS(Budget!$C$11-Assumptions!$D$12)+ABS(Budget!$C$12-Assumptions!$D$13)+ABS(Budget!$C$13-Assumptions!$D$14)+ABS(Budget!$C$14-Assumptions!$D$15)+ABS(Budget!$C$15-Assumptions!$D$16)+ABS(Budget!$C$16-Assumptions!$D$17)</f>
        <v>0</v>
      </c>
      <c r="H98" s="10" t="n">
        <v>0.0001</v>
      </c>
      <c r="I98" s="7" t="str">
        <f aca="false">IF(ABS(C98)&lt;=H98,"PASS","FAIL")</f>
        <v>PASS</v>
      </c>
    </row>
    <row r="99" customFormat="false" ht="15" hidden="false" customHeight="false" outlineLevel="0" collapsed="false">
      <c r="A99" s="8" t="s">
        <v>1482</v>
      </c>
      <c r="B99" s="8" t="s">
        <v>1420</v>
      </c>
      <c r="C99" s="96" t="n">
        <f aca="false">IF(Assumptions!$C$6="Base",SUMPRODUCT(ABS(Budget!$C$31:$N$31-Ops_Model!$C$22:$N$22))+SUMPRODUCT(ABS(Budget!$C$39:$N$39-Ops_Model!$C$30:$N$30))+SUMPRODUCT(ABS(Budget!$C$57:$N$57-Ops_Model!$C$52:$N$52))+SUMPRODUCT(ABS(Budget!$C$65:$N$65-Ops_Model!$C$60:$N$60))+SUMPRODUCT(ABS(Budget!$C$83:$N$83-Ops_Model!$C$82:$N$82))+SUMPRODUCT(ABS(Budget!$C$91:$N$91-Ops_Model!$C$90:$N$90)),0)</f>
        <v>0</v>
      </c>
      <c r="H99" s="10" t="n">
        <v>0.0001</v>
      </c>
      <c r="I99" s="7" t="str">
        <f aca="false">IF(ABS(C99)&lt;=H99,"PASS","FAIL")</f>
        <v>PASS</v>
      </c>
    </row>
    <row r="100" customFormat="false" ht="15" hidden="false" customHeight="false" outlineLevel="0" collapsed="false">
      <c r="A100" s="8" t="s">
        <v>1483</v>
      </c>
      <c r="B100" s="8" t="s">
        <v>1420</v>
      </c>
      <c r="C100" s="96" t="n">
        <f aca="false">IF(Assumptions!$C$6="Base",Budget!$O$109-PnL!$O$17,0)</f>
        <v>0</v>
      </c>
      <c r="H100" s="10" t="n">
        <v>0.0001</v>
      </c>
      <c r="I100" s="7" t="str">
        <f aca="false">IF(ABS(C100)&lt;=H100,"PASS","FAIL")</f>
        <v>PASS</v>
      </c>
    </row>
    <row r="101" customFormat="false" ht="15" hidden="false" customHeight="false" outlineLevel="0" collapsed="false">
      <c r="A101" s="8" t="s">
        <v>1484</v>
      </c>
      <c r="B101" s="8" t="s">
        <v>175</v>
      </c>
      <c r="C101" s="96" t="n">
        <f aca="false">SUMPRODUCT(ABS(Budget!$C$27:$N$27-((Budget!$C$19:$N$19&lt;Budget!$C$26:$N$26)*Budget!$C$19:$N$19+(Budget!$C$19:$N$19&gt;=Budget!$C$26:$N$26)*Budget!$C$26:$N$26)))+SUMPRODUCT(ABS(Budget!$C$22:$N$22-Budget!$C$20:$N$20*Budget!$C$21:$N$21))+SUMPRODUCT(ABS(Budget!$C$24:$N$24-Budget!$C$22:$N$22*Budget!$C$23:$N$23))+SUMPRODUCT(ABS(Budget!$C$53:$N$53-((Budget!$C$45:$N$45&lt;Budget!$C$52:$N$52)*Budget!$C$45:$N$45+(Budget!$C$45:$N$45&gt;=Budget!$C$52:$N$52)*Budget!$C$52:$N$52)))+SUMPRODUCT(ABS(Budget!$C$48:$N$48-Budget!$C$46:$N$46*Budget!$C$47:$N$47))+SUMPRODUCT(ABS(Budget!$C$50:$N$50-Budget!$C$48:$N$48*Budget!$C$49:$N$49))+SUMPRODUCT(ABS(Budget!$C$79:$N$79-((Budget!$C$71:$N$71&lt;Budget!$C$78:$N$78)*Budget!$C$71:$N$71+(Budget!$C$71:$N$71&gt;=Budget!$C$78:$N$78)*Budget!$C$78:$N$78)))+SUMPRODUCT(ABS(Budget!$C$74:$N$74-Budget!$C$72:$N$72*Budget!$C$73:$N$73))+SUMPRODUCT(ABS(Budget!$C$76:$N$76-Budget!$C$74:$N$74*Budget!$C$75:$N$75))</f>
        <v>0</v>
      </c>
      <c r="H101" s="10" t="n">
        <v>0.0001</v>
      </c>
      <c r="I101" s="7" t="str">
        <f aca="false">IF(ABS(C101)&lt;=H101,"PASS","FAIL")</f>
        <v>PASS</v>
      </c>
    </row>
    <row r="102" customFormat="false" ht="15" hidden="false" customHeight="false" outlineLevel="0" collapsed="false">
      <c r="A102" s="8" t="s">
        <v>1485</v>
      </c>
      <c r="B102" s="8" t="s">
        <v>175</v>
      </c>
      <c r="C102" s="96" t="n">
        <f aca="false">ABS(Budget!$C$37+SUM(Budget!$C$35:$N$35)-SUM(Budget!$C$39:$N$39)-Budget!$N$40)+ABS(Budget!$C$63+SUM(Budget!$C$61:$N$61)-SUM(Budget!$C$65:$N$65)-Budget!$N$66)+ABS(Budget!$C$89+SUM(Budget!$C$87:$N$87)-SUM(Budget!$C$91:$N$91)-Budget!$N$92)</f>
        <v>0</v>
      </c>
      <c r="H102" s="10" t="n">
        <v>0.0001</v>
      </c>
      <c r="I102" s="7" t="str">
        <f aca="false">IF(ABS(C102)&lt;=H102,"PASS","FAIL")</f>
        <v>PASS</v>
      </c>
    </row>
    <row r="103" customFormat="false" ht="15" hidden="false" customHeight="false" outlineLevel="0" collapsed="false">
      <c r="A103" s="8" t="s">
        <v>1486</v>
      </c>
      <c r="B103" s="8" t="s">
        <v>175</v>
      </c>
      <c r="C103" s="96" t="n">
        <f aca="false">SUMPRODUCT(--(Budget!$C$28:$N$28&lt;-0.000001))+SUMPRODUCT(--(Budget!$C$54:$N$54&lt;-0.000001))+SUMPRODUCT(--(Budget!$C$80:$N$80&lt;-0.000001))</f>
        <v>0</v>
      </c>
      <c r="H103" s="10" t="n">
        <v>0</v>
      </c>
      <c r="I103" s="7" t="str">
        <f aca="false">IF(ABS(C103)&lt;=H103,"PASS","FAIL")</f>
        <v>PASS</v>
      </c>
    </row>
    <row r="104" customFormat="false" ht="15" hidden="false" customHeight="false" outlineLevel="0" collapsed="false">
      <c r="A104" s="8" t="s">
        <v>1487</v>
      </c>
      <c r="B104" s="8" t="s">
        <v>175</v>
      </c>
      <c r="C104" s="96" t="n">
        <f aca="false">SUMPRODUCT(ABS(Actuals!$C$30:$G$30-((Actuals!$C$22:$G$22&lt;Actuals!$C$29:$G$29)*Actuals!$C$22:$G$22+(Actuals!$C$22:$G$22&gt;=Actuals!$C$29:$G$29)*Actuals!$C$29:$G$29)))+SUMPRODUCT(ABS(Actuals!$C$25:$G$25-Actuals!$C$23:$G$23*Actuals!$C$24:$G$24))+SUMPRODUCT(ABS(Actuals!$C$27:$G$27-Actuals!$C$25:$G$25*Actuals!$C$26:$G$26))+SUMPRODUCT(ABS(Actuals!$C$56:$G$56-((Actuals!$C$48:$G$48&lt;Actuals!$C$55:$G$55)*Actuals!$C$48:$G$48+(Actuals!$C$48:$G$48&gt;=Actuals!$C$55:$G$55)*Actuals!$C$55:$G$55)))+SUMPRODUCT(ABS(Actuals!$C$51:$G$51-Actuals!$C$49:$G$49*Actuals!$C$50:$G$50))+SUMPRODUCT(ABS(Actuals!$C$53:$G$53-Actuals!$C$51:$G$51*Actuals!$C$52:$G$52))+SUMPRODUCT(ABS(Actuals!$C$82:$G$82-((Actuals!$C$74:$G$74&lt;Actuals!$C$81:$G$81)*Actuals!$C$74:$G$74+(Actuals!$C$74:$G$74&gt;=Actuals!$C$81:$G$81)*Actuals!$C$81:$G$81)))+SUMPRODUCT(ABS(Actuals!$C$77:$G$77-Actuals!$C$75:$G$75*Actuals!$C$76:$G$76))+SUMPRODUCT(ABS(Actuals!$C$79:$G$79-Actuals!$C$77:$G$77*Actuals!$C$78:$G$78))</f>
        <v>0</v>
      </c>
      <c r="H104" s="10" t="n">
        <v>0.0001</v>
      </c>
      <c r="I104" s="7" t="str">
        <f aca="false">IF(ABS(C104)&lt;=H104,"PASS","FAIL")</f>
        <v>PASS</v>
      </c>
    </row>
    <row r="105" customFormat="false" ht="15" hidden="false" customHeight="false" outlineLevel="0" collapsed="false">
      <c r="A105" s="8" t="s">
        <v>1488</v>
      </c>
      <c r="B105" s="8" t="s">
        <v>175</v>
      </c>
      <c r="C105" s="96" t="n">
        <f aca="false">ABS(Actuals!$C$40+SUM(Actuals!$C$38:$G$38)-SUM(Actuals!$C$42:$G$42)-Actuals!$G$43)+ABS(Actuals!$C$66+SUM(Actuals!$C$64:$G$64)-SUM(Actuals!$C$68:$G$68)-Actuals!$G$69)+ABS(Actuals!$C$92+SUM(Actuals!$C$90:$G$90)-SUM(Actuals!$C$94:$G$94)-Actuals!$G$95)</f>
        <v>0</v>
      </c>
      <c r="H105" s="10" t="n">
        <v>0.0001</v>
      </c>
      <c r="I105" s="7" t="str">
        <f aca="false">IF(ABS(C105)&lt;=H105,"PASS","FAIL")</f>
        <v>PASS</v>
      </c>
    </row>
    <row r="106" customFormat="false" ht="15" hidden="false" customHeight="false" outlineLevel="0" collapsed="false">
      <c r="A106" s="8" t="s">
        <v>1489</v>
      </c>
      <c r="B106" s="8" t="s">
        <v>175</v>
      </c>
      <c r="C106" s="96" t="n">
        <f aca="false">SUMPRODUCT(--(Actuals!$C$31:$G$31&lt;-0.000001))+SUMPRODUCT(--(Actuals!$C$57:$G$57&lt;-0.000001))+SUMPRODUCT(--(Actuals!$C$83:$G$83&lt;-0.000001))</f>
        <v>0</v>
      </c>
      <c r="H106" s="10" t="n">
        <v>0</v>
      </c>
      <c r="I106" s="7" t="str">
        <f aca="false">IF(ABS(C106)&lt;=H106,"PASS","FAIL")</f>
        <v>PASS</v>
      </c>
    </row>
    <row r="107" customFormat="false" ht="15" hidden="false" customHeight="false" outlineLevel="0" collapsed="false">
      <c r="A107" s="8" t="s">
        <v>1490</v>
      </c>
      <c r="B107" s="8" t="s">
        <v>1491</v>
      </c>
      <c r="C107" s="96" t="n">
        <f aca="false">Variance!$C$10-(SUM(Budget!$C$31:$G$31)+SUM(Budget!$C$57:$G$57)+SUM(Budget!$C$83:$G$83))</f>
        <v>0</v>
      </c>
      <c r="H107" s="10" t="n">
        <v>0.0001</v>
      </c>
      <c r="I107" s="7" t="str">
        <f aca="false">IF(ABS(C107)&lt;=H107,"PASS","FAIL")</f>
        <v>PASS</v>
      </c>
    </row>
    <row r="108" customFormat="false" ht="15" hidden="false" customHeight="false" outlineLevel="0" collapsed="false">
      <c r="A108" s="8" t="s">
        <v>1492</v>
      </c>
      <c r="B108" s="8" t="s">
        <v>1491</v>
      </c>
      <c r="C108" s="96" t="n">
        <f aca="false">Variance!$D$10-(SUM(Actuals!$C$34:$G$34)+SUM(Actuals!$C$60:$G$60)+SUM(Actuals!$C$86:$G$86))</f>
        <v>0</v>
      </c>
      <c r="H108" s="10" t="n">
        <v>0.0001</v>
      </c>
      <c r="I108" s="7" t="str">
        <f aca="false">IF(ABS(C108)&lt;=H108,"PASS","FAIL")</f>
        <v>PASS</v>
      </c>
    </row>
    <row r="109" customFormat="false" ht="15" hidden="false" customHeight="false" outlineLevel="0" collapsed="false">
      <c r="A109" s="8" t="s">
        <v>1493</v>
      </c>
      <c r="B109" s="8" t="s">
        <v>1491</v>
      </c>
      <c r="C109" s="96" t="n">
        <f aca="false">ABS(Variance!$C$17-SUM(Budget!$C$109:$G$109))+ABS(Variance!$D$17-SUM(Actuals!$C$112:$G$112))</f>
        <v>0</v>
      </c>
      <c r="H109" s="10" t="n">
        <v>0.0001</v>
      </c>
      <c r="I109" s="7" t="str">
        <f aca="false">IF(ABS(C109)&lt;=H109,"PASS","FAIL")</f>
        <v>PASS</v>
      </c>
    </row>
    <row r="110" customFormat="false" ht="15" hidden="false" customHeight="false" outlineLevel="0" collapsed="false">
      <c r="A110" s="8" t="s">
        <v>1494</v>
      </c>
      <c r="B110" s="8" t="s">
        <v>1495</v>
      </c>
      <c r="C110" s="96" t="n">
        <f aca="false">Variance!$F$70</f>
        <v>0</v>
      </c>
      <c r="H110" s="10" t="n">
        <v>0.0001</v>
      </c>
      <c r="I110" s="7" t="str">
        <f aca="false">IF(ABS(C110)&lt;=H110,"PASS","FAIL")</f>
        <v>PASS</v>
      </c>
    </row>
    <row r="111" customFormat="false" ht="15" hidden="false" customHeight="false" outlineLevel="0" collapsed="false">
      <c r="A111" s="8" t="s">
        <v>1496</v>
      </c>
      <c r="B111" s="8" t="s">
        <v>1495</v>
      </c>
      <c r="C111" s="96" t="n">
        <f aca="false">ABS(Variance!C66+Variance!C67-(Variance!C44-Variance!C43)*Variance!C47)+ABS(Variance!D66+Variance!D67-(Variance!D44-Variance!D43)*Variance!D47)+ABS(Variance!E66+Variance!E67-(Variance!E44-Variance!E43)*Variance!E47)</f>
        <v>0</v>
      </c>
      <c r="H111" s="10" t="n">
        <v>0.0001</v>
      </c>
      <c r="I111" s="7" t="str">
        <f aca="false">IF(ABS(C111)&lt;=H111,"PASS","FAIL")</f>
        <v>PASS</v>
      </c>
    </row>
    <row r="112" customFormat="false" ht="15" hidden="false" customHeight="false" outlineLevel="0" collapsed="false">
      <c r="A112" s="8" t="s">
        <v>1497</v>
      </c>
      <c r="B112" s="8" t="s">
        <v>1495</v>
      </c>
      <c r="C112" s="96" t="n">
        <f aca="false">Variance!$F$87</f>
        <v>0</v>
      </c>
      <c r="H112" s="10" t="n">
        <v>0.0001</v>
      </c>
      <c r="I112" s="7" t="str">
        <f aca="false">IF(ABS(C112)&lt;=H112,"PASS","FAIL")</f>
        <v>PASS</v>
      </c>
    </row>
    <row r="113" customFormat="false" ht="15" hidden="false" customHeight="false" outlineLevel="0" collapsed="false">
      <c r="A113" s="8" t="s">
        <v>1498</v>
      </c>
      <c r="B113" s="8" t="s">
        <v>1495</v>
      </c>
      <c r="C113" s="96" t="n">
        <f aca="false">ABS(Variance!C79+Variance!C80+Variance!C82+Variance!C81+Variance!C44*(Variance!C50-Variance!C49))+ABS(Variance!D79+Variance!D80+Variance!D82+Variance!D81+Variance!D44*(Variance!D50-Variance!D49))+ABS(Variance!E79+Variance!E80+Variance!E82+Variance!E81+Variance!E44*(Variance!E50-Variance!E49))</f>
        <v>2.08166817117217E-014</v>
      </c>
      <c r="H113" s="10" t="n">
        <v>0.0001</v>
      </c>
      <c r="I113" s="7" t="str">
        <f aca="false">IF(ABS(C113)&lt;=H113,"PASS","FAIL")</f>
        <v>PASS</v>
      </c>
    </row>
    <row r="114" customFormat="false" ht="15" hidden="false" customHeight="false" outlineLevel="0" collapsed="false">
      <c r="A114" s="8" t="s">
        <v>1499</v>
      </c>
      <c r="B114" s="8" t="s">
        <v>1495</v>
      </c>
      <c r="C114" s="96" t="n">
        <f aca="false">Variance!$F$97-(Variance!$E$10+Variance!$E$11+Variance!$E$16)</f>
        <v>8.5265128291212E-014</v>
      </c>
      <c r="H114" s="10" t="n">
        <v>0.0001</v>
      </c>
      <c r="I114" s="7" t="str">
        <f aca="false">IF(ABS(C114)&lt;=H114,"PASS","FAIL")</f>
        <v>PASS</v>
      </c>
    </row>
    <row r="115" customFormat="false" ht="15" hidden="false" customHeight="false" outlineLevel="0" collapsed="false">
      <c r="A115" s="8" t="s">
        <v>1500</v>
      </c>
      <c r="B115" s="8" t="s">
        <v>1455</v>
      </c>
      <c r="C115" s="96" t="n">
        <f aca="false">ABS(SUM(Variance!$C$105:$G$105)-Variance!$E$10)+ABS(SUM(Variance!$C$106:$G$106)-Variance!$E$17)</f>
        <v>0</v>
      </c>
      <c r="H115" s="10" t="n">
        <v>0.0001</v>
      </c>
      <c r="I115" s="7" t="str">
        <f aca="false">IF(ABS(C115)&lt;=H115,"PASS","FAIL")</f>
        <v>PASS</v>
      </c>
    </row>
    <row r="116" customFormat="false" ht="15" hidden="false" customHeight="false" outlineLevel="0" collapsed="false">
      <c r="A116" s="8" t="s">
        <v>1501</v>
      </c>
      <c r="B116" s="8" t="s">
        <v>1424</v>
      </c>
      <c r="C116" s="96" t="n">
        <f aca="false">SUMPRODUCT(--(Actuals!$C$6:$G$6&lt;&gt;Budget!$C$6:$G$6))+(Actuals!$C$6&lt;&gt;DATE(2026,4,1))+(Actuals!$G$6&lt;&gt;DATE(2026,8,1))</f>
        <v>0</v>
      </c>
      <c r="H116" s="10" t="n">
        <v>0</v>
      </c>
      <c r="I116" s="7" t="str">
        <f aca="false">IF(ABS(C116)&lt;=H116,"PASS","FAIL")</f>
        <v>PASS</v>
      </c>
    </row>
    <row r="117" customFormat="false" ht="15" hidden="false" customHeight="false" outlineLevel="0" collapsed="false">
      <c r="A117" s="8" t="s">
        <v>1502</v>
      </c>
      <c r="B117" s="8" t="s">
        <v>175</v>
      </c>
      <c r="C117" s="96" t="n">
        <f aca="false">ABS(Budget!$C$37-Actuals!$C$40)+ABS(Budget!$C$63-Actuals!$C$66)+ABS(Budget!$C$89-Actuals!$C$92)</f>
        <v>0</v>
      </c>
      <c r="H117" s="10" t="n">
        <v>0.0001</v>
      </c>
      <c r="I117" s="7" t="str">
        <f aca="false">IF(ABS(C117)&lt;=H117,"PASS","FAIL")</f>
        <v>PASS</v>
      </c>
    </row>
    <row r="118" customFormat="false" ht="15" hidden="false" customHeight="false" outlineLevel="0" collapsed="false">
      <c r="A118" s="18" t="s">
        <v>1442</v>
      </c>
      <c r="B118" s="19"/>
      <c r="C118" s="19" t="s">
        <v>1409</v>
      </c>
      <c r="D118" s="19" t="s">
        <v>1410</v>
      </c>
      <c r="E118" s="19" t="s">
        <v>881</v>
      </c>
      <c r="F118" s="19"/>
      <c r="G118" s="19"/>
      <c r="H118" s="19" t="s">
        <v>1383</v>
      </c>
      <c r="I118" s="19" t="s">
        <v>102</v>
      </c>
    </row>
    <row r="119" customFormat="false" ht="15" hidden="false" customHeight="false" outlineLevel="0" collapsed="false">
      <c r="A119" s="8" t="s">
        <v>1503</v>
      </c>
      <c r="C119" s="0" t="n">
        <f aca="false">120*(9-10)+90*(5-5)</f>
        <v>-120</v>
      </c>
      <c r="D119" s="10" t="n">
        <v>-120</v>
      </c>
      <c r="E119" s="0" t="n">
        <f aca="false">C119-D119</f>
        <v>0</v>
      </c>
      <c r="H119" s="10" t="n">
        <v>1E-006</v>
      </c>
      <c r="I119" s="7" t="str">
        <f aca="false">IF(ABS(E119)&lt;=H119,"PASS","FAIL")</f>
        <v>PASS</v>
      </c>
    </row>
    <row r="120" customFormat="false" ht="15" hidden="false" customHeight="false" outlineLevel="0" collapsed="false">
      <c r="A120" s="8" t="s">
        <v>1504</v>
      </c>
      <c r="C120" s="0" t="n">
        <f aca="false">(210-200)*(1500/200)</f>
        <v>75</v>
      </c>
      <c r="D120" s="10" t="n">
        <v>75</v>
      </c>
      <c r="E120" s="0" t="n">
        <f aca="false">C120-D120</f>
        <v>0</v>
      </c>
      <c r="H120" s="10" t="n">
        <v>1E-006</v>
      </c>
      <c r="I120" s="7" t="str">
        <f aca="false">IF(ABS(E120)&lt;=H120,"PASS","FAIL")</f>
        <v>PASS</v>
      </c>
    </row>
    <row r="121" customFormat="false" ht="15" hidden="false" customHeight="false" outlineLevel="0" collapsed="false">
      <c r="A121" s="8" t="s">
        <v>1505</v>
      </c>
      <c r="C121" s="0" t="n">
        <f aca="false">(120/210-0.5)*210*10+(90/210-0.5)*210*5</f>
        <v>74.9999999999999</v>
      </c>
      <c r="D121" s="10" t="n">
        <v>75</v>
      </c>
      <c r="E121" s="0" t="n">
        <f aca="false">C121-D121</f>
        <v>0</v>
      </c>
      <c r="H121" s="10" t="n">
        <v>1E-006</v>
      </c>
      <c r="I121" s="7" t="str">
        <f aca="false">IF(ABS(E121)&lt;=H121,"PASS","FAIL")</f>
        <v>PASS</v>
      </c>
    </row>
    <row r="122" customFormat="false" ht="15" hidden="false" customHeight="false" outlineLevel="0" collapsed="false">
      <c r="A122" s="8" t="s">
        <v>1506</v>
      </c>
      <c r="C122" s="0" t="n">
        <f aca="false">-120+75+75</f>
        <v>30</v>
      </c>
      <c r="D122" s="10" t="n">
        <v>30</v>
      </c>
      <c r="E122" s="0" t="n">
        <f aca="false">C122-D122</f>
        <v>0</v>
      </c>
      <c r="H122" s="10" t="n">
        <v>1E-006</v>
      </c>
      <c r="I122" s="7" t="str">
        <f aca="false">IF(ABS(E122)&lt;=H122,"PASS","FAIL")</f>
        <v>PASS</v>
      </c>
    </row>
    <row r="123" customFormat="false" ht="15" hidden="false" customHeight="false" outlineLevel="0" collapsed="false">
      <c r="A123" s="8" t="s">
        <v>1507</v>
      </c>
      <c r="C123" s="0" t="n">
        <f aca="false">-1*(105-90/0.9)</f>
        <v>-5</v>
      </c>
      <c r="D123" s="10" t="n">
        <v>-5</v>
      </c>
      <c r="E123" s="0" t="n">
        <f aca="false">C123-D123</f>
        <v>0</v>
      </c>
      <c r="H123" s="10" t="n">
        <v>1E-006</v>
      </c>
      <c r="I123" s="7" t="str">
        <f aca="false">IF(ABS(E123)&lt;=H123,"PASS","FAIL")</f>
        <v>PASS</v>
      </c>
    </row>
    <row r="124" customFormat="false" ht="15" hidden="false" customHeight="false" outlineLevel="0" collapsed="false">
      <c r="A124" s="8" t="s">
        <v>1508</v>
      </c>
      <c r="C124" s="0" t="n">
        <f aca="false">-105*(1.1-1)</f>
        <v>-10.5</v>
      </c>
      <c r="D124" s="10" t="n">
        <v>-10.5</v>
      </c>
      <c r="E124" s="0" t="n">
        <f aca="false">C124-D124</f>
        <v>0</v>
      </c>
      <c r="H124" s="10" t="n">
        <v>1E-006</v>
      </c>
      <c r="I124" s="7" t="str">
        <f aca="false">IF(ABS(E124)&lt;=H124,"PASS","FAIL")</f>
        <v>PASS</v>
      </c>
    </row>
    <row r="125" customFormat="false" ht="15" hidden="false" customHeight="false" outlineLevel="0" collapsed="false">
      <c r="A125" s="8" t="s">
        <v>1509</v>
      </c>
      <c r="C125" s="0" t="n">
        <f aca="false">-(90-87.5)</f>
        <v>-2.5</v>
      </c>
      <c r="D125" s="10" t="n">
        <v>-2.5</v>
      </c>
      <c r="E125" s="0" t="n">
        <f aca="false">C125-D125</f>
        <v>0</v>
      </c>
      <c r="H125" s="10" t="n">
        <v>1E-006</v>
      </c>
      <c r="I125" s="7" t="str">
        <f aca="false">IF(ABS(E125)&lt;=H125,"PASS","FAIL")</f>
        <v>PASS</v>
      </c>
    </row>
    <row r="126" customFormat="false" ht="15" hidden="false" customHeight="false" outlineLevel="0" collapsed="false">
      <c r="A126" s="16" t="s">
        <v>1510</v>
      </c>
      <c r="B126" s="17"/>
      <c r="C126" s="17"/>
      <c r="D126" s="17"/>
      <c r="E126" s="17"/>
      <c r="F126" s="17"/>
      <c r="G126" s="17"/>
      <c r="H126" s="17"/>
      <c r="I126" s="17"/>
    </row>
    <row r="127" customFormat="false" ht="15" hidden="false" customHeight="false" outlineLevel="0" collapsed="false">
      <c r="A127" s="18" t="s">
        <v>1382</v>
      </c>
      <c r="B127" s="19" t="s">
        <v>96</v>
      </c>
      <c r="C127" s="19" t="s">
        <v>1409</v>
      </c>
      <c r="D127" s="19"/>
      <c r="E127" s="19"/>
      <c r="F127" s="19"/>
      <c r="G127" s="19"/>
      <c r="H127" s="19" t="s">
        <v>1383</v>
      </c>
      <c r="I127" s="19" t="s">
        <v>102</v>
      </c>
    </row>
    <row r="128" customFormat="false" ht="15" hidden="false" customHeight="false" outlineLevel="0" collapsed="false">
      <c r="A128" s="8" t="s">
        <v>1511</v>
      </c>
      <c r="B128" s="8" t="s">
        <v>1512</v>
      </c>
      <c r="C128" s="96" t="n">
        <f aca="false">Capex!$F$65-SUMPRODUCT(Capex!$C$58:$I$58,1/(1+Capex!$F$16)^Capex!$C$37:$I$37)</f>
        <v>0</v>
      </c>
      <c r="H128" s="10" t="n">
        <v>0.0001</v>
      </c>
      <c r="I128" s="7" t="str">
        <f aca="false">IF(ABS(C128)&lt;=H128,"PASS","FAIL")</f>
        <v>PASS</v>
      </c>
    </row>
    <row r="129" customFormat="false" ht="15" hidden="false" customHeight="false" outlineLevel="0" collapsed="false">
      <c r="A129" s="8" t="s">
        <v>1513</v>
      </c>
      <c r="B129" s="8" t="s">
        <v>1512</v>
      </c>
      <c r="C129" s="96" t="n">
        <f aca="false">IF(ISNUMBER(Capex!$F$66),SUMPRODUCT(Capex!$C$58:$I$58,1/(1+Capex!$F$66)^Capex!$C$37:$I$37),0)</f>
        <v>0</v>
      </c>
      <c r="H129" s="10" t="n">
        <v>0.001</v>
      </c>
      <c r="I129" s="7" t="str">
        <f aca="false">IF(ABS(C129)&lt;=H129,"PASS","FAIL")</f>
        <v>PASS</v>
      </c>
    </row>
    <row r="130" customFormat="false" ht="15" hidden="false" customHeight="false" outlineLevel="0" collapsed="false">
      <c r="A130" s="8" t="s">
        <v>1514</v>
      </c>
      <c r="B130" s="8" t="s">
        <v>1515</v>
      </c>
      <c r="C130" s="96" t="n">
        <f aca="false">SUMPRODUCT(ABS(Capex!$D$50:$I$50-((Capex!$D$42:$I$42-Capex!$D$41:$I$41)*Capex!$D$40:$I$40-Capex!$C$27*(Capex!$D$42:$I$42/Capex!$C$29-Capex!$D$41:$I$41/Capex!$C$28)+Capex!$F$10-Capex!$F$11)))</f>
        <v>0</v>
      </c>
      <c r="H130" s="10" t="n">
        <v>0.0001</v>
      </c>
      <c r="I130" s="7" t="str">
        <f aca="false">IF(ABS(C130)&lt;=H130,"PASS","FAIL")</f>
        <v>PASS</v>
      </c>
    </row>
    <row r="131" customFormat="false" ht="15" hidden="false" customHeight="false" outlineLevel="0" collapsed="false">
      <c r="A131" s="8" t="s">
        <v>1516</v>
      </c>
      <c r="B131" s="8" t="s">
        <v>1515</v>
      </c>
      <c r="C131" s="96" t="n">
        <f aca="false">SUMPRODUCT(--(Capex!$D$42:$I$42&lt;Capex!$D$41:$I$41-0.000001))+SUMPRODUCT(--(Capex!$D$42:$I$42&gt;Capex!$D$39:$I$39+0.000001))</f>
        <v>0</v>
      </c>
      <c r="H131" s="10" t="n">
        <v>0</v>
      </c>
      <c r="I131" s="7" t="str">
        <f aca="false">IF(ABS(C131)&lt;=H131,"PASS","FAIL")</f>
        <v>PASS</v>
      </c>
    </row>
    <row r="132" customFormat="false" ht="15" hidden="false" customHeight="false" outlineLevel="0" collapsed="false">
      <c r="A132" s="8" t="s">
        <v>1517</v>
      </c>
      <c r="B132" s="8" t="s">
        <v>1515</v>
      </c>
      <c r="C132" s="96" t="n">
        <f aca="false">ABS(SUM(Capex!$C$51:$I$51)-(Capex!$F$19-Capex!$F$13))+ABS(SUM(Capex!$C$56:$I$56))</f>
        <v>0</v>
      </c>
      <c r="H132" s="10" t="n">
        <v>0.0001</v>
      </c>
      <c r="I132" s="7" t="str">
        <f aca="false">IF(ABS(C132)&lt;=H132,"PASS","FAIL")</f>
        <v>PASS</v>
      </c>
    </row>
    <row r="133" customFormat="false" ht="15" hidden="false" customHeight="false" outlineLevel="0" collapsed="false">
      <c r="A133" s="8" t="s">
        <v>1518</v>
      </c>
      <c r="B133" s="8" t="s">
        <v>1515</v>
      </c>
      <c r="C133" s="96" t="n">
        <f aca="false">Capex!$I$61-SUM(Capex!$C$58:$I$58)</f>
        <v>0</v>
      </c>
      <c r="H133" s="10" t="n">
        <v>0.0001</v>
      </c>
      <c r="I133" s="7" t="str">
        <f aca="false">IF(ABS(C133)&lt;=H133,"PASS","FAIL")</f>
        <v>PASS</v>
      </c>
    </row>
    <row r="134" customFormat="false" ht="15" hidden="false" customHeight="false" outlineLevel="0" collapsed="false">
      <c r="A134" s="8" t="s">
        <v>1519</v>
      </c>
      <c r="B134" s="8" t="s">
        <v>1512</v>
      </c>
      <c r="C134" s="96" t="n">
        <f aca="false">Capex!$F$103-SUMPRODUCT(Capex!$C$96:$I$96,1/(1+Capex!$F$16)^Capex!$C$75:$I$75)</f>
        <v>0</v>
      </c>
      <c r="H134" s="10" t="n">
        <v>0.0001</v>
      </c>
      <c r="I134" s="7" t="str">
        <f aca="false">IF(ABS(C134)&lt;=H134,"PASS","FAIL")</f>
        <v>PASS</v>
      </c>
    </row>
    <row r="135" customFormat="false" ht="15" hidden="false" customHeight="false" outlineLevel="0" collapsed="false">
      <c r="A135" s="8" t="s">
        <v>1520</v>
      </c>
      <c r="B135" s="8" t="s">
        <v>1512</v>
      </c>
      <c r="C135" s="96" t="n">
        <f aca="false">IF(ISNUMBER(Capex!$F$104),SUMPRODUCT(Capex!$C$96:$I$96,1/(1+Capex!$F$104)^Capex!$C$75:$I$75),0)</f>
        <v>5.6399329650958E-014</v>
      </c>
      <c r="H135" s="10" t="n">
        <v>0.001</v>
      </c>
      <c r="I135" s="7" t="str">
        <f aca="false">IF(ABS(C135)&lt;=H135,"PASS","FAIL")</f>
        <v>PASS</v>
      </c>
    </row>
    <row r="136" customFormat="false" ht="15" hidden="false" customHeight="false" outlineLevel="0" collapsed="false">
      <c r="A136" s="8" t="s">
        <v>1521</v>
      </c>
      <c r="B136" s="8" t="s">
        <v>1515</v>
      </c>
      <c r="C136" s="96" t="n">
        <f aca="false">SUMPRODUCT(ABS(Capex!$D$88:$I$88-((Capex!$D$80:$I$80-Capex!$D$79:$I$79)*Capex!$D$78:$I$78-Capex!$D$27*(Capex!$D$80:$I$80/Capex!$D$29-Capex!$D$79:$I$79/Capex!$D$28)+Capex!$F$10-Capex!$F$11)))</f>
        <v>1.24344978758018E-014</v>
      </c>
      <c r="H136" s="10" t="n">
        <v>0.0001</v>
      </c>
      <c r="I136" s="7" t="str">
        <f aca="false">IF(ABS(C136)&lt;=H136,"PASS","FAIL")</f>
        <v>PASS</v>
      </c>
    </row>
    <row r="137" customFormat="false" ht="15" hidden="false" customHeight="false" outlineLevel="0" collapsed="false">
      <c r="A137" s="8" t="s">
        <v>1522</v>
      </c>
      <c r="B137" s="8" t="s">
        <v>1515</v>
      </c>
      <c r="C137" s="96" t="n">
        <f aca="false">SUMPRODUCT(--(Capex!$D$80:$I$80&lt;Capex!$D$79:$I$79-0.000001))+SUMPRODUCT(--(Capex!$D$80:$I$80&gt;Capex!$D$77:$I$77+0.000001))</f>
        <v>0</v>
      </c>
      <c r="H137" s="10" t="n">
        <v>0</v>
      </c>
      <c r="I137" s="7" t="str">
        <f aca="false">IF(ABS(C137)&lt;=H137,"PASS","FAIL")</f>
        <v>PASS</v>
      </c>
    </row>
    <row r="138" customFormat="false" ht="15" hidden="false" customHeight="false" outlineLevel="0" collapsed="false">
      <c r="A138" s="8" t="s">
        <v>1523</v>
      </c>
      <c r="B138" s="8" t="s">
        <v>1515</v>
      </c>
      <c r="C138" s="96" t="n">
        <f aca="false">ABS(SUM(Capex!$C$89:$I$89)-(Capex!$F$19-Capex!$F$13))+ABS(SUM(Capex!$C$94:$I$94))</f>
        <v>0</v>
      </c>
      <c r="H138" s="10" t="n">
        <v>0.0001</v>
      </c>
      <c r="I138" s="7" t="str">
        <f aca="false">IF(ABS(C138)&lt;=H138,"PASS","FAIL")</f>
        <v>PASS</v>
      </c>
    </row>
    <row r="139" customFormat="false" ht="15" hidden="false" customHeight="false" outlineLevel="0" collapsed="false">
      <c r="A139" s="8" t="s">
        <v>1524</v>
      </c>
      <c r="B139" s="8" t="s">
        <v>1515</v>
      </c>
      <c r="C139" s="96" t="n">
        <f aca="false">Capex!$I$99-SUM(Capex!$C$96:$I$96)</f>
        <v>0</v>
      </c>
      <c r="H139" s="10" t="n">
        <v>0.0001</v>
      </c>
      <c r="I139" s="7" t="str">
        <f aca="false">IF(ABS(C139)&lt;=H139,"PASS","FAIL")</f>
        <v>PASS</v>
      </c>
    </row>
    <row r="140" customFormat="false" ht="15" hidden="false" customHeight="false" outlineLevel="0" collapsed="false">
      <c r="A140" s="8" t="s">
        <v>1525</v>
      </c>
      <c r="B140" s="8" t="s">
        <v>1512</v>
      </c>
      <c r="C140" s="96" t="n">
        <f aca="false">Capex!$F$141-SUMPRODUCT(Capex!$C$134:$I$134,1/(1+Capex!$F$16)^Capex!$C$113:$I$113)</f>
        <v>0</v>
      </c>
      <c r="H140" s="10" t="n">
        <v>0.0001</v>
      </c>
      <c r="I140" s="7" t="str">
        <f aca="false">IF(ABS(C140)&lt;=H140,"PASS","FAIL")</f>
        <v>PASS</v>
      </c>
    </row>
    <row r="141" customFormat="false" ht="15" hidden="false" customHeight="false" outlineLevel="0" collapsed="false">
      <c r="A141" s="8" t="s">
        <v>1526</v>
      </c>
      <c r="B141" s="8" t="s">
        <v>1512</v>
      </c>
      <c r="C141" s="96" t="n">
        <f aca="false">IF(ISNUMBER(Capex!$F$142),SUMPRODUCT(Capex!$C$134:$I$134,1/(1+Capex!$F$142)^Capex!$C$113:$I$113),0)</f>
        <v>4.9960036108132E-015</v>
      </c>
      <c r="H141" s="10" t="n">
        <v>0.001</v>
      </c>
      <c r="I141" s="7" t="str">
        <f aca="false">IF(ABS(C141)&lt;=H141,"PASS","FAIL")</f>
        <v>PASS</v>
      </c>
    </row>
    <row r="142" customFormat="false" ht="15" hidden="false" customHeight="false" outlineLevel="0" collapsed="false">
      <c r="A142" s="8" t="s">
        <v>1527</v>
      </c>
      <c r="B142" s="8" t="s">
        <v>1515</v>
      </c>
      <c r="C142" s="96" t="n">
        <f aca="false">SUMPRODUCT(ABS(Capex!$D$126:$I$126-((Capex!$D$118:$I$118-Capex!$D$117:$I$117)*Capex!$D$116:$I$116-Capex!$E$27*(Capex!$D$118:$I$118/Capex!$E$29-Capex!$D$117:$I$117/Capex!$E$28)+Capex!$F$10-Capex!$F$11)))</f>
        <v>0</v>
      </c>
      <c r="H142" s="10" t="n">
        <v>0.0001</v>
      </c>
      <c r="I142" s="7" t="str">
        <f aca="false">IF(ABS(C142)&lt;=H142,"PASS","FAIL")</f>
        <v>PASS</v>
      </c>
    </row>
    <row r="143" customFormat="false" ht="15" hidden="false" customHeight="false" outlineLevel="0" collapsed="false">
      <c r="A143" s="8" t="s">
        <v>1528</v>
      </c>
      <c r="B143" s="8" t="s">
        <v>1515</v>
      </c>
      <c r="C143" s="96" t="n">
        <f aca="false">SUMPRODUCT(--(Capex!$D$118:$I$118&lt;Capex!$D$117:$I$117-0.000001))+SUMPRODUCT(--(Capex!$D$118:$I$118&gt;Capex!$D$115:$I$115+0.000001))</f>
        <v>0</v>
      </c>
      <c r="H143" s="10" t="n">
        <v>0</v>
      </c>
      <c r="I143" s="7" t="str">
        <f aca="false">IF(ABS(C143)&lt;=H143,"PASS","FAIL")</f>
        <v>PASS</v>
      </c>
    </row>
    <row r="144" customFormat="false" ht="15" hidden="false" customHeight="false" outlineLevel="0" collapsed="false">
      <c r="A144" s="8" t="s">
        <v>1529</v>
      </c>
      <c r="B144" s="8" t="s">
        <v>1515</v>
      </c>
      <c r="C144" s="96" t="n">
        <f aca="false">ABS(SUM(Capex!$C$127:$I$127)-(Capex!$F$19-Capex!$F$13))+ABS(SUM(Capex!$C$132:$I$132))</f>
        <v>0</v>
      </c>
      <c r="H144" s="10" t="n">
        <v>0.0001</v>
      </c>
      <c r="I144" s="7" t="str">
        <f aca="false">IF(ABS(C144)&lt;=H144,"PASS","FAIL")</f>
        <v>PASS</v>
      </c>
    </row>
    <row r="145" customFormat="false" ht="15" hidden="false" customHeight="false" outlineLevel="0" collapsed="false">
      <c r="A145" s="8" t="s">
        <v>1530</v>
      </c>
      <c r="B145" s="8" t="s">
        <v>1515</v>
      </c>
      <c r="C145" s="96" t="n">
        <f aca="false">Capex!$I$137-SUM(Capex!$C$134:$I$134)</f>
        <v>0</v>
      </c>
      <c r="H145" s="10" t="n">
        <v>0.0001</v>
      </c>
      <c r="I145" s="7" t="str">
        <f aca="false">IF(ABS(C145)&lt;=H145,"PASS","FAIL")</f>
        <v>PASS</v>
      </c>
    </row>
    <row r="146" customFormat="false" ht="15" hidden="false" customHeight="false" outlineLevel="0" collapsed="false">
      <c r="A146" s="8" t="s">
        <v>1531</v>
      </c>
      <c r="B146" s="8" t="s">
        <v>1420</v>
      </c>
      <c r="C146" s="96" t="n">
        <f aca="false">IF(Assumptions!$C$6="Base",Capex!$D$25-Assumptions!$E$62,0)</f>
        <v>0</v>
      </c>
      <c r="H146" s="10" t="n">
        <v>0.0001</v>
      </c>
      <c r="I146" s="7" t="str">
        <f aca="false">IF(ABS(C146)&lt;=H146,"PASS","FAIL")</f>
        <v>PASS</v>
      </c>
    </row>
    <row r="147" customFormat="false" ht="15" hidden="false" customHeight="false" outlineLevel="0" collapsed="false">
      <c r="A147" s="8" t="s">
        <v>1532</v>
      </c>
      <c r="B147" s="8" t="s">
        <v>1420</v>
      </c>
      <c r="C147" s="96" t="n">
        <f aca="false">ABS(Capex!$C$30-Assumptions!$C$18)+ABS(Capex!$D$30-Assumptions!$D$18)+ABS(Capex!$E$30-Assumptions!$E$18)</f>
        <v>0</v>
      </c>
      <c r="H147" s="10" t="n">
        <v>0.0001</v>
      </c>
      <c r="I147" s="7" t="str">
        <f aca="false">IF(ABS(C147)&lt;=H147,"PASS","FAIL")</f>
        <v>PASS</v>
      </c>
    </row>
    <row r="148" customFormat="false" ht="15" hidden="false" customHeight="false" outlineLevel="0" collapsed="false">
      <c r="A148" s="8" t="s">
        <v>1533</v>
      </c>
      <c r="B148" s="8" t="s">
        <v>1420</v>
      </c>
      <c r="C148" s="96" t="n">
        <f aca="false">Capex!$F$151-INDEX(Capex!$C$151:$E$151,1,Assumptions!$D$6)</f>
        <v>0</v>
      </c>
      <c r="H148" s="10" t="n">
        <v>0.0001</v>
      </c>
      <c r="I148" s="7" t="str">
        <f aca="false">IF(ABS(C148)&lt;=H148,"PASS","FAIL")</f>
        <v>PASS</v>
      </c>
    </row>
    <row r="149" customFormat="false" ht="15" hidden="false" customHeight="false" outlineLevel="0" collapsed="false">
      <c r="A149" s="18" t="s">
        <v>1442</v>
      </c>
      <c r="B149" s="19"/>
      <c r="C149" s="19" t="s">
        <v>1409</v>
      </c>
      <c r="D149" s="19" t="s">
        <v>1410</v>
      </c>
      <c r="E149" s="19" t="s">
        <v>881</v>
      </c>
      <c r="F149" s="19"/>
      <c r="G149" s="19"/>
      <c r="H149" s="19" t="s">
        <v>1383</v>
      </c>
      <c r="I149" s="19" t="s">
        <v>102</v>
      </c>
    </row>
    <row r="150" customFormat="false" ht="15" hidden="false" customHeight="false" outlineLevel="0" collapsed="false">
      <c r="A150" s="8" t="s">
        <v>1534</v>
      </c>
      <c r="C150" s="97" t="n">
        <f aca="false">-100+NPV(0.1,60,60)</f>
        <v>4.13223140495867</v>
      </c>
      <c r="D150" s="10" t="n">
        <v>4.13223140495867</v>
      </c>
      <c r="E150" s="97" t="n">
        <f aca="false">C150-D150</f>
        <v>0</v>
      </c>
      <c r="H150" s="10" t="n">
        <v>1E-006</v>
      </c>
      <c r="I150" s="7" t="str">
        <f aca="false">IF(ABS(E150)&lt;=H150,"PASS","FAIL")</f>
        <v>PASS</v>
      </c>
    </row>
    <row r="151" customFormat="false" ht="15" hidden="false" customHeight="false" outlineLevel="0" collapsed="false">
      <c r="A151" s="8" t="s">
        <v>1535</v>
      </c>
      <c r="C151" s="98" t="n">
        <f aca="false">IRR({-100,60,60})</f>
        <v>0.130662386291807</v>
      </c>
      <c r="D151" s="10" t="n">
        <v>0.130662386</v>
      </c>
      <c r="E151" s="98" t="n">
        <f aca="false">C151-D151</f>
        <v>2.91807467078797E-010</v>
      </c>
      <c r="H151" s="10" t="n">
        <v>1E-006</v>
      </c>
      <c r="I151" s="7" t="str">
        <f aca="false">IF(ABS(E151)&lt;=H151,"PASS","FAIL")</f>
        <v>PASS</v>
      </c>
    </row>
    <row r="152" customFormat="false" ht="15" hidden="false" customHeight="false" outlineLevel="0" collapsed="false">
      <c r="A152" s="8" t="s">
        <v>1536</v>
      </c>
      <c r="C152" s="0" t="n">
        <f aca="false">1+40/60</f>
        <v>1.66666666666667</v>
      </c>
      <c r="D152" s="10" t="n">
        <v>1.66666666666667</v>
      </c>
      <c r="E152" s="0" t="n">
        <f aca="false">C152-D152</f>
        <v>0</v>
      </c>
      <c r="H152" s="10" t="n">
        <v>1E-006</v>
      </c>
      <c r="I152" s="7" t="str">
        <f aca="false">IF(ABS(E152)&lt;=H152,"PASS","FAIL")</f>
        <v>PASS</v>
      </c>
    </row>
    <row r="153" customFormat="false" ht="15" hidden="false" customHeight="false" outlineLevel="0" collapsed="false">
      <c r="A153" s="8" t="s">
        <v>1537</v>
      </c>
      <c r="C153" s="0" t="n">
        <f aca="false">1/1.09^3</f>
        <v>0.772183480061064</v>
      </c>
      <c r="D153" s="10" t="n">
        <v>0.772183480061064</v>
      </c>
      <c r="E153" s="0" t="n">
        <f aca="false">C153-D153</f>
        <v>0</v>
      </c>
      <c r="H153" s="10" t="n">
        <v>1E-006</v>
      </c>
      <c r="I153" s="7" t="str">
        <f aca="false">IF(ABS(E153)&lt;=H153,"PASS","FAIL")</f>
        <v>PASS</v>
      </c>
    </row>
    <row r="154" customFormat="false" ht="15" hidden="false" customHeight="false" outlineLevel="0" collapsed="false">
      <c r="A154" s="8" t="s">
        <v>1538</v>
      </c>
      <c r="C154" s="0" t="n">
        <f aca="false">-(-20)/80</f>
        <v>0.25</v>
      </c>
      <c r="D154" s="10" t="n">
        <v>0.25</v>
      </c>
      <c r="E154" s="0" t="n">
        <f aca="false">C154-D154</f>
        <v>0</v>
      </c>
      <c r="H154" s="10" t="n">
        <v>1E-006</v>
      </c>
      <c r="I154" s="7" t="str">
        <f aca="false">IF(ABS(E154)&lt;=H154,"PASS","FAIL")</f>
        <v>PASS</v>
      </c>
    </row>
    <row r="155" customFormat="false" ht="15" hidden="false" customHeight="false" outlineLevel="0" collapsed="false">
      <c r="A155" s="8" t="s">
        <v>1539</v>
      </c>
      <c r="C155" s="0" t="n">
        <f aca="false">10*(1/0.85-1/0.88)</f>
        <v>0.401069518716577</v>
      </c>
      <c r="D155" s="10" t="n">
        <v>0.401069518716577</v>
      </c>
      <c r="E155" s="0" t="n">
        <f aca="false">C155-D155</f>
        <v>0</v>
      </c>
      <c r="H155" s="10" t="n">
        <v>1E-006</v>
      </c>
      <c r="I155" s="7" t="str">
        <f aca="false">IF(ABS(E155)&lt;=H155,"PASS","FAIL")</f>
        <v>PASS</v>
      </c>
    </row>
    <row r="156" customFormat="false" ht="15" hidden="false" customHeight="false" outlineLevel="0" collapsed="false">
      <c r="A156" s="8" t="s">
        <v>1540</v>
      </c>
      <c r="C156" s="0" t="n">
        <f aca="false">27/6*0.18</f>
        <v>0.81</v>
      </c>
      <c r="D156" s="10" t="n">
        <v>0.81</v>
      </c>
      <c r="E156" s="0" t="n">
        <f aca="false">C156-D156</f>
        <v>0</v>
      </c>
      <c r="H156" s="10" t="n">
        <v>1E-006</v>
      </c>
      <c r="I156" s="7" t="str">
        <f aca="false">IF(ABS(E156)&lt;=H156,"PASS","FAIL")</f>
        <v>PASS</v>
      </c>
    </row>
    <row r="157" customFormat="false" ht="15" hidden="false" customHeight="false" outlineLevel="0" collapsed="false">
      <c r="A157" s="16" t="s">
        <v>1541</v>
      </c>
      <c r="B157" s="17"/>
      <c r="C157" s="17"/>
      <c r="D157" s="17"/>
      <c r="E157" s="17"/>
      <c r="F157" s="17"/>
      <c r="G157" s="17"/>
      <c r="H157" s="17"/>
      <c r="I157" s="17"/>
    </row>
    <row r="158" customFormat="false" ht="15" hidden="false" customHeight="false" outlineLevel="0" collapsed="false">
      <c r="A158" s="18" t="s">
        <v>1382</v>
      </c>
      <c r="B158" s="19" t="s">
        <v>96</v>
      </c>
      <c r="C158" s="19" t="s">
        <v>1409</v>
      </c>
      <c r="D158" s="19"/>
      <c r="E158" s="19"/>
      <c r="F158" s="19"/>
      <c r="G158" s="19"/>
      <c r="H158" s="19" t="s">
        <v>1383</v>
      </c>
      <c r="I158" s="19" t="s">
        <v>102</v>
      </c>
    </row>
    <row r="159" customFormat="false" ht="15" hidden="false" customHeight="false" outlineLevel="0" collapsed="false">
      <c r="A159" s="8" t="s">
        <v>1542</v>
      </c>
      <c r="B159" s="8" t="s">
        <v>1543</v>
      </c>
      <c r="C159" s="96" t="n">
        <f aca="false">(ROWS(Dash_Export!$A$19:$A$30)&lt;&gt;12)+(SUMPRODUCT(1/COUNTIF(Dash_Export!$A$19:$A$30,Dash_Export!$A$19:$A$30))&lt;&gt;12)+(INDEX(Dash_Export!$A$19:$A$30,1)&lt;&gt;DATE(2026,4,1))+(INDEX(Dash_Export!$A$19:$A$30,12)&lt;&gt;DATE(2027,3,1))</f>
        <v>0</v>
      </c>
      <c r="H159" s="10" t="n">
        <v>0</v>
      </c>
      <c r="I159" s="7" t="str">
        <f aca="false">IF(ABS(C159)&lt;=H159,"PASS","FAIL")</f>
        <v>PASS</v>
      </c>
    </row>
    <row r="160" customFormat="false" ht="15" hidden="false" customHeight="false" outlineLevel="0" collapsed="false">
      <c r="A160" s="8" t="s">
        <v>1544</v>
      </c>
      <c r="B160" s="8" t="s">
        <v>1543</v>
      </c>
      <c r="C160" s="96" t="n">
        <f aca="false">(ROWS(Dash_Export!$A$34:$A$69)&lt;&gt;36)+(SUMPRODUCT(1/COUNTIFS(Dash_Export!$A$34:$A$69,Dash_Export!$A$34:$A$69,Dash_Export!$B$34:$B$69,Dash_Export!$B$34:$B$69))&lt;&gt;36)+(COUNTIF(Dash_Export!$B$34:$B$69,"MCU")&lt;&gt;12)+(COUNTIF(Dash_Export!$B$34:$B$69,"ANALOG")&lt;&gt;12)+(COUNTIF(Dash_Export!$B$34:$B$69,"FPGA")&lt;&gt;12)</f>
        <v>0</v>
      </c>
      <c r="H160" s="10" t="n">
        <v>0</v>
      </c>
      <c r="I160" s="7" t="str">
        <f aca="false">IF(ABS(C160)&lt;=H160,"PASS","FAIL")</f>
        <v>PASS</v>
      </c>
    </row>
    <row r="161" customFormat="false" ht="15" hidden="false" customHeight="false" outlineLevel="0" collapsed="false">
      <c r="A161" s="8" t="s">
        <v>1545</v>
      </c>
      <c r="B161" s="8" t="s">
        <v>1543</v>
      </c>
      <c r="C161" s="96" t="n">
        <f aca="false">COUNTBLANK(Dash_Export!$D$19:$D$30)+COUNTBLANK(Dash_Export!$H$19:$H$30)+COUNTBLANK(Dash_Export!$L$19:$L$30)+COUNTBLANK(Dash_Export!$I$34:$I$69)</f>
        <v>0</v>
      </c>
      <c r="H161" s="10" t="n">
        <v>0</v>
      </c>
      <c r="I161" s="7" t="str">
        <f aca="false">IF(ABS(C161)&lt;=H161,"PASS","FAIL")</f>
        <v>PASS</v>
      </c>
    </row>
    <row r="162" customFormat="false" ht="15" hidden="false" customHeight="false" outlineLevel="0" collapsed="false">
      <c r="A162" s="8" t="s">
        <v>1546</v>
      </c>
      <c r="B162" s="8" t="s">
        <v>1424</v>
      </c>
      <c r="C162" s="96" t="n">
        <f aca="false">(COUNT(Dash_Export!$R$19:$R$30)&lt;&gt;5)+(COUNTIF(Dash_Export!$C$19:$C$30,"Actual")&lt;&gt;5)</f>
        <v>0</v>
      </c>
      <c r="H162" s="10" t="n">
        <v>0</v>
      </c>
      <c r="I162" s="7" t="str">
        <f aca="false">IF(ABS(C162)&lt;=H162,"PASS","FAIL")</f>
        <v>PASS</v>
      </c>
    </row>
    <row r="163" customFormat="false" ht="15" hidden="false" customHeight="false" outlineLevel="0" collapsed="false">
      <c r="A163" s="8" t="s">
        <v>1547</v>
      </c>
      <c r="B163" s="8" t="s">
        <v>1548</v>
      </c>
      <c r="C163" s="96" t="n">
        <f aca="false">ABS(SUM(Dash_Export!$D$19:$D$30)-PnL!$O$8)+ABS(SUM(Dash_Export!$H$19:$H$30)-PnL!$O$17)+ABS(SUM(Dash_Export!$L$19:$L$30)-FCF!$O$25)</f>
        <v>0</v>
      </c>
      <c r="H163" s="10" t="n">
        <v>0.0001</v>
      </c>
      <c r="I163" s="7" t="str">
        <f aca="false">IF(ABS(C163)&lt;=H163,"PASS","FAIL")</f>
        <v>PASS</v>
      </c>
    </row>
    <row r="164" customFormat="false" ht="15" hidden="false" customHeight="false" outlineLevel="0" collapsed="false">
      <c r="A164" s="8" t="s">
        <v>1549</v>
      </c>
      <c r="B164" s="8" t="s">
        <v>1548</v>
      </c>
      <c r="C164" s="96" t="n">
        <f aca="false">ABS(SUM(Dash_Export!$I$34:$I$69)-PnL!$O$8)+ABS(SUM(Dash_Export!$C$73:$C$75)-PnL!$O$8)+ABS(SUM(Dash_Export!$G$73:$G$75)-Ops_Model!$O$105)</f>
        <v>0</v>
      </c>
      <c r="H164" s="10" t="n">
        <v>0.0001</v>
      </c>
      <c r="I164" s="7" t="str">
        <f aca="false">IF(ABS(C164)&lt;=H164,"PASS","FAIL")</f>
        <v>PASS</v>
      </c>
    </row>
    <row r="165" customFormat="false" ht="15" hidden="false" customHeight="false" outlineLevel="0" collapsed="false">
      <c r="A165" s="8" t="s">
        <v>1550</v>
      </c>
      <c r="B165" s="8" t="s">
        <v>1548</v>
      </c>
      <c r="C165" s="96" t="n">
        <f aca="false">ABS(SUM(Dash_Export!$O$19:$O$30)-Budget!$O$97)+ABS(SUM(Dash_Export!$Q$19:$Q$30)-Budget!$O$109)+ABS(SUM(Dash_Export!$R$19:$R$30)-Actuals!$H$100)+ABS(SUM(Dash_Export!$T$19:$T$30)-Actuals!$H$112)</f>
        <v>0</v>
      </c>
      <c r="H165" s="10" t="n">
        <v>0.0001</v>
      </c>
      <c r="I165" s="7" t="str">
        <f aca="false">IF(ABS(C165)&lt;=H165,"PASS","FAIL")</f>
        <v>PASS</v>
      </c>
    </row>
    <row r="166" customFormat="false" ht="15" hidden="false" customHeight="false" outlineLevel="0" collapsed="false">
      <c r="A166" s="8" t="s">
        <v>1551</v>
      </c>
      <c r="B166" s="8" t="s">
        <v>1548</v>
      </c>
      <c r="C166" s="96" t="n">
        <f aca="false">ABS(SUM(Dash_Export!$U$19:$U$30)-(Actuals!$H$100+SUM(PnL!$H$8:$N$8)))+ABS(SUM(Dash_Export!$V$19:$V$30)-(Actuals!$H$112+SUM(PnL!$H$17:$N$17)))</f>
        <v>0</v>
      </c>
      <c r="H166" s="10" t="n">
        <v>0.0001</v>
      </c>
      <c r="I166" s="7" t="str">
        <f aca="false">IF(ABS(C166)&lt;=H166,"PASS","FAIL")</f>
        <v>PASS</v>
      </c>
    </row>
    <row r="167" customFormat="false" ht="15" hidden="false" customHeight="false" outlineLevel="0" collapsed="false">
      <c r="A167" s="8" t="s">
        <v>1552</v>
      </c>
      <c r="B167" s="8" t="s">
        <v>1495</v>
      </c>
      <c r="C167" s="96" t="n">
        <f aca="false">ABS(Dash_Export!$D$129+SUM(Dash_Export!$D$130:$D$138)-Dash_Export!$D$139)+ABS(Dash_Export!$D$139-Actuals!$H$112)</f>
        <v>0</v>
      </c>
      <c r="H167" s="10" t="n">
        <v>0.0001</v>
      </c>
      <c r="I167" s="7" t="str">
        <f aca="false">IF(ABS(C167)&lt;=H167,"PASS","FAIL")</f>
        <v>PASS</v>
      </c>
    </row>
    <row r="168" customFormat="false" ht="15" hidden="false" customHeight="false" outlineLevel="0" collapsed="false">
      <c r="A168" s="8" t="s">
        <v>1553</v>
      </c>
      <c r="B168" s="8" t="s">
        <v>1548</v>
      </c>
      <c r="C168" s="96" t="n">
        <f aca="false">ABS(INDEX(Dash_Export!$B$177:$B$179,1)-Capex!$F$65)+ABS(INDEX(Dash_Export!$B$177:$B$179,2)-Capex!$F$103)+ABS(INDEX(Dash_Export!$B$177:$B$179,3)-Capex!$F$141)</f>
        <v>0</v>
      </c>
      <c r="H168" s="10" t="n">
        <v>0.0001</v>
      </c>
      <c r="I168" s="7" t="str">
        <f aca="false">IF(ABS(C168)&lt;=H168,"PASS","FAIL")</f>
        <v>PASS</v>
      </c>
    </row>
    <row r="169" customFormat="false" ht="15" hidden="false" customHeight="false" outlineLevel="0" collapsed="false">
      <c r="A169" s="8" t="s">
        <v>1554</v>
      </c>
      <c r="B169" s="8" t="s">
        <v>1543</v>
      </c>
      <c r="C169" s="96" t="n">
        <f aca="false">(ROWS(Dash_Export!$D$183:$D$203)&lt;&gt;21)+SUMPRODUCT((Dash_Export!$A$183:$A$203="Base")*Dash_Export!$D$183:$D$203/(1+Capex!$F$16)^Dash_Export!$B$183:$B$203)-INDEX(Dash_Export!$B$177:$B$179,2)</f>
        <v>0</v>
      </c>
      <c r="H169" s="10" t="n">
        <v>0.0001</v>
      </c>
      <c r="I169" s="7" t="str">
        <f aca="false">IF(ABS(C169)&lt;=H169,"PASS","FAIL")</f>
        <v>PASS</v>
      </c>
    </row>
    <row r="170" customFormat="false" ht="15" hidden="false" customHeight="false" outlineLevel="0" collapsed="false">
      <c r="A170" s="8" t="s">
        <v>1555</v>
      </c>
      <c r="B170" s="8" t="s">
        <v>1424</v>
      </c>
      <c r="C170" s="96" t="n">
        <f aca="false">SUMPRODUCT((Dash_Export!$M$34:$M$69&lt;0)+(Dash_Export!$M$34:$M$69&gt;1)+(Dash_Export!$N$34:$N$69&lt;0)+(Dash_Export!$N$34:$N$69&gt;1)+(Dash_Export!$L$34:$L$69&lt;-1)+(Dash_Export!$L$34:$L$69&gt;1))</f>
        <v>0</v>
      </c>
      <c r="H170" s="10" t="n">
        <v>0</v>
      </c>
      <c r="I170" s="7" t="str">
        <f aca="false">IF(ABS(C170)&lt;=H170,"PASS","FAIL")</f>
        <v>PASS</v>
      </c>
    </row>
    <row r="171" customFormat="false" ht="15" hidden="false" customHeight="false" outlineLevel="0" collapsed="false">
      <c r="A171" s="8" t="s">
        <v>1556</v>
      </c>
      <c r="B171" s="8" t="s">
        <v>1424</v>
      </c>
      <c r="C171" s="96" t="n">
        <f aca="false">(ROWS(Dash_Export!$A$236:$A$240)&lt;&gt;5)+ABS(SUM(Dash_Export!$B$236:$B$240)-SUM(Hist_Data!$C$7:$G$7))</f>
        <v>0</v>
      </c>
      <c r="H171" s="10" t="n">
        <v>0.0001</v>
      </c>
      <c r="I171" s="7" t="str">
        <f aca="false">IF(ABS(C171)&lt;=H171,"PASS","FAIL")</f>
        <v>PASS</v>
      </c>
    </row>
    <row r="172" customFormat="false" ht="15" hidden="false" customHeight="false" outlineLevel="0" collapsed="false">
      <c r="A172" s="8" t="s">
        <v>1557</v>
      </c>
      <c r="B172" s="8" t="s">
        <v>1420</v>
      </c>
      <c r="C172" s="96" t="n">
        <f aca="false">IF(INDEX(Dash_Export!$B$7:$B$15,1)=Assumptions!$C$6,0,1)</f>
        <v>0</v>
      </c>
      <c r="H172" s="10" t="n">
        <v>0</v>
      </c>
      <c r="I172" s="7" t="str">
        <f aca="false">IF(ABS(C172)&lt;=H172,"PASS","FAIL")</f>
        <v>PASS</v>
      </c>
    </row>
    <row r="174" customFormat="false" ht="15" hidden="false" customHeight="false" outlineLevel="0" collapsed="false">
      <c r="A174" s="99" t="s">
        <v>1558</v>
      </c>
      <c r="C174" s="91" t="str">
        <f aca="false">IF(COUNTIF(I6:I173,"FAIL")=0,"ALL CHECKS PASS","CHECK FAILURES: "&amp;COUNTIF(I6:I173,"FAIL"))</f>
        <v>ALL CHECKS PASS</v>
      </c>
      <c r="G174" s="7" t="str">
        <f aca="false">COUNTIF(I6:I173,"PASS")&amp;" pass / "&amp;COUNTIF(I6:I173,"FAIL")&amp;" fail"</f>
        <v>149 pass / 0 fail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2026-09-23T00:57:22Z</dcterms:created>
  <dc:creator>openpyxl</dc:creator>
  <dc:description/>
  <dc:language>en-US</dc:language>
  <cp:lastModifiedBy/>
  <dcterms:modified xsi:type="dcterms:W3CDTF">2026-09-23T00:57:22Z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