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Cover" sheetId="1" state="visible" r:id="rId3"/>
    <sheet name="Sources_Log" sheetId="2" state="visible" r:id="rId4"/>
    <sheet name="Assumptions" sheetId="3" state="visible" r:id="rId5"/>
    <sheet name="Hist_Data" sheetId="4" state="visible" r:id="rId6"/>
    <sheet name="Hist_Analysis" sheetId="5" state="visible" r:id="rId7"/>
    <sheet name="Ops_Model" sheetId="6" state="visible" r:id="rId8"/>
    <sheet name="Revenue" sheetId="7" state="visible" r:id="rId9"/>
    <sheet name="PnL" sheetId="8" state="visible" r:id="rId10"/>
    <sheet name="FCF" sheetId="9" state="visible" r:id="rId11"/>
    <sheet name="Budget" sheetId="10" state="visible" r:id="rId12"/>
    <sheet name="Actuals" sheetId="11" state="visible" r:id="rId13"/>
    <sheet name="Variance" sheetId="12" state="visible" r:id="rId14"/>
    <sheet name="Capex" sheetId="13" state="visible" r:id="rId15"/>
    <sheet name="Dash_Export" sheetId="14" state="visible" r:id="rId16"/>
    <sheet name="Checks" sheetId="15" state="visible" r:id="rId17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<sst xmlns="http://schemas.openxmlformats.org/spreadsheetml/2006/main" count="4162" uniqueCount="1479">
  <si>
    <t xml:space="preserve">Semiconductor FP&amp;A Forecasting and Decision Model</t>
  </si>
  <si>
    <t xml:space="preserve">Fictional Power, Signal &amp; Embedded Division, modeled on Texas Instruments Incorporated (NASDAQ: TXN)</t>
  </si>
  <si>
    <t xml:space="preserve">Simulated data created for portfolio demonstration. It does not represent nonpublic Texas Instruments information.</t>
  </si>
  <si>
    <t xml:space="preserve">Reported public data comes only from Texas Instruments's SEC filings (see Sources_Log). All division-level operating data is simulated and labeled as such.</t>
  </si>
  <si>
    <t xml:space="preserve">Business question</t>
  </si>
  <si>
    <t xml:space="preserve">How would changes in demand, average selling price, product mix, manufacturing yield, capacity utilization, operating costs and capital spending affect the division's revenue, operating profit and free cash flow?</t>
  </si>
  <si>
    <t xml:space="preserve">Model status</t>
  </si>
  <si>
    <t xml:space="preserve">Built by</t>
  </si>
  <si>
    <t xml:space="preserve">scripts/build_model.py --company TXN (config: companies/TXN/config.toml)</t>
  </si>
  <si>
    <t xml:space="preserve">Tab guide</t>
  </si>
  <si>
    <t xml:space="preserve">Cover</t>
  </si>
  <si>
    <t xml:space="preserve">This page</t>
  </si>
  <si>
    <t xml:space="preserve">Sources_Log</t>
  </si>
  <si>
    <t xml:space="preserve">Source register (SEC filings) and assumptions log</t>
  </si>
  <si>
    <t xml:space="preserve">Assumptions</t>
  </si>
  <si>
    <t xml:space="preserve">Scenario selector (one cell), 9 scenario drivers, division &amp; product inputs, seasonality</t>
  </si>
  <si>
    <t xml:space="preserve">Hist_Data</t>
  </si>
  <si>
    <t xml:space="preserve">Reported financials FY2021-FY2025, one source per row (inputs)</t>
  </si>
  <si>
    <t xml:space="preserve">Hist_Analysis</t>
  </si>
  <si>
    <t xml:space="preserve">Growth, margins, segment mix, free cash flow, working capital (formulas)</t>
  </si>
  <si>
    <t xml:space="preserve">Ops_Model</t>
  </si>
  <si>
    <t xml:space="preserve">Product x month operating model: demand, capacity, yield, inventory, revenue, cost, gross profit</t>
  </si>
  <si>
    <t xml:space="preserve">Revenue</t>
  </si>
  <si>
    <t xml:space="preserve">Monthly revenue forecast by product line, mix, quarters, FY vs FY2025 base year</t>
  </si>
  <si>
    <t xml:space="preserve">PnL</t>
  </si>
  <si>
    <t xml:space="preserve">Monthly P&amp;L to net income; EBITDA; FY2025 base-year comparison</t>
  </si>
  <si>
    <t xml:space="preserve">FCF</t>
  </si>
  <si>
    <t xml:space="preserve">Capex and depreciation, working capital, free cash flow</t>
  </si>
  <si>
    <t xml:space="preserve">Budget</t>
  </si>
  <si>
    <t xml:space="preserve">FY2026 budget = Base scenario, locked (does not follow the selector)</t>
  </si>
  <si>
    <t xml:space="preserve">Actuals</t>
  </si>
  <si>
    <t xml:space="preserve">SIMULATED actual results Jan-May 2026, same operating logic</t>
  </si>
  <si>
    <t xml:space="preserve">Variance</t>
  </si>
  <si>
    <t xml:space="preserve">YTD budget vs actual: price/volume/mix, operating-profit bridge, reconciliation flags</t>
  </si>
  <si>
    <t xml:space="preserve">Capex</t>
  </si>
  <si>
    <t xml:space="preserve">Hypothetical power-management final-test expansion cell proposal: NPV, IRR, payback, break-even, recommendation by scenario</t>
  </si>
  <si>
    <t xml:space="preserve">Dash_Export</t>
  </si>
  <si>
    <t xml:space="preserve">Tidy tables read by the dashboard export script (live scenario + scenario-independent tables)</t>
  </si>
  <si>
    <t xml:space="preserve">Checks</t>
  </si>
  <si>
    <t xml:space="preserve">Independent checks and hand-calculable unit tests; overall status feeds this cover</t>
  </si>
  <si>
    <t xml:space="preserve">Color legend</t>
  </si>
  <si>
    <t xml:space="preserve">1,234.5</t>
  </si>
  <si>
    <t xml:space="preserve">Blue: hardcoded input (reported value or assumption)</t>
  </si>
  <si>
    <t xml:space="preserve">Black: formula / calculation</t>
  </si>
  <si>
    <t xml:space="preserve">Green: direct link to another tab</t>
  </si>
  <si>
    <t xml:space="preserve">Input</t>
  </si>
  <si>
    <t xml:space="preserve">Yellow fill: key assumption / cell a user may change</t>
  </si>
  <si>
    <t xml:space="preserve">Value classification</t>
  </si>
  <si>
    <t xml:space="preserve">Reported public data - transcribed from an SEC filing (source on every row)</t>
  </si>
  <si>
    <t xml:space="preserve">Calculated value - Excel formula on other cells</t>
  </si>
  <si>
    <t xml:space="preserve">User-provided assumption - logged in Sources_Log with who decided it</t>
  </si>
  <si>
    <t xml:space="preserve">Simulated operational data - labeled with the disclaimer above</t>
  </si>
  <si>
    <t xml:space="preserve">Units &amp; conventions</t>
  </si>
  <si>
    <t xml:space="preserve">USD millions unless noted. Fiscal year ends December 31. Negatives in parentheses. Capex printed negative in Hist_Data, positive in analysis.</t>
  </si>
  <si>
    <t xml:space="preserve">Source Register and Assumptions Log</t>
  </si>
  <si>
    <t xml:space="preserve">Every reported value traces to a source below. Every assumption is logged with who decided it.</t>
  </si>
  <si>
    <t xml:space="preserve">Source register</t>
  </si>
  <si>
    <t xml:space="preserve">ID</t>
  </si>
  <si>
    <t xml:space="preserve">Document</t>
  </si>
  <si>
    <t xml:space="preserve">Accession no.</t>
  </si>
  <si>
    <t xml:space="preserve">Period covered</t>
  </si>
  <si>
    <t xml:space="preserve">URL</t>
  </si>
  <si>
    <t xml:space="preserve">Used for</t>
  </si>
  <si>
    <t xml:space="preserve">Accessed</t>
  </si>
  <si>
    <t xml:space="preserve">S-001</t>
  </si>
  <si>
    <t xml:space="preserve">Form 10-K fiscal 2025</t>
  </si>
  <si>
    <t xml:space="preserve">0000097476-26-000059</t>
  </si>
  <si>
    <t xml:space="preserve">FY2023-FY2025 income statement &amp; cash flow; FY2024-FY2025 balance sheet; segment revenue and gross profit FY2023-FY2025</t>
  </si>
  <si>
    <t xml:space="preserve">https://www.sec.gov/Archives/edgar/data/97476/000009747626000059/</t>
  </si>
  <si>
    <t xml:space="preserve">Historical analysis; product-mix anchor</t>
  </si>
  <si>
    <t xml:space="preserve">2026-09-22</t>
  </si>
  <si>
    <t xml:space="preserve">S-002</t>
  </si>
  <si>
    <t xml:space="preserve">Form 10-K fiscal 2023</t>
  </si>
  <si>
    <t xml:space="preserve">0000097476-24-000007</t>
  </si>
  <si>
    <t xml:space="preserve">FY2021-FY2022 income statement &amp; cash flow; FY2022-FY2023 balance sheet; FY2021-FY2022 segment revenue</t>
  </si>
  <si>
    <t xml:space="preserve">https://www.sec.gov/Archives/edgar/data/97476/000009747624000007/</t>
  </si>
  <si>
    <t xml:space="preserve">Historical analysis; cross-filing check</t>
  </si>
  <si>
    <t xml:space="preserve">S-003</t>
  </si>
  <si>
    <t xml:space="preserve">Form 10-K fiscal 2022</t>
  </si>
  <si>
    <t xml:space="preserve">0000097476-23-000007</t>
  </si>
  <si>
    <t xml:space="preserve">FY2021 balance sheet</t>
  </si>
  <si>
    <t xml:space="preserve">https://www.sec.gov/Archives/edgar/data/97476/000009747623000007/</t>
  </si>
  <si>
    <t xml:space="preserve">S-004</t>
  </si>
  <si>
    <t xml:space="preserve">Form 10-K fiscal 2024</t>
  </si>
  <si>
    <t xml:space="preserve">0000097476-25-000007</t>
  </si>
  <si>
    <t xml:space="preserve">FY2023-FY2024 balance sheet (second transcription)</t>
  </si>
  <si>
    <t xml:space="preserve">https://www.sec.gov/Archives/edgar/data/97476/000009747625000007/</t>
  </si>
  <si>
    <t xml:space="preserve">Cross-filing check only</t>
  </si>
  <si>
    <t xml:space="preserve">S-005</t>
  </si>
  <si>
    <t xml:space="preserve">Form 10-Q second quarter 2026</t>
  </si>
  <si>
    <t xml:space="preserve">0000097476-26-000152</t>
  </si>
  <si>
    <t xml:space="preserve">Three months ended June 30 2026 and 2025: income statement and segment revenue</t>
  </si>
  <si>
    <t xml:space="preserve">https://www.sec.gov/Archives/edgar/data/97476/000009747626000152/</t>
  </si>
  <si>
    <t xml:space="preserve">Quarterly context for the demand-growth assumption</t>
  </si>
  <si>
    <t xml:space="preserve">Assumptions log</t>
  </si>
  <si>
    <t xml:space="preserve">Area</t>
  </si>
  <si>
    <t xml:space="preserve">Assumption</t>
  </si>
  <si>
    <t xml:space="preserve">Value</t>
  </si>
  <si>
    <t xml:space="preserve">Rationale</t>
  </si>
  <si>
    <t xml:space="preserve">Classification</t>
  </si>
  <si>
    <t xml:space="preserve">Decided by</t>
  </si>
  <si>
    <t xml:space="preserve">Status</t>
  </si>
  <si>
    <t xml:space="preserve">A-001</t>
  </si>
  <si>
    <t xml:space="preserve">Scope</t>
  </si>
  <si>
    <t xml:space="preserve">Public company used for historical data</t>
  </si>
  <si>
    <t xml:space="preserve">Texas Instruments Incorporated (NASDAQ: TXN)</t>
  </si>
  <si>
    <t xml:space="preserve">Second test company for the multi-company engine (Phase 10c)</t>
  </si>
  <si>
    <t xml:space="preserve">User-provided assumption</t>
  </si>
  <si>
    <t xml:space="preserve">User</t>
  </si>
  <si>
    <t xml:space="preserve">Final</t>
  </si>
  <si>
    <t xml:space="preserve">A-002</t>
  </si>
  <si>
    <t xml:space="preserve">Historical window</t>
  </si>
  <si>
    <t xml:space="preserve">FY2021-FY2025 (fiscal year = calendar year)</t>
  </si>
  <si>
    <t xml:space="preserve">Five reported years (engine layout); covers the 2022 peak and the 2024 trough</t>
  </si>
  <si>
    <t xml:space="preserve">Claude (delegated by user)</t>
  </si>
  <si>
    <t xml:space="preserve">A-003</t>
  </si>
  <si>
    <t xml:space="preserve">Timing</t>
  </si>
  <si>
    <t xml:space="preserve">Forecast period</t>
  </si>
  <si>
    <t xml:space="preserve">FY2026 monthly: Jan-2026 to Dec-2026</t>
  </si>
  <si>
    <t xml:space="preserve">TI's current fiscal year</t>
  </si>
  <si>
    <t xml:space="preserve">A-004</t>
  </si>
  <si>
    <t xml:space="preserve">Actuals vs forecast split</t>
  </si>
  <si>
    <t xml:space="preserve">Jan-May 2026 = simulated actuals; Jun-Dec = forecast</t>
  </si>
  <si>
    <t xml:space="preserve">The engine layout uses exactly five actual months; as of September this is conservative (June-August not loaded)</t>
  </si>
  <si>
    <t xml:space="preserve">A-005</t>
  </si>
  <si>
    <t xml:space="preserve">Division</t>
  </si>
  <si>
    <t xml:space="preserve">Fictional division</t>
  </si>
  <si>
    <t xml:space="preserve">"Power, Signal &amp; Embedded Division" - fictional, modeled on TI</t>
  </si>
  <si>
    <t xml:space="preserve">Matches the three product categories in the project brief</t>
  </si>
  <si>
    <t xml:space="preserve">A-006</t>
  </si>
  <si>
    <t xml:space="preserve">Division base-year (FY2025) revenue</t>
  </si>
  <si>
    <t xml:space="preserve">$1000.0M</t>
  </si>
  <si>
    <t xml:space="preserve">Same scale as the Microchip build for comparability</t>
  </si>
  <si>
    <t xml:space="preserve">A-007</t>
  </si>
  <si>
    <t xml:space="preserve">Product categories and mapping</t>
  </si>
  <si>
    <t xml:space="preserve">1) Power-management chips 2) Signal-chain chips 3) Embedded processors; power and signal = assumed split of TI's Analog segment; embedded = TI's Embedded Processing segment</t>
  </si>
  <si>
    <t xml:space="preserve">User chose option B (follow the brief) over option A (TI's own segments)</t>
  </si>
  <si>
    <t xml:space="preserve">A-008</t>
  </si>
  <si>
    <t xml:space="preserve">Split of TI's Analog segment</t>
  </si>
  <si>
    <t xml:space="preserve">Power 50% / Signal chain 50%</t>
  </si>
  <si>
    <t xml:space="preserve">TI does not report power and signal chain separately; 50/50 is a neutral placeholder - replace if a sourced split is available</t>
  </si>
  <si>
    <t xml:space="preserve">Open - user may change</t>
  </si>
  <si>
    <t xml:space="preserve">A-009</t>
  </si>
  <si>
    <t xml:space="preserve">Segments not modeled</t>
  </si>
  <si>
    <t xml:space="preserve">TI Other segment (5.5% of FY2025 revenue) excluded; three-product mix renormalized to 100%</t>
  </si>
  <si>
    <t xml:space="preserve">The brief names three product categories only</t>
  </si>
  <si>
    <t xml:space="preserve">A-010</t>
  </si>
  <si>
    <t xml:space="preserve">Labeling</t>
  </si>
  <si>
    <t xml:space="preserve">Simulated-data disclaimer</t>
  </si>
  <si>
    <t xml:space="preserve">Project rule</t>
  </si>
  <si>
    <t xml:space="preserve">A-011</t>
  </si>
  <si>
    <t xml:space="preserve">Operations</t>
  </si>
  <si>
    <t xml:space="preserve">Base-year product inputs</t>
  </si>
  <si>
    <t xml:space="preserve">ASP $0.60 / $0.95 / $3.40; yield 95% / 93% / 88%; variable cost $0.14 / $0.21 / $0.95; fixed $5.8m / $6.2m / $2.5m per month; capacity 88 / 60 / 7 m units per month</t>
  </si>
  <si>
    <t xml:space="preserve">Calibrated so base-year division gross margin (57.2%) is close to TI's reported FY2025 gross margin (57.0%)</t>
  </si>
  <si>
    <t xml:space="preserve">Simulated operational data</t>
  </si>
  <si>
    <t xml:space="preserve">A-012</t>
  </si>
  <si>
    <t xml:space="preserve">Product demand differentials</t>
  </si>
  <si>
    <t xml:space="preserve">Power +2 pts / Signal +2 pts / Embedded -6 pts vs division growth</t>
  </si>
  <si>
    <t xml:space="preserve">TI Q2 FY2026: Analog +26.4% and Embedded Processing +16.1% YoY</t>
  </si>
  <si>
    <t xml:space="preserve">A-013</t>
  </si>
  <si>
    <t xml:space="preserve">Seasonality</t>
  </si>
  <si>
    <t xml:space="preserve">Monthly factors 0.94-1.05 (sum = 12.00)</t>
  </si>
  <si>
    <t xml:space="preserve">Calendar-year pattern: soft Q1 start and December dip; Q3 peak</t>
  </si>
  <si>
    <t xml:space="preserve">A-014</t>
  </si>
  <si>
    <t xml:space="preserve">Opex</t>
  </si>
  <si>
    <t xml:space="preserve">Division base-year opex</t>
  </si>
  <si>
    <t xml:space="preserve">R&amp;D $120m (12% of revenue); SG&amp;A $100m (10%)</t>
  </si>
  <si>
    <t xml:space="preserve">TI company-wide FY2025: R&amp;D 11.8% and SG&amp;A 10.5% of revenue</t>
  </si>
  <si>
    <t xml:space="preserve">A-015</t>
  </si>
  <si>
    <t xml:space="preserve">Scenarios</t>
  </si>
  <si>
    <t xml:space="preserve">Scenario driver values</t>
  </si>
  <si>
    <t xml:space="preserve">See Assumptions tab section A (9 drivers x Downside/Base/Upside)</t>
  </si>
  <si>
    <t xml:space="preserve">Each value has its rationale next to it; anchored to TI reported ratios where one exists</t>
  </si>
  <si>
    <t xml:space="preserve">A-016</t>
  </si>
  <si>
    <t xml:space="preserve">Definition of capacity</t>
  </si>
  <si>
    <t xml:space="preserve">Capacity = internal final-test capacity (units tested per month)</t>
  </si>
  <si>
    <t xml:space="preserve">Same engine definition as the Microchip build</t>
  </si>
  <si>
    <t xml:space="preserve">A-017</t>
  </si>
  <si>
    <t xml:space="preserve">Cash flow</t>
  </si>
  <si>
    <t xml:space="preserve">Working-capital days</t>
  </si>
  <si>
    <t xml:space="preserve">DSO 40 days; DPO 36 days</t>
  </si>
  <si>
    <t xml:space="preserve">TI FY2025: receivables / revenue x 365 = 40.5 days; payables / cost of revenue x 365 = 36 days</t>
  </si>
  <si>
    <t xml:space="preserve">A-018</t>
  </si>
  <si>
    <t xml:space="preserve">Depreciation</t>
  </si>
  <si>
    <t xml:space="preserve">35% of fixed manufacturing cost is depreciation; new capex depreciated over 60 months</t>
  </si>
  <si>
    <t xml:space="preserve">TI is capital-intensive (depreciation 10.8% of FY2025 revenue)</t>
  </si>
  <si>
    <t xml:space="preserve">A-019</t>
  </si>
  <si>
    <t xml:space="preserve">Simulated actual inputs Jan-May 2026</t>
  </si>
  <si>
    <t xml:space="preserve">See Actuals tab (demand +5% / +1% / -5% vs budget; embedded yield 86% vs 88% plan; power utilization 84%)</t>
  </si>
  <si>
    <t xml:space="preserve">Creates a realistic variance story; labeled simulated on every tab</t>
  </si>
  <si>
    <t xml:space="preserve">A-020</t>
  </si>
  <si>
    <t xml:space="preserve">Capex project</t>
  </si>
  <si>
    <t xml:space="preserve">Hypothetical proposal</t>
  </si>
  <si>
    <t xml:space="preserve">Power-management final-test expansion cell: $22.0m equipment + $2.5m install; +6m units/month; +1 pt yield; $1.2m/yr savings; $1.0m/yr maintenance; 6-year life</t>
  </si>
  <si>
    <t xml:space="preserve">Targets the product with the tightest demand/capacity ratio</t>
  </si>
  <si>
    <t xml:space="preserve">A-021</t>
  </si>
  <si>
    <t xml:space="preserve">Discount rate and decision criteria</t>
  </si>
  <si>
    <t xml:space="preserve">Discount rate 9%; NPV &gt; 0; IRR &gt;= 11%; payback &lt;= 4 years</t>
  </si>
  <si>
    <t xml:space="preserve">Same decision rule as the Microchip build; TI does not report a WACC</t>
  </si>
  <si>
    <t xml:space="preserve">A-022</t>
  </si>
  <si>
    <t xml:space="preserve">Power demand growth after FY2026</t>
  </si>
  <si>
    <t xml:space="preserve">2% / 7% / 11% per year (Downside / Base / Upside)</t>
  </si>
  <si>
    <t xml:space="preserve">Scenario range around recent analog growth</t>
  </si>
  <si>
    <t xml:space="preserve">A-023</t>
  </si>
  <si>
    <t xml:space="preserve">Data</t>
  </si>
  <si>
    <t xml:space="preserve">Depreciation line used for historical FCF</t>
  </si>
  <si>
    <t xml:space="preserve">Depreciation only (TI prints amortization of capitalized software separately)</t>
  </si>
  <si>
    <t xml:space="preserve">Keeps cf:da = one printed line; amortization falls into other non-cash items</t>
  </si>
  <si>
    <t xml:space="preserve">A-024</t>
  </si>
  <si>
    <t xml:space="preserve">Sign convention for interest and restructuring</t>
  </si>
  <si>
    <t xml:space="preserve">Interest and debt expense stored negative; restructuring credit (2024) stored negative</t>
  </si>
  <si>
    <t xml:space="preserve">So pre-tax income = operating profit + non-operating items holds; noted on each row</t>
  </si>
  <si>
    <t xml:space="preserve">Assumptions and Scenario Controls</t>
  </si>
  <si>
    <t xml:space="preserve">Change ONLY the yellow selector (C6) to switch scenario. Blue = input. Every forecast tab reads the Live column.</t>
  </si>
  <si>
    <t xml:space="preserve">ACTIVE SCENARIO  (choose Downside / Base / Upside)</t>
  </si>
  <si>
    <t xml:space="preserve">Base</t>
  </si>
  <si>
    <t xml:space="preserve">&lt;- scenario index (1 = Downside, 2 = Base, 3 = Upside)</t>
  </si>
  <si>
    <t xml:space="preserve">A. Scenario drivers (FY2026 vs FY2025 base year)</t>
  </si>
  <si>
    <t xml:space="preserve">Driver</t>
  </si>
  <si>
    <t xml:space="preserve">Units</t>
  </si>
  <si>
    <t xml:space="preserve">Downside</t>
  </si>
  <si>
    <t xml:space="preserve">Upside</t>
  </si>
  <si>
    <t xml:space="preserve">LIVE</t>
  </si>
  <si>
    <t xml:space="preserve">Rationale / reference</t>
  </si>
  <si>
    <t xml:space="preserve">Customer demand growth</t>
  </si>
  <si>
    <t xml:space="preserve">%</t>
  </si>
  <si>
    <t xml:space="preserve">TI Q2 FY2026 revenue +22.8% YoY (section B). Base takes a more cautious +15% for the full year.</t>
  </si>
  <si>
    <t xml:space="preserve">Average selling price change</t>
  </si>
  <si>
    <t xml:space="preserve">Mature analog prices drift down slowly; downside = price competition.</t>
  </si>
  <si>
    <t xml:space="preserve">Manufacturing yield change (percentage points vs base-year yield)</t>
  </si>
  <si>
    <t xml:space="preserve">pts</t>
  </si>
  <si>
    <t xml:space="preserve">Applied to each product's base-year final-test yield (section D).</t>
  </si>
  <si>
    <t xml:space="preserve">Capacity utilization (internal final test)</t>
  </si>
  <si>
    <t xml:space="preserve">Assumed. TI does not disclose utilization; implied base-year loading is shown in section D.</t>
  </si>
  <si>
    <t xml:space="preserve">Material-cost inflation (variable cost per unit)</t>
  </si>
  <si>
    <t xml:space="preserve">Wafer, substrate and packaging cost inflation.</t>
  </si>
  <si>
    <t xml:space="preserve">R&amp;D expense growth</t>
  </si>
  <si>
    <t xml:space="preserve">TI R&amp;D grew +6.3% in FY2025 (section B).</t>
  </si>
  <si>
    <t xml:space="preserve">SG&amp;A expense growth</t>
  </si>
  <si>
    <t xml:space="preserve">TI SG&amp;A grew +3.7% in FY2025 (section B).</t>
  </si>
  <si>
    <t xml:space="preserve">Capital expenditures (% of revenue, excl. proposed test-equipment project)</t>
  </si>
  <si>
    <t xml:space="preserve">TI capex was 25.7% of revenue in FY2025 (section B), driven by its corporate 300-mm fab build-out; division equipment capex assumed far lower.</t>
  </si>
  <si>
    <t xml:space="preserve">Tax rate</t>
  </si>
  <si>
    <t xml:space="preserve">TI effective rate about 12-13% in FY2021-FY2025 (section B). Downside = higher rate.</t>
  </si>
  <si>
    <t xml:space="preserve">B. Reference points from Texas Instruments's reported history (formulas - context for the drivers above)</t>
  </si>
  <si>
    <t xml:space="preserve">Q2 FY2026 net sales growth vs Q2 FY2025</t>
  </si>
  <si>
    <t xml:space="preserve">Calculated value</t>
  </si>
  <si>
    <t xml:space="preserve">Reported public data (Hist tabs)</t>
  </si>
  <si>
    <t xml:space="preserve">Q2 FY2026 sales x 4 vs FY2025 net sales</t>
  </si>
  <si>
    <t xml:space="preserve">Gross margin FY2025 (reported basis)</t>
  </si>
  <si>
    <t xml:space="preserve">Gross margin FY2022 (highest in the history)</t>
  </si>
  <si>
    <t xml:space="preserve">R&amp;D growth FY2025</t>
  </si>
  <si>
    <t xml:space="preserve">SG&amp;A growth FY2025</t>
  </si>
  <si>
    <t xml:space="preserve">Capex % of sales FY2025</t>
  </si>
  <si>
    <t xml:space="preserve">Capex % of sales, average FY2021-FY2025</t>
  </si>
  <si>
    <t xml:space="preserve">Effective tax rate, average FY2021-FY2025 (years shown n.m. excluded)</t>
  </si>
  <si>
    <t xml:space="preserve">C. Fictional Power, Signal &amp; Embedded Division - base year FY2025 (Simulated data created for portfolio demonstration. It does not represent nonpublic Texas Instruments information.)</t>
  </si>
  <si>
    <t xml:space="preserve">Division net revenue, FY2025 base year</t>
  </si>
  <si>
    <t xml:space="preserve">$m</t>
  </si>
  <si>
    <t xml:space="preserve">User-provided assumption. ~6% of Texas Instruments FY2025 net sales</t>
  </si>
  <si>
    <t xml:space="preserve">Division R&amp;D expense, FY2025 base year</t>
  </si>
  <si>
    <t xml:space="preserve">12% of revenue. TI company-wide R&amp;D was 11.8% of revenue in FY2025. Used in Phase 3.</t>
  </si>
  <si>
    <t xml:space="preserve">Division SG&amp;A expense, FY2025 base year</t>
  </si>
  <si>
    <t xml:space="preserve">10% of revenue. TI company-wide SG&amp;A was 10.5% of revenue in FY2025. Used in Phase 3.</t>
  </si>
  <si>
    <t xml:space="preserve">Forecast start month (first month of FY2026)</t>
  </si>
  <si>
    <t xml:space="preserve">FY2026 = Jan-2026 to Dec-2026, calendar months</t>
  </si>
  <si>
    <t xml:space="preserve">D. Product inputs - base year FY2025 (simulated) and live FY2026 drivers (calculated)</t>
  </si>
  <si>
    <t xml:space="preserve">Power management</t>
  </si>
  <si>
    <t xml:space="preserve">Signal chain</t>
  </si>
  <si>
    <t xml:space="preserve">Embedded processors</t>
  </si>
  <si>
    <t xml:space="preserve">Notes</t>
  </si>
  <si>
    <t xml:space="preserve">Share of the reported segment assigned to this product</t>
  </si>
  <si>
    <t xml:space="preserve">User-provided assumption (option B). TI does not report power and signal chain separately; 50/50 is a neutral split. Change it in companies/TXN/config.toml.</t>
  </si>
  <si>
    <t xml:space="preserve">Reported segment share of net sales x assigned share</t>
  </si>
  <si>
    <t xml:space="preserve">Texas Instruments FY2025 reported segment mix x the split above. Power = 50% of TI's reported Analog segment (user-provided split; TI does not report power separately). Signal chain = the other 50% of Analog.</t>
  </si>
  <si>
    <t xml:space="preserve">Base-year revenue mix</t>
  </si>
  <si>
    <t xml:space="preserve">Renormalized to 100% over the three products (reported segments not modeled are excluded).</t>
  </si>
  <si>
    <t xml:space="preserve">Base-year revenue</t>
  </si>
  <si>
    <t xml:space="preserve">Division revenue x mix</t>
  </si>
  <si>
    <t xml:space="preserve">Base-year average selling price</t>
  </si>
  <si>
    <t xml:space="preserve">$/unit</t>
  </si>
  <si>
    <t xml:space="preserve">Simulated. Order of magnitude typical for each product type.</t>
  </si>
  <si>
    <t xml:space="preserve">Base-year final-test yield</t>
  </si>
  <si>
    <t xml:space="preserve">Simulated. Good units / units tested. Larger embedded die -&gt; lower yield.</t>
  </si>
  <si>
    <t xml:space="preserve">Base-year variable cost per unit produced</t>
  </si>
  <si>
    <t xml:space="preserve">Simulated. Wafer, package, test consumables per unit started. Calibrated so the base-year division gross margin (57.2%) is close to TI's reported FY2025 57.0%.</t>
  </si>
  <si>
    <t xml:space="preserve">Fixed manufacturing cost per month</t>
  </si>
  <si>
    <t xml:space="preserve">$m/month</t>
  </si>
  <si>
    <t xml:space="preserve">Simulated. Factory overhead, depreciation, test labor.</t>
  </si>
  <si>
    <t xml:space="preserve">Internal final-test capacity</t>
  </si>
  <si>
    <t xml:space="preserve">m units/month</t>
  </si>
  <si>
    <t xml:space="preserve">Simulated. Capacity = units the internal test floor can process per month (A-016).</t>
  </si>
  <si>
    <t xml:space="preserve">Product demand growth vs division driver</t>
  </si>
  <si>
    <t xml:space="preserve">Simulated. TI Q2 FY2026 revenue growth was Analog +26.4%, Embedded Processing +16.1% (section B).</t>
  </si>
  <si>
    <t xml:space="preserve">Opening finished-goods inventory (months of base-year sales)</t>
  </si>
  <si>
    <t xml:space="preserve">months</t>
  </si>
  <si>
    <t xml:space="preserve">Simulated opening balance at 1-Jan-2026.</t>
  </si>
  <si>
    <t xml:space="preserve">Base-year FY2025 economics (calculated; assumes production = sales in the base year)</t>
  </si>
  <si>
    <t xml:space="preserve">Units sold</t>
  </si>
  <si>
    <t xml:space="preserve">m units</t>
  </si>
  <si>
    <t xml:space="preserve">Revenue / ASP</t>
  </si>
  <si>
    <t xml:space="preserve">Units produced (tested)</t>
  </si>
  <si>
    <t xml:space="preserve">Units sold / yield (no inventory change in base year)</t>
  </si>
  <si>
    <t xml:space="preserve">Implied capacity utilization</t>
  </si>
  <si>
    <t xml:space="preserve">Units produced / (capacity x 12).</t>
  </si>
  <si>
    <t xml:space="preserve">Variable manufacturing cost</t>
  </si>
  <si>
    <t xml:space="preserve">Units produced x variable cost per unit</t>
  </si>
  <si>
    <t xml:space="preserve">Fixed manufacturing cost</t>
  </si>
  <si>
    <t xml:space="preserve">Monthly fixed cost x 12</t>
  </si>
  <si>
    <t xml:space="preserve">Cost of revenue</t>
  </si>
  <si>
    <t xml:space="preserve">Variable + fixed manufacturing cost</t>
  </si>
  <si>
    <t xml:space="preserve">Gross profit</t>
  </si>
  <si>
    <t xml:space="preserve">Revenue - cost of revenue</t>
  </si>
  <si>
    <t xml:space="preserve">Gross margin</t>
  </si>
  <si>
    <t xml:space="preserve">Calibration: compare with Texas Instruments FY2025 reported gross margin in section B</t>
  </si>
  <si>
    <t xml:space="preserve">Cost per good unit</t>
  </si>
  <si>
    <t xml:space="preserve">Cost of revenue / good units (= units sold in base year). Values the opening inventory.</t>
  </si>
  <si>
    <t xml:space="preserve">Live FY2026 product drivers (calculated from the active scenario)</t>
  </si>
  <si>
    <t xml:space="preserve">FY2026 customer demand</t>
  </si>
  <si>
    <t xml:space="preserve">Base-year units sold x (1 + demand growth + product differential)</t>
  </si>
  <si>
    <t xml:space="preserve">FY2026 average selling price</t>
  </si>
  <si>
    <t xml:space="preserve">Base ASP x (1 + ASP change)</t>
  </si>
  <si>
    <t xml:space="preserve">FY2026 final-test yield</t>
  </si>
  <si>
    <t xml:space="preserve">Base yield + yield change, bounded 0-100%</t>
  </si>
  <si>
    <t xml:space="preserve">FY2026 capacity utilization</t>
  </si>
  <si>
    <t xml:space="preserve">Same scenario utilization for every product line</t>
  </si>
  <si>
    <t xml:space="preserve">FY2026 variable cost per unit produced</t>
  </si>
  <si>
    <t xml:space="preserve">Base variable cost x (1 + material inflation)</t>
  </si>
  <si>
    <t xml:space="preserve">Opening finished-goods inventory (01-Jan-2026)</t>
  </si>
  <si>
    <t xml:space="preserve">Months of inventory x base-year monthly units sold</t>
  </si>
  <si>
    <t xml:space="preserve">Opening finished-goods inventory value</t>
  </si>
  <si>
    <t xml:space="preserve">Opening units x base-year cost per good unit</t>
  </si>
  <si>
    <t xml:space="preserve">E. Monthly demand seasonality (simulated; must sum to 12.00)</t>
  </si>
  <si>
    <t xml:space="preserve">Month</t>
  </si>
  <si>
    <t xml:space="preserve">Sum</t>
  </si>
  <si>
    <t xml:space="preserve">Seasonality factor (1.00 = average month)</t>
  </si>
  <si>
    <t xml:space="preserve">Softer January-February, quarter-end pulls, Q3 seasonal peak, December dip</t>
  </si>
  <si>
    <t xml:space="preserve">F. Live scenario result - FY2026 (from Ops_Model)</t>
  </si>
  <si>
    <t xml:space="preserve">Division revenue</t>
  </si>
  <si>
    <t xml:space="preserve">Growth vs FY2025 base-year revenue</t>
  </si>
  <si>
    <t xml:space="preserve">Revenue at risk from unmet demand</t>
  </si>
  <si>
    <t xml:space="preserve">G. P&amp;L and cash-flow inputs (not scenario-driven)</t>
  </si>
  <si>
    <t xml:space="preserve">Days sales outstanding (DSO)</t>
  </si>
  <si>
    <t xml:space="preserve">days</t>
  </si>
  <si>
    <t xml:space="preserve">TI DSO about 40 days in FY2025 (reference below). AR = monthly revenue x 12 x DSO / 365</t>
  </si>
  <si>
    <t xml:space="preserve">Days payable outstanding on variable manufacturing cost</t>
  </si>
  <si>
    <t xml:space="preserve">Applied to purchases (variable manufacturing cost). AP = monthly variable cost x 12 x DPO / 365</t>
  </si>
  <si>
    <t xml:space="preserve">Depreciation share of fixed manufacturing cost</t>
  </si>
  <si>
    <t xml:space="preserve">Non-cash part of factory fixed cost. 30% x $229m = ~$69m/yr (~7% of revenue). Reference below</t>
  </si>
  <si>
    <t xml:space="preserve">Useful life of new FY2026 capex</t>
  </si>
  <si>
    <t xml:space="preserve">Straight-line; depreciation starts the month after spend. FY2026 capex depreciation sits in cost of revenue</t>
  </si>
  <si>
    <t xml:space="preserve">Reference: Texas Instruments DSO FY2025</t>
  </si>
  <si>
    <t xml:space="preserve">Reference: Texas Instruments D&amp;A % of sales FY2025</t>
  </si>
  <si>
    <t xml:space="preserve">Opening balances at 31-Dec-2025 (calculated from base year)</t>
  </si>
  <si>
    <t xml:space="preserve">Opening accounts receivable</t>
  </si>
  <si>
    <t xml:space="preserve">Base-year revenue x DSO / 365</t>
  </si>
  <si>
    <t xml:space="preserve">Opening finished-goods inventory</t>
  </si>
  <si>
    <t xml:space="preserve">Section D opening inventory value</t>
  </si>
  <si>
    <t xml:space="preserve">Opening accounts payable</t>
  </si>
  <si>
    <t xml:space="preserve">Base-year variable cost x DPO / 365</t>
  </si>
  <si>
    <t xml:space="preserve">Opening operating working capital</t>
  </si>
  <si>
    <t xml:space="preserve">AR + inventory - AP</t>
  </si>
  <si>
    <t xml:space="preserve">H. Live scenario result - FY2026 P&amp;L and cash flow</t>
  </si>
  <si>
    <t xml:space="preserve">Operating profit</t>
  </si>
  <si>
    <t xml:space="preserve">Operating margin</t>
  </si>
  <si>
    <t xml:space="preserve">Net income</t>
  </si>
  <si>
    <t xml:space="preserve">Free cash flow</t>
  </si>
  <si>
    <t xml:space="preserve">FCF margin</t>
  </si>
  <si>
    <t xml:space="preserve">Historical Data - Texas Instruments (reported)</t>
  </si>
  <si>
    <t xml:space="preserve">USD millions unless noted. Fiscal years end December 31. Blue = hardcoded reported value from SEC filing.</t>
  </si>
  <si>
    <t xml:space="preserve">Simulated data created for portfolio demonstration. It does not represent nonpublic Texas Instruments information.  (This tab contains reported public data and calculated values only.)</t>
  </si>
  <si>
    <t xml:space="preserve">Line item</t>
  </si>
  <si>
    <t xml:space="preserve">FY2021</t>
  </si>
  <si>
    <t xml:space="preserve">FY2022</t>
  </si>
  <si>
    <t xml:space="preserve">FY2023</t>
  </si>
  <si>
    <t xml:space="preserve">FY2024</t>
  </si>
  <si>
    <t xml:space="preserve">FY2025</t>
  </si>
  <si>
    <t xml:space="preserve">Source (filing, statement page)</t>
  </si>
  <si>
    <t xml:space="preserve">line_id</t>
  </si>
  <si>
    <t xml:space="preserve">Income statement</t>
  </si>
  <si>
    <t xml:space="preserve">Reported public data</t>
  </si>
  <si>
    <t xml:space="preserve">S-002 10-K FY2023 R3.htm; S-001 10-K FY2025 R3.htm</t>
  </si>
  <si>
    <t xml:space="preserve">net_sales</t>
  </si>
  <si>
    <t xml:space="preserve">Cost of revenue (COR)</t>
  </si>
  <si>
    <t xml:space="preserve">cost_of_sales</t>
  </si>
  <si>
    <t xml:space="preserve">gross_profit</t>
  </si>
  <si>
    <t xml:space="preserve">Research and development (R&amp;D)</t>
  </si>
  <si>
    <t xml:space="preserve">rd</t>
  </si>
  <si>
    <t xml:space="preserve">Selling, general and administrative (SG&amp;A)</t>
  </si>
  <si>
    <t xml:space="preserve">sga</t>
  </si>
  <si>
    <t xml:space="preserve">Restructuring charges/other</t>
  </si>
  <si>
    <t xml:space="preserve">other_opex:restructuring</t>
  </si>
  <si>
    <t xml:space="preserve">Acquisition charges</t>
  </si>
  <si>
    <t xml:space="preserve">S-002 10-K FY2023 R3.htm</t>
  </si>
  <si>
    <t xml:space="preserve">Printed in the FY2023 10-K for FY2021-FY2022 only; blank = not presented, treated as 0.</t>
  </si>
  <si>
    <t xml:space="preserve">other_opex:acquisition</t>
  </si>
  <si>
    <t xml:space="preserve">operating_income</t>
  </si>
  <si>
    <t xml:space="preserve">Other income (expense), net (OI&amp;E)</t>
  </si>
  <si>
    <t xml:space="preserve">nonop:other_income</t>
  </si>
  <si>
    <t xml:space="preserve">Interest and debt expense</t>
  </si>
  <si>
    <t xml:space="preserve">Printed as a positive expense; stored negative (effect on pre-tax income).</t>
  </si>
  <si>
    <t xml:space="preserve">nonop:interest</t>
  </si>
  <si>
    <t xml:space="preserve">Income before income taxes</t>
  </si>
  <si>
    <t xml:space="preserve">pretax_income</t>
  </si>
  <si>
    <t xml:space="preserve">Provision for income taxes</t>
  </si>
  <si>
    <t xml:space="preserve">income_tax</t>
  </si>
  <si>
    <t xml:space="preserve">net_income</t>
  </si>
  <si>
    <t xml:space="preserve">Net sales by reported segment / product line</t>
  </si>
  <si>
    <t xml:space="preserve">Analog</t>
  </si>
  <si>
    <t xml:space="preserve">S-002 10-K FY2023 R34.htm; S-001 10-K FY2025 R37.htm</t>
  </si>
  <si>
    <t xml:space="preserve">Reported segment. Split 50/50 into power management and signal chain in this model (user-provided assumption).</t>
  </si>
  <si>
    <t xml:space="preserve">segment:analog</t>
  </si>
  <si>
    <t xml:space="preserve">Embedded Processing</t>
  </si>
  <si>
    <t xml:space="preserve">segment:embedded_processing</t>
  </si>
  <si>
    <t xml:space="preserve">Other</t>
  </si>
  <si>
    <t xml:space="preserve">TI's reported Other segment. Not modeled in the division (mix renormalized over the three products).</t>
  </si>
  <si>
    <t xml:space="preserve">segment:other</t>
  </si>
  <si>
    <t xml:space="preserve">Other segment disclosures</t>
  </si>
  <si>
    <t xml:space="preserve">Analog - gross profit</t>
  </si>
  <si>
    <t xml:space="preserve">S-001 10-K FY2025 R37.htm</t>
  </si>
  <si>
    <t xml:space="preserve">segment_info:analog_gross_profit</t>
  </si>
  <si>
    <t xml:space="preserve">Embedded Processing - gross profit</t>
  </si>
  <si>
    <t xml:space="preserve">segment_info:embedded_gross_profit</t>
  </si>
  <si>
    <t xml:space="preserve">Other - gross profit</t>
  </si>
  <si>
    <t xml:space="preserve">segment_info:other_gross_profit</t>
  </si>
  <si>
    <t xml:space="preserve">Cash flow statement (selected lines)</t>
  </si>
  <si>
    <t xml:space="preserve">S-002 10-K FY2023 R8.htm; S-001 10-K FY2025 R7.htm</t>
  </si>
  <si>
    <t xml:space="preserve">cf:net_income</t>
  </si>
  <si>
    <t xml:space="preserve">Depreciation only; TI prints amortization of capitalized software separately.</t>
  </si>
  <si>
    <t xml:space="preserve">cf:da</t>
  </si>
  <si>
    <t xml:space="preserve">Stock compensation</t>
  </si>
  <si>
    <t xml:space="preserve">cf:sbc</t>
  </si>
  <si>
    <t xml:space="preserve">Accounts receivable</t>
  </si>
  <si>
    <t xml:space="preserve">wc:receivables</t>
  </si>
  <si>
    <t xml:space="preserve">Inventories</t>
  </si>
  <si>
    <t xml:space="preserve">wc:inventories</t>
  </si>
  <si>
    <t xml:space="preserve">Prepaid expenses and other current assets</t>
  </si>
  <si>
    <t xml:space="preserve">wc:prepaid</t>
  </si>
  <si>
    <t xml:space="preserve">Accounts payable and accrued expenses</t>
  </si>
  <si>
    <t xml:space="preserve">wc:payables_accrued</t>
  </si>
  <si>
    <t xml:space="preserve">Accrued compensation</t>
  </si>
  <si>
    <t xml:space="preserve">wc:accrued_compensation</t>
  </si>
  <si>
    <t xml:space="preserve">Income taxes payable</t>
  </si>
  <si>
    <t xml:space="preserve">wc:income_tax</t>
  </si>
  <si>
    <t xml:space="preserve">Cash flows from operating activities</t>
  </si>
  <si>
    <t xml:space="preserve">cf:cfo</t>
  </si>
  <si>
    <t xml:space="preserve">Capital expenditures</t>
  </si>
  <si>
    <t xml:space="preserve">Printed as a cash outflow (negative). Analysis converts to positive spend.</t>
  </si>
  <si>
    <t xml:space="preserve">cf:capex</t>
  </si>
  <si>
    <t xml:space="preserve">Cash flows from investing activities</t>
  </si>
  <si>
    <t xml:space="preserve">cf:cfi</t>
  </si>
  <si>
    <t xml:space="preserve">Cash flows from financing activities</t>
  </si>
  <si>
    <t xml:space="preserve">cf:cff</t>
  </si>
  <si>
    <t xml:space="preserve">Dividends paid</t>
  </si>
  <si>
    <t xml:space="preserve">cf:dividends</t>
  </si>
  <si>
    <t xml:space="preserve">Cash and cash equivalents at end of period</t>
  </si>
  <si>
    <t xml:space="preserve">cf:cash_end</t>
  </si>
  <si>
    <t xml:space="preserve">Balance sheet (period-end, selected lines)</t>
  </si>
  <si>
    <t xml:space="preserve">Cash and cash equivalents</t>
  </si>
  <si>
    <t xml:space="preserve">S-003 10-K FY2022 R6.htm; S-002 10-K FY2023 R6.htm; S-001 10-K FY2025 R5.htm</t>
  </si>
  <si>
    <t xml:space="preserve">bs:cash</t>
  </si>
  <si>
    <t xml:space="preserve">Short-term investments</t>
  </si>
  <si>
    <t xml:space="preserve">bs:st_investments</t>
  </si>
  <si>
    <t xml:space="preserve">Accounts receivable, net</t>
  </si>
  <si>
    <t xml:space="preserve">bs:receivables</t>
  </si>
  <si>
    <t xml:space="preserve">bs:inventories</t>
  </si>
  <si>
    <t xml:space="preserve">bs:other_current_assets</t>
  </si>
  <si>
    <t xml:space="preserve">Total current assets</t>
  </si>
  <si>
    <t xml:space="preserve">bs:total_current_assets</t>
  </si>
  <si>
    <t xml:space="preserve">Property, plant and equipment (net)</t>
  </si>
  <si>
    <t xml:space="preserve">bs:ppe</t>
  </si>
  <si>
    <t xml:space="preserve">Total assets</t>
  </si>
  <si>
    <t xml:space="preserve">bs:total_assets</t>
  </si>
  <si>
    <t xml:space="preserve">Current portion of long-term debt</t>
  </si>
  <si>
    <t xml:space="preserve">bs:current_debt</t>
  </si>
  <si>
    <t xml:space="preserve">Accounts payable</t>
  </si>
  <si>
    <t xml:space="preserve">bs:payables</t>
  </si>
  <si>
    <t xml:space="preserve">bs:cl_other:accrued_compensation</t>
  </si>
  <si>
    <t xml:space="preserve">bs:cl_other:income_taxes_payable</t>
  </si>
  <si>
    <t xml:space="preserve">Accrued expenses and other liabilities</t>
  </si>
  <si>
    <t xml:space="preserve">bs:accrued</t>
  </si>
  <si>
    <t xml:space="preserve">Total current liabilities</t>
  </si>
  <si>
    <t xml:space="preserve">bs:total_current_liabilities</t>
  </si>
  <si>
    <t xml:space="preserve">Long-term debt</t>
  </si>
  <si>
    <t xml:space="preserve">bs:long_term_debt</t>
  </si>
  <si>
    <t xml:space="preserve">Total stockholders' equity</t>
  </si>
  <si>
    <t xml:space="preserve">bs:equity</t>
  </si>
  <si>
    <t xml:space="preserve">Inventory detail</t>
  </si>
  <si>
    <t xml:space="preserve">Raw materials</t>
  </si>
  <si>
    <t xml:space="preserve">inv:raw_materials</t>
  </si>
  <si>
    <t xml:space="preserve">Work in process</t>
  </si>
  <si>
    <t xml:space="preserve">inv:work_in_process</t>
  </si>
  <si>
    <t xml:space="preserve">Finished goods</t>
  </si>
  <si>
    <t xml:space="preserve">inv:finished_goods</t>
  </si>
  <si>
    <t xml:space="preserve">Quarterly context - second fiscal quarter (April-June)</t>
  </si>
  <si>
    <t xml:space="preserve">Q2 FY2025</t>
  </si>
  <si>
    <t xml:space="preserve">Q2 FY2026</t>
  </si>
  <si>
    <t xml:space="preserve">Source</t>
  </si>
  <si>
    <t xml:space="preserve">S-005 10-Q Q2 FY2026 R2.htm</t>
  </si>
  <si>
    <t xml:space="preserve">Q2 FY2025 = prior-year comparative column</t>
  </si>
  <si>
    <t xml:space="preserve">S-005 10-Q Q2 FY2026 R27.htm</t>
  </si>
  <si>
    <t xml:space="preserve">Historical Financial Analysis - Texas Instruments</t>
  </si>
  <si>
    <t xml:space="preserve">All figures are formulas on Hist_Data. Green = direct link to Hist_Data; black = calculation.</t>
  </si>
  <si>
    <t xml:space="preserve">Metric</t>
  </si>
  <si>
    <t xml:space="preserve">Formula / definition</t>
  </si>
  <si>
    <t xml:space="preserve">Growth and profitability</t>
  </si>
  <si>
    <t xml:space="preserve">Net sales</t>
  </si>
  <si>
    <t xml:space="preserve">Link: Hist_Data net sales</t>
  </si>
  <si>
    <t xml:space="preserve">Net sales growth</t>
  </si>
  <si>
    <t xml:space="preserve">n/a</t>
  </si>
  <si>
    <t xml:space="preserve">Net sales / prior-year net sales - 1</t>
  </si>
  <si>
    <t xml:space="preserve">Gross profit / net sales</t>
  </si>
  <si>
    <t xml:space="preserve">R&amp;D % of sales</t>
  </si>
  <si>
    <t xml:space="preserve">Research and development / net sales</t>
  </si>
  <si>
    <t xml:space="preserve">SG&amp;A % of sales</t>
  </si>
  <si>
    <t xml:space="preserve">SG&amp;A / net sales</t>
  </si>
  <si>
    <t xml:space="preserve">Operating margin (GAAP)</t>
  </si>
  <si>
    <t xml:space="preserve">Operating income / net sales</t>
  </si>
  <si>
    <t xml:space="preserve">Other operating items (sum of reported components)</t>
  </si>
  <si>
    <t xml:space="preserve">Sum of: restructuring charges/other, acquisition charges</t>
  </si>
  <si>
    <t xml:space="preserve">Operating income before other operating items</t>
  </si>
  <si>
    <t xml:space="preserve">Operating income + other operating items (restructuring charges/other, acquisition charges). Analyst calculation - NOT Texas Instruments's reported non-GAAP measure.</t>
  </si>
  <si>
    <t xml:space="preserve">Margin before other operating items</t>
  </si>
  <si>
    <t xml:space="preserve">Row above / net sales. Closest proxy for a product division's operating margin.</t>
  </si>
  <si>
    <t xml:space="preserve">Net margin</t>
  </si>
  <si>
    <t xml:space="preserve">Net income / net sales</t>
  </si>
  <si>
    <t xml:space="preserve">Effective tax rate</t>
  </si>
  <si>
    <t xml:space="preserve">Income tax / income before taxes. Shows n.m. (not meaningful) when pre-tax income is under 2% of sales.</t>
  </si>
  <si>
    <t xml:space="preserve">Incremental gross margin (change in GP / change in sales)</t>
  </si>
  <si>
    <t xml:space="preserve">Shows operating leverage: how much gross profit moved per $1 of sales change (fixed-cost absorption)</t>
  </si>
  <si>
    <t xml:space="preserve">Reported segment / product-line mix and growth</t>
  </si>
  <si>
    <t xml:space="preserve">Analog - share of net sales</t>
  </si>
  <si>
    <t xml:space="preserve">Analog sales / net sales</t>
  </si>
  <si>
    <t xml:space="preserve">Embedded Processing - share of net sales</t>
  </si>
  <si>
    <t xml:space="preserve">Embedded Processing sales / net sales</t>
  </si>
  <si>
    <t xml:space="preserve">Other - share of net sales</t>
  </si>
  <si>
    <t xml:space="preserve">Other sales / net sales</t>
  </si>
  <si>
    <t xml:space="preserve">Mix total (must equal 100%)</t>
  </si>
  <si>
    <t xml:space="preserve">Sum of the segment shares</t>
  </si>
  <si>
    <t xml:space="preserve">Analog - growth</t>
  </si>
  <si>
    <t xml:space="preserve">Analog sales / prior year - 1</t>
  </si>
  <si>
    <t xml:space="preserve">Embedded Processing - growth</t>
  </si>
  <si>
    <t xml:space="preserve">Embedded Processing sales / prior year - 1</t>
  </si>
  <si>
    <t xml:space="preserve">Other - growth</t>
  </si>
  <si>
    <t xml:space="preserve">Other sales / prior year - 1</t>
  </si>
  <si>
    <t xml:space="preserve">Cash flow and free cash flow (project definition)</t>
  </si>
  <si>
    <t xml:space="preserve">Link: Hist_Data net income</t>
  </si>
  <si>
    <t xml:space="preserve">Depreciation and amortization</t>
  </si>
  <si>
    <t xml:space="preserve">Link: Hist_Data D&amp;A (cash flow statement)</t>
  </si>
  <si>
    <t xml:space="preserve">Capital expenditures (positive = spend)</t>
  </si>
  <si>
    <t xml:space="preserve">Negative of capex as printed. Cash-flow statement prints capex negative.</t>
  </si>
  <si>
    <t xml:space="preserve">Increase in working capital</t>
  </si>
  <si>
    <t xml:space="preserve">Negative of the sum of the 6 cash-flow working-capital lines. Positive = cash absorbed by working capital.</t>
  </si>
  <si>
    <t xml:space="preserve">Free cash flow (project definition)</t>
  </si>
  <si>
    <t xml:space="preserve">Net income + D&amp;A - capex - increase in working capital (project formula)</t>
  </si>
  <si>
    <t xml:space="preserve">Other non-cash items in CFO (SBC, deferred tax, other)</t>
  </si>
  <si>
    <t xml:space="preserve">CFO - net income - D&amp;A + increase in WC. Explains the gap to the CFO-based FCF below.</t>
  </si>
  <si>
    <t xml:space="preserve">Free cash flow (CFO - capex, common market definition)</t>
  </si>
  <si>
    <t xml:space="preserve">Net cash from operations - capex. Reconciles to project FCF + other non-cash items (see Checks).</t>
  </si>
  <si>
    <t xml:space="preserve">FCF margin (project definition)</t>
  </si>
  <si>
    <t xml:space="preserve">Project FCF / net sales</t>
  </si>
  <si>
    <t xml:space="preserve">FCF conversion (project FCF / net income)</t>
  </si>
  <si>
    <t xml:space="preserve">x</t>
  </si>
  <si>
    <t xml:space="preserve">Project FCF / net income. Shows n.m. when net income is under 2% of sales.</t>
  </si>
  <si>
    <t xml:space="preserve">Capex % of sales</t>
  </si>
  <si>
    <t xml:space="preserve">Capex / net sales - anchor for the forecast capex assumption</t>
  </si>
  <si>
    <t xml:space="preserve">D&amp;A % of sales</t>
  </si>
  <si>
    <t xml:space="preserve">D&amp;A / net sales</t>
  </si>
  <si>
    <t xml:space="preserve">Share-based compensation % of sales</t>
  </si>
  <si>
    <t xml:space="preserve">SBC / net sales</t>
  </si>
  <si>
    <t xml:space="preserve">Capex / depreciation &amp; amortization</t>
  </si>
  <si>
    <t xml:space="preserve">&lt;1.0x means spending less than D&amp;A (asset base shrinking or amortization-heavy D&amp;A)</t>
  </si>
  <si>
    <t xml:space="preserve">Working capital and asset efficiency (year-end balances)</t>
  </si>
  <si>
    <t xml:space="preserve">Accounts receivable / net sales x 365</t>
  </si>
  <si>
    <t xml:space="preserve">Days inventory outstanding (DIO)</t>
  </si>
  <si>
    <t xml:space="preserve">Inventories / annual cost of sales x 365 (company-reported days often use quarterly COGS, so they can differ).</t>
  </si>
  <si>
    <t xml:space="preserve">Days payable outstanding (DPO)</t>
  </si>
  <si>
    <t xml:space="preserve">Accounts payable / cost of sales x 365</t>
  </si>
  <si>
    <t xml:space="preserve">Cash conversion cycle</t>
  </si>
  <si>
    <t xml:space="preserve">DSO + DIO - DPO</t>
  </si>
  <si>
    <t xml:space="preserve">Operating working capital</t>
  </si>
  <si>
    <t xml:space="preserve">AR + inventories + other current assets - AP - accrued liabilities (excludes cash and debt)</t>
  </si>
  <si>
    <t xml:space="preserve">Operating working capital % of sales</t>
  </si>
  <si>
    <t xml:space="preserve">Anchor for the forecast working-capital assumption</t>
  </si>
  <si>
    <t xml:space="preserve">Net sales / net PP&amp;E</t>
  </si>
  <si>
    <t xml:space="preserve">Fixed-asset turnover</t>
  </si>
  <si>
    <t xml:space="preserve">Quarterly context (second fiscal quarter (April-June))</t>
  </si>
  <si>
    <t xml:space="preserve">YoY growth</t>
  </si>
  <si>
    <t xml:space="preserve">Q2 FY2026 / Q2 FY2025 - 1. Context for the FY2026 demand-growth assumption.</t>
  </si>
  <si>
    <t xml:space="preserve">Analyst observations (each refers to a metric above; numbers quoted are formula results)</t>
  </si>
  <si>
    <t xml:space="preserve">Cycle</t>
  </si>
  <si>
    <t xml:space="preserve">Operating leverage</t>
  </si>
  <si>
    <t xml:space="preserve">Inventory</t>
  </si>
  <si>
    <t xml:space="preserve">Latest quarter</t>
  </si>
  <si>
    <t xml:space="preserve">Product Operating Model - FY2026 monthly (active scenario)</t>
  </si>
  <si>
    <t xml:space="preserve">Units in millions, money in $m, prices in $/unit. Every row traces to Assumptions. Black = formula.</t>
  </si>
  <si>
    <t xml:space="preserve">Scenario shown:</t>
  </si>
  <si>
    <t xml:space="preserve">FY2026</t>
  </si>
  <si>
    <t xml:space="preserve">Formula</t>
  </si>
  <si>
    <t xml:space="preserve">Power-management chips  -  Simulated data created for portfolio demonstration. It does not represent nonpublic Texas Instruments information.</t>
  </si>
  <si>
    <t xml:space="preserve">Seasonality factor</t>
  </si>
  <si>
    <t xml:space="preserve">Calculated value (simulated inputs)</t>
  </si>
  <si>
    <t xml:space="preserve">Link: Assumptions section E</t>
  </si>
  <si>
    <t xml:space="preserve">Customer demand</t>
  </si>
  <si>
    <t xml:space="preserve">FY2026 demand x seasonality / 12</t>
  </si>
  <si>
    <t xml:space="preserve">Monthly capacity (Assumptions D)</t>
  </si>
  <si>
    <t xml:space="preserve">Capacity utilization</t>
  </si>
  <si>
    <t xml:space="preserve">Scenario utilization. FY = units produced / capacity</t>
  </si>
  <si>
    <t xml:space="preserve">Capacity x utilization</t>
  </si>
  <si>
    <t xml:space="preserve">Manufacturing yield (final test)</t>
  </si>
  <si>
    <t xml:space="preserve">Scenario yield. FY = good units / units produced</t>
  </si>
  <si>
    <t xml:space="preserve">Good units produced</t>
  </si>
  <si>
    <t xml:space="preserve">Units produced x yield</t>
  </si>
  <si>
    <t xml:space="preserve">First month: Assumptions opening balance; then prior month's closing</t>
  </si>
  <si>
    <t xml:space="preserve">Available good units</t>
  </si>
  <si>
    <t xml:space="preserve">Opening inventory + good units produced</t>
  </si>
  <si>
    <t xml:space="preserve">MIN(customer demand, available good units)</t>
  </si>
  <si>
    <t xml:space="preserve">Closing finished-goods inventory</t>
  </si>
  <si>
    <t xml:space="preserve">Available - units sold</t>
  </si>
  <si>
    <t xml:space="preserve">Unmet demand (supply shortfall)</t>
  </si>
  <si>
    <t xml:space="preserve">Demand - units sold. &gt;0 means lost or delayed sales</t>
  </si>
  <si>
    <t xml:space="preserve">Demand / good-unit capacity (risk ratio)</t>
  </si>
  <si>
    <t xml:space="preserve">Demand / (capacity x yield) = share of full-load good output needed. Feeds the risk heat map</t>
  </si>
  <si>
    <t xml:space="preserve">Average selling price</t>
  </si>
  <si>
    <t xml:space="preserve">Scenario ASP. FY = revenue / units sold</t>
  </si>
  <si>
    <t xml:space="preserve">Units sold x ASP</t>
  </si>
  <si>
    <t xml:space="preserve">Variable cost per unit produced</t>
  </si>
  <si>
    <t xml:space="preserve">Scenario variable cost per unit</t>
  </si>
  <si>
    <t xml:space="preserve">Monthly fixed cost (Assumptions D)</t>
  </si>
  <si>
    <t xml:space="preserve">Total manufacturing cost</t>
  </si>
  <si>
    <t xml:space="preserve">Total manufacturing cost / good units. Rises when yield or utilization falls</t>
  </si>
  <si>
    <t xml:space="preserve">Opening inventory value</t>
  </si>
  <si>
    <t xml:space="preserve">Prior month's closing value</t>
  </si>
  <si>
    <t xml:space="preserve">Average cost per available unit</t>
  </si>
  <si>
    <t xml:space="preserve">(Opening value + manufacturing cost) / available units - weighted-average costing</t>
  </si>
  <si>
    <t xml:space="preserve">Units sold x average cost</t>
  </si>
  <si>
    <t xml:space="preserve">Closing inventory value</t>
  </si>
  <si>
    <t xml:space="preserve">Opening value + manufacturing cost - cost of revenue</t>
  </si>
  <si>
    <t xml:space="preserve">Contribution margin</t>
  </si>
  <si>
    <t xml:space="preserve">Revenue - units sold x variable cost per good unit (variable cost / yield)</t>
  </si>
  <si>
    <t xml:space="preserve">Contribution margin %</t>
  </si>
  <si>
    <t xml:space="preserve">Contribution margin / revenue</t>
  </si>
  <si>
    <t xml:space="preserve">Gross margin %</t>
  </si>
  <si>
    <t xml:space="preserve">Gross profit / revenue</t>
  </si>
  <si>
    <t xml:space="preserve">Signal-chain chips  -  Simulated data created for portfolio demonstration. It does not represent nonpublic Texas Instruments information.</t>
  </si>
  <si>
    <t xml:space="preserve">Embedded processors  -  Simulated data created for portfolio demonstration. It does not represent nonpublic Texas Instruments information.</t>
  </si>
  <si>
    <t xml:space="preserve">Division total  -  Simulated data created for portfolio demonstration. It does not represent nonpublic Texas Instruments information.</t>
  </si>
  <si>
    <t xml:space="preserve">Sum of the three product lines</t>
  </si>
  <si>
    <t xml:space="preserve">Closing finished-goods inventory value</t>
  </si>
  <si>
    <t xml:space="preserve">Sum of product closing values. Feeds working capital in Phase 3</t>
  </si>
  <si>
    <t xml:space="preserve">Unmet units x ASP, summed across products</t>
  </si>
  <si>
    <t xml:space="preserve">Monthly Revenue Forecast - FY2026 (active scenario)</t>
  </si>
  <si>
    <t xml:space="preserve">Revenue by product line, units in millions, $m. Simulated data created for portfolio demonstration. It does not represent nonpublic Texas Instruments information.</t>
  </si>
  <si>
    <t xml:space="preserve">Q1 FY26</t>
  </si>
  <si>
    <t xml:space="preserve">Q2 FY26</t>
  </si>
  <si>
    <t xml:space="preserve">Q3 FY26</t>
  </si>
  <si>
    <t xml:space="preserve">Q4 FY26</t>
  </si>
  <si>
    <t xml:space="preserve">FY2025 base</t>
  </si>
  <si>
    <t xml:space="preserve">FY26 vs FY25</t>
  </si>
  <si>
    <t xml:space="preserve">Power-management chips</t>
  </si>
  <si>
    <t xml:space="preserve">Link: Ops_Model units sold</t>
  </si>
  <si>
    <t xml:space="preserve">Link: Ops_Model revenue</t>
  </si>
  <si>
    <t xml:space="preserve">Revenue / units sold</t>
  </si>
  <si>
    <t xml:space="preserve">Signal-chain chips</t>
  </si>
  <si>
    <t xml:space="preserve">Sum of product lines</t>
  </si>
  <si>
    <t xml:space="preserve">Mix - Power-management chips</t>
  </si>
  <si>
    <t xml:space="preserve">Product revenue / division revenue</t>
  </si>
  <si>
    <t xml:space="preserve">Mix - Signal-chain chips</t>
  </si>
  <si>
    <t xml:space="preserve">Mix - Embedded processors</t>
  </si>
  <si>
    <t xml:space="preserve">Mix total</t>
  </si>
  <si>
    <t xml:space="preserve">Must be 100%</t>
  </si>
  <si>
    <t xml:space="preserve">Monthly P&amp;L Forecast - FY2026 (active scenario)</t>
  </si>
  <si>
    <t xml:space="preserve">Division P&amp;L to net income, $m. No division-level interest (financing sits at corporate). Simulated data created for portfolio demonstration. It does not represent nonpublic Texas Instruments information.</t>
  </si>
  <si>
    <t xml:space="preserve">Link: Revenue tab</t>
  </si>
  <si>
    <t xml:space="preserve">Cost of revenue - manufacturing</t>
  </si>
  <si>
    <t xml:space="preserve">Link: Ops_Model (weighted-average inventory cost)</t>
  </si>
  <si>
    <t xml:space="preserve">Cost of revenue - depreciation on FY2026 capex</t>
  </si>
  <si>
    <t xml:space="preserve">Link: FCF tab section A</t>
  </si>
  <si>
    <t xml:space="preserve">Total cost of revenue</t>
  </si>
  <si>
    <t xml:space="preserve">Manufacturing + new-capex depreciation</t>
  </si>
  <si>
    <t xml:space="preserve">Research and development</t>
  </si>
  <si>
    <t xml:space="preserve">Base-year R&amp;D x (1 + R&amp;D growth) / 12</t>
  </si>
  <si>
    <t xml:space="preserve">Selling, general and administrative</t>
  </si>
  <si>
    <t xml:space="preserve">Base-year SG&amp;A x (1 + SG&amp;A growth) / 12</t>
  </si>
  <si>
    <t xml:space="preserve">Total operating expenses</t>
  </si>
  <si>
    <t xml:space="preserve">R&amp;D + SG&amp;A</t>
  </si>
  <si>
    <t xml:space="preserve">Gross profit - operating expenses</t>
  </si>
  <si>
    <t xml:space="preserve">Operating profit / revenue</t>
  </si>
  <si>
    <t xml:space="preserve">Pre-tax income</t>
  </si>
  <si>
    <t xml:space="preserve">Equals operating profit (no division-level interest or other income)</t>
  </si>
  <si>
    <t xml:space="preserve">Income tax</t>
  </si>
  <si>
    <t xml:space="preserve">Pre-tax income x scenario tax rate (a loss month gives a tax credit)</t>
  </si>
  <si>
    <t xml:space="preserve">Pre-tax income - tax</t>
  </si>
  <si>
    <t xml:space="preserve">Net income / revenue</t>
  </si>
  <si>
    <t xml:space="preserve">Memo</t>
  </si>
  <si>
    <t xml:space="preserve">Depreciation (from FCF tab)</t>
  </si>
  <si>
    <t xml:space="preserve">Link: FCF tab total depreciation</t>
  </si>
  <si>
    <t xml:space="preserve">EBITDA</t>
  </si>
  <si>
    <t xml:space="preserve">Operating profit + depreciation</t>
  </si>
  <si>
    <t xml:space="preserve">EBITDA margin</t>
  </si>
  <si>
    <t xml:space="preserve">EBITDA / revenue</t>
  </si>
  <si>
    <t xml:space="preserve">Contribution margin (from Ops_Model)</t>
  </si>
  <si>
    <t xml:space="preserve">Revenue - variable cost of units sold</t>
  </si>
  <si>
    <t xml:space="preserve">Free Cash Flow Forecast - FY2026 (active scenario)</t>
  </si>
  <si>
    <t xml:space="preserve">FCF = net income + depreciation - capital expenditures - increase in working capital. Simulated data created for portfolio demonstration. It does not represent nonpublic Texas Instruments information.</t>
  </si>
  <si>
    <t xml:space="preserve">A. Capital expenditures and depreciation</t>
  </si>
  <si>
    <t xml:space="preserve">Revenue x capex % (scenario). Excludes the Phase 5 test-equipment proposal</t>
  </si>
  <si>
    <t xml:space="preserve">Depreciation on FY2026 capex</t>
  </si>
  <si>
    <t xml:space="preserve">Straight-line over useful life; starts the month after spend</t>
  </si>
  <si>
    <t xml:space="preserve">Depreciation inside fixed manufacturing cost</t>
  </si>
  <si>
    <t xml:space="preserve">Fixed manufacturing cost x depreciation share</t>
  </si>
  <si>
    <t xml:space="preserve">Total depreciation</t>
  </si>
  <si>
    <t xml:space="preserve">Sum of the two lines above</t>
  </si>
  <si>
    <t xml:space="preserve">B. Operating working capital (period-end balances)</t>
  </si>
  <si>
    <t xml:space="preserve">Monthly revenue x 12 x DSO / 365</t>
  </si>
  <si>
    <t xml:space="preserve">Inventory (finished goods)</t>
  </si>
  <si>
    <t xml:space="preserve">Link: Ops_Model closing inventory value</t>
  </si>
  <si>
    <t xml:space="preserve">Monthly variable manufacturing cost x 12 x DPO / 365</t>
  </si>
  <si>
    <t xml:space="preserve">This month's working capital - prior month's (first month vs 31-Dec-2025 opening balance)</t>
  </si>
  <si>
    <t xml:space="preserve">C. Free cash flow</t>
  </si>
  <si>
    <t xml:space="preserve">Link: PnL</t>
  </si>
  <si>
    <t xml:space="preserve">+ Depreciation</t>
  </si>
  <si>
    <t xml:space="preserve">Section A</t>
  </si>
  <si>
    <t xml:space="preserve">- Capital expenditures</t>
  </si>
  <si>
    <t xml:space="preserve">- Increase in working capital</t>
  </si>
  <si>
    <t xml:space="preserve">Section B</t>
  </si>
  <si>
    <t xml:space="preserve">Net income + depreciation - capex - increase in working capital</t>
  </si>
  <si>
    <t xml:space="preserve">FCF / revenue</t>
  </si>
  <si>
    <t xml:space="preserve">FCF conversion (FCF / net income)</t>
  </si>
  <si>
    <t xml:space="preserve">FCF / net income</t>
  </si>
  <si>
    <t xml:space="preserve">Cumulative free cash flow</t>
  </si>
  <si>
    <t xml:space="preserve">Running total from January 2026</t>
  </si>
  <si>
    <t xml:space="preserve">FY2026 Budget - Base scenario, LOCKED</t>
  </si>
  <si>
    <t xml:space="preserve">Reads the Base column (Assumptions column D) directly, so it does NOT change with the scenario selector.</t>
  </si>
  <si>
    <t xml:space="preserve">YTD Jan-May</t>
  </si>
  <si>
    <t xml:space="preserve">Budget drivers (links to the Base column of Assumptions section A)</t>
  </si>
  <si>
    <t xml:space="preserve">User-provided assumption (Base)</t>
  </si>
  <si>
    <t xml:space="preserve">Power-management chips - budget  (Simulated data created for portfolio demonstration. It does not represent nonpublic Texas Instruments information.)</t>
  </si>
  <si>
    <t xml:space="preserve">Calculated value (budget)</t>
  </si>
  <si>
    <t xml:space="preserve">MIN(demand, available)</t>
  </si>
  <si>
    <t xml:space="preserve">Available - sold</t>
  </si>
  <si>
    <t xml:space="preserve">Unmet demand</t>
  </si>
  <si>
    <t xml:space="preserve">Units produced x variable cost</t>
  </si>
  <si>
    <t xml:space="preserve">Variable + fixed</t>
  </si>
  <si>
    <t xml:space="preserve">Weighted-average cost</t>
  </si>
  <si>
    <t xml:space="preserve">Cost of revenue (manufacturing)</t>
  </si>
  <si>
    <t xml:space="preserve">Opening + manufacturing cost - cost of revenue</t>
  </si>
  <si>
    <t xml:space="preserve">Gross profit (before new-capex depreciation)</t>
  </si>
  <si>
    <t xml:space="preserve">Signal-chain chips - budget  (Simulated data created for portfolio demonstration. It does not represent nonpublic Texas Instruments information.)</t>
  </si>
  <si>
    <t xml:space="preserve">Embedded processors - budget  (Simulated data created for portfolio demonstration. It does not represent nonpublic Texas Instruments information.)</t>
  </si>
  <si>
    <t xml:space="preserve">Division budget P&amp;L to operating profit  (Simulated data created for portfolio demonstration. It does not represent nonpublic Texas Instruments information.)</t>
  </si>
  <si>
    <t xml:space="preserve">Actual Results - Jan-May 2026 (SIMULATED)</t>
  </si>
  <si>
    <t xml:space="preserve">Simulated actuals for the budget-vs-actual exercise. Same operating logic as the budget, different inputs.</t>
  </si>
  <si>
    <t xml:space="preserve">Simulated data created for portfolio demonstration. It does not represent nonpublic Texas Instruments information.  ALL VALUES ON THIS TAB ARE SIMULATED.</t>
  </si>
  <si>
    <t xml:space="preserve">Simulated actual inputs</t>
  </si>
  <si>
    <t xml:space="preserve">Power</t>
  </si>
  <si>
    <t xml:space="preserve">Embedded</t>
  </si>
  <si>
    <t xml:space="preserve">Note</t>
  </si>
  <si>
    <t xml:space="preserve">Demand vs budget</t>
  </si>
  <si>
    <t xml:space="preserve">Power demand ahead on industrial and automotive restocking; embedded behind plan</t>
  </si>
  <si>
    <t xml:space="preserve">ASP change vs FY2025 base-year ASP</t>
  </si>
  <si>
    <t xml:space="preserve">Budget assumed -1.0% for every product</t>
  </si>
  <si>
    <t xml:space="preserve">Actual final-test yield</t>
  </si>
  <si>
    <t xml:space="preserve">Embedded yield below plan on the older test handlers (budget 88%)</t>
  </si>
  <si>
    <t xml:space="preserve">Actual capacity utilization</t>
  </si>
  <si>
    <t xml:space="preserve">Power test floor run hard to meet demand; embedded loading cut (budget 78%)</t>
  </si>
  <si>
    <t xml:space="preserve">Variable cost change vs FY2025 base-year cost</t>
  </si>
  <si>
    <t xml:space="preserve">Wafer and substrate price increases (budget +3.0%)</t>
  </si>
  <si>
    <t xml:space="preserve">Actual fixed manufacturing cost per month</t>
  </si>
  <si>
    <t xml:space="preserve">Power overtime on the test floor</t>
  </si>
  <si>
    <t xml:space="preserve">Actual R&amp;D expense per month</t>
  </si>
  <si>
    <t xml:space="preserve">Budget $10.5m: added design engineers</t>
  </si>
  <si>
    <t xml:space="preserve">Actual SG&amp;A expense per month</t>
  </si>
  <si>
    <t xml:space="preserve">Budget $8.58m: travel and marketing held back</t>
  </si>
  <si>
    <t xml:space="preserve">Actual capex % of revenue</t>
  </si>
  <si>
    <t xml:space="preserve">Budget 5.0%: some projects deferred</t>
  </si>
  <si>
    <t xml:space="preserve">Monthly demand noise (applies to all products)</t>
  </si>
  <si>
    <t xml:space="preserve">Row is by month (Jan-May), not by product</t>
  </si>
  <si>
    <t xml:space="preserve">Power-management chips - actual  (Simulated data created for portfolio demonstration. It does not represent nonpublic Texas Instruments information.)</t>
  </si>
  <si>
    <t xml:space="preserve">Signal-chain chips - actual  (Simulated data created for portfolio demonstration. It does not represent nonpublic Texas Instruments information.)</t>
  </si>
  <si>
    <t xml:space="preserve">Embedded processors - actual  (Simulated data created for portfolio demonstration. It does not represent nonpublic Texas Instruments information.)</t>
  </si>
  <si>
    <t xml:space="preserve">Division actual P&amp;L to operating profit  (Simulated data created for portfolio demonstration. It does not represent nonpublic Texas Instruments information.)</t>
  </si>
  <si>
    <t xml:space="preserve">Budget vs Actual - YTD Jan-May 2026</t>
  </si>
  <si>
    <t xml:space="preserve">Favorable = positive (adds to profit). Components are computed separately and must reconcile to the totals.</t>
  </si>
  <si>
    <t xml:space="preserve">Simulated data created for portfolio demonstration. It does not represent nonpublic Texas Instruments information.  (Actuals are simulated.)</t>
  </si>
  <si>
    <t xml:space="preserve">A. YTD P&amp;L summary</t>
  </si>
  <si>
    <t xml:space="preserve">Line</t>
  </si>
  <si>
    <t xml:space="preserve">Actual</t>
  </si>
  <si>
    <t xml:space="preserve">Variance %</t>
  </si>
  <si>
    <t xml:space="preserve">Fav / Unfav</t>
  </si>
  <si>
    <t xml:space="preserve">Definition</t>
  </si>
  <si>
    <t xml:space="preserve">Revenue - Power-management chips</t>
  </si>
  <si>
    <t xml:space="preserve">Actual - budget</t>
  </si>
  <si>
    <t xml:space="preserve">Revenue - Signal-chain chips</t>
  </si>
  <si>
    <t xml:space="preserve">Revenue - Embedded processors</t>
  </si>
  <si>
    <t xml:space="preserve">Total revenue</t>
  </si>
  <si>
    <t xml:space="preserve">Budget - actual (cost: lower actual = favorable)</t>
  </si>
  <si>
    <t xml:space="preserve">B. Operating KPIs, YTD (budget vs actual)</t>
  </si>
  <si>
    <t xml:space="preserve">KPI</t>
  </si>
  <si>
    <t xml:space="preserve">Difference</t>
  </si>
  <si>
    <t xml:space="preserve">Units sold - Power-management chips</t>
  </si>
  <si>
    <t xml:space="preserve">Units sold - Signal-chain chips</t>
  </si>
  <si>
    <t xml:space="preserve">Units sold - Embedded processors</t>
  </si>
  <si>
    <t xml:space="preserve">Average selling price - Power-management chips</t>
  </si>
  <si>
    <t xml:space="preserve">Average selling price - Signal-chain chips</t>
  </si>
  <si>
    <t xml:space="preserve">Average selling price - Embedded processors</t>
  </si>
  <si>
    <t xml:space="preserve">Manufacturing yield - Power-management chips</t>
  </si>
  <si>
    <t xml:space="preserve">Manufacturing yield - Signal-chain chips</t>
  </si>
  <si>
    <t xml:space="preserve">Manufacturing yield - Embedded processors</t>
  </si>
  <si>
    <t xml:space="preserve">Capacity utilization - Power-management chips</t>
  </si>
  <si>
    <t xml:space="preserve">Capacity utilization - Signal-chain chips</t>
  </si>
  <si>
    <t xml:space="preserve">Capacity utilization - Embedded processors</t>
  </si>
  <si>
    <t xml:space="preserve">Cost per good unit - Power-management chips</t>
  </si>
  <si>
    <t xml:space="preserve">Cost per good unit - Signal-chain chips</t>
  </si>
  <si>
    <t xml:space="preserve">Cost per good unit - Embedded processors</t>
  </si>
  <si>
    <t xml:space="preserve">Unmet demand - Power-management chips</t>
  </si>
  <si>
    <t xml:space="preserve">Unmet demand - Signal-chain chips</t>
  </si>
  <si>
    <t xml:space="preserve">Unmet demand - Embedded processors</t>
  </si>
  <si>
    <t xml:space="preserve">C. Variance inputs by product (YTD)</t>
  </si>
  <si>
    <t xml:space="preserve">Units sold - budget (Ub)</t>
  </si>
  <si>
    <t xml:space="preserve">Units sold - actual (Ua)</t>
  </si>
  <si>
    <t xml:space="preserve">Mix - budget (Ub / total Ub)</t>
  </si>
  <si>
    <t xml:space="preserve">Mix - actual (Ua / total Ua)</t>
  </si>
  <si>
    <t xml:space="preserve">ASP - budget</t>
  </si>
  <si>
    <t xml:space="preserve">Division = budget revenue / total budget units (average price at budget mix)</t>
  </si>
  <si>
    <t xml:space="preserve">ASP - actual</t>
  </si>
  <si>
    <t xml:space="preserve">Cost of revenue per unit sold - budget (cb)</t>
  </si>
  <si>
    <t xml:space="preserve">Budget manufacturing cost of revenue / budget units</t>
  </si>
  <si>
    <t xml:space="preserve">Cost of revenue per unit sold - actual (ca)</t>
  </si>
  <si>
    <t xml:space="preserve">Gross profit per unit - budget (ASPb - cb)</t>
  </si>
  <si>
    <t xml:space="preserve">Units produced - budget (Pb)</t>
  </si>
  <si>
    <t xml:space="preserve">Units produced - actual (Pa)</t>
  </si>
  <si>
    <t xml:space="preserve">Good units - actual (Ga)</t>
  </si>
  <si>
    <t xml:space="preserve">Yield - budget (yb)</t>
  </si>
  <si>
    <t xml:space="preserve">Variable cost per unit produced - budget</t>
  </si>
  <si>
    <t xml:space="preserve">Variable cost per unit produced - actual</t>
  </si>
  <si>
    <t xml:space="preserve">Fixed manufacturing cost - budget</t>
  </si>
  <si>
    <t xml:space="preserve">Fixed manufacturing cost - actual</t>
  </si>
  <si>
    <t xml:space="preserve">Closing inventory value (Aug) - budget</t>
  </si>
  <si>
    <t xml:space="preserve">Closing inventory value (Aug) - actual</t>
  </si>
  <si>
    <t xml:space="preserve">D. Revenue variance: price, volume, mix</t>
  </si>
  <si>
    <t xml:space="preserve">Component</t>
  </si>
  <si>
    <t xml:space="preserve">Price variance</t>
  </si>
  <si>
    <t xml:space="preserve">Ua x (ASPa - ASPb)</t>
  </si>
  <si>
    <t xml:space="preserve">Volume variance</t>
  </si>
  <si>
    <t xml:space="preserve">Budget mix x (total Ua - total Ub) x ASPb.  Division = change in total units x budget average price</t>
  </si>
  <si>
    <t xml:space="preserve">Product-mix variance</t>
  </si>
  <si>
    <t xml:space="preserve">(actual mix - budget mix) x total Ua x ASPb</t>
  </si>
  <si>
    <t xml:space="preserve">Sum of components</t>
  </si>
  <si>
    <t xml:space="preserve">Total revenue variance (actual - budget, computed directly)</t>
  </si>
  <si>
    <t xml:space="preserve">Unreconciled difference (division)</t>
  </si>
  <si>
    <t xml:space="preserve">Note: the product columns of volume and mix are an allocation; only their sum per product ((Ua - Ub) x ASPb) and the division totals are unique.</t>
  </si>
  <si>
    <t xml:space="preserve">E. Operating-profit bridge (waterfall): budget to actual</t>
  </si>
  <si>
    <t xml:space="preserve">Step</t>
  </si>
  <si>
    <t xml:space="preserve">Formula (favorable = positive)</t>
  </si>
  <si>
    <t xml:space="preserve">Budget operating profit (YTD)</t>
  </si>
  <si>
    <t xml:space="preserve">Price</t>
  </si>
  <si>
    <t xml:space="preserve">Same as revenue price variance</t>
  </si>
  <si>
    <t xml:space="preserve">Sales volume</t>
  </si>
  <si>
    <t xml:space="preserve">Budget mix x (total Ua - total Ub) x budget gross profit per unit</t>
  </si>
  <si>
    <t xml:space="preserve">Product mix</t>
  </si>
  <si>
    <t xml:space="preserve">(actual mix - budget mix) x total Ua x budget gross profit per unit</t>
  </si>
  <si>
    <t xml:space="preserve">Material cost</t>
  </si>
  <si>
    <t xml:space="preserve">-Pa x (actual - budget variable cost per unit)</t>
  </si>
  <si>
    <t xml:space="preserve">Manufacturing yield</t>
  </si>
  <si>
    <t xml:space="preserve">-budget variable cost x (units started - units needed at budget yield for actual good output)</t>
  </si>
  <si>
    <t xml:space="preserve">Fixed manufacturing spending (incl. new-capex depreciation)</t>
  </si>
  <si>
    <t xml:space="preserve">-(actual - budget fixed cost); division also includes the new-capex depreciation difference</t>
  </si>
  <si>
    <t xml:space="preserve">Production volume, absorption &amp; inventory</t>
  </si>
  <si>
    <t xml:space="preserve">-[budget var. cost x (standard starts - Pb) - (closing inventory a - b) - (Ua - Ub) x cb]: cost of producing more/less than sold, held in inventory</t>
  </si>
  <si>
    <t xml:space="preserve">R&amp;D</t>
  </si>
  <si>
    <t xml:space="preserve">-(actual - budget R&amp;D)</t>
  </si>
  <si>
    <t xml:space="preserve">SG&amp;A</t>
  </si>
  <si>
    <t xml:space="preserve">-(actual - budget SG&amp;A)</t>
  </si>
  <si>
    <t xml:space="preserve">Actual operating profit - from bridge</t>
  </si>
  <si>
    <t xml:space="preserve">Actual operating profit - from Actuals tab</t>
  </si>
  <si>
    <t xml:space="preserve">Unreconciled difference</t>
  </si>
  <si>
    <t xml:space="preserve">Required variance summary (division, YTD, favorable = positive)</t>
  </si>
  <si>
    <t xml:space="preserve">Total revenue variance</t>
  </si>
  <si>
    <t xml:space="preserve">Volume variance (revenue)</t>
  </si>
  <si>
    <t xml:space="preserve">Product-mix variance (revenue)</t>
  </si>
  <si>
    <t xml:space="preserve">Material-cost variance</t>
  </si>
  <si>
    <t xml:space="preserve">Manufacturing-yield variance</t>
  </si>
  <si>
    <t xml:space="preserve">Operating-expense variance</t>
  </si>
  <si>
    <t xml:space="preserve">Operating-profit variance</t>
  </si>
  <si>
    <t xml:space="preserve">F. Monthly budget vs actual (Jan-May 2026)</t>
  </si>
  <si>
    <t xml:space="preserve">Revenue - budget</t>
  </si>
  <si>
    <t xml:space="preserve">Revenue - actual</t>
  </si>
  <si>
    <t xml:space="preserve">Operating profit - budget</t>
  </si>
  <si>
    <t xml:space="preserve">Operating profit - actual</t>
  </si>
  <si>
    <t xml:space="preserve">Revenue variance</t>
  </si>
  <si>
    <t xml:space="preserve">Capital Investment Decision - Power-Management Final-Test Expansion Cell (hypothetical)</t>
  </si>
  <si>
    <t xml:space="preserve">Incremental with-vs-without-project cash flows, evaluated in all three scenarios. $m unless noted.</t>
  </si>
  <si>
    <t xml:space="preserve">Simulated data created for portfolio demonstration. It does not represent nonpublic Texas Instruments information.  The equipment proposal is hypothetical.</t>
  </si>
  <si>
    <t xml:space="preserve">A. Project inputs (same in every scenario)</t>
  </si>
  <si>
    <t xml:space="preserve">Equipment purchase price</t>
  </si>
  <si>
    <t xml:space="preserve">Hypothetical project assumption</t>
  </si>
  <si>
    <t xml:space="preserve">High-parallel test handlers and testers for power-management devices</t>
  </si>
  <si>
    <t xml:space="preserve">Installation, qualification and software</t>
  </si>
  <si>
    <t xml:space="preserve">Capitalized with the equipment</t>
  </si>
  <si>
    <t xml:space="preserve">Additional final-test capacity</t>
  </si>
  <si>
    <t xml:space="preserve">+7% on the Power line's 88.00m units/month (Assumptions D)</t>
  </si>
  <si>
    <t xml:space="preserve">Expected Power yield improvement</t>
  </si>
  <si>
    <t xml:space="preserve">Better contacting and thermal control; applies to ALL Power units tested</t>
  </si>
  <si>
    <t xml:space="preserve">Operating-cost savings</t>
  </si>
  <si>
    <t xml:space="preserve">$m/yr</t>
  </si>
  <si>
    <t xml:space="preserve">Retire overtime on the existing test floor</t>
  </si>
  <si>
    <t xml:space="preserve">Maintenance cost of new equipment</t>
  </si>
  <si>
    <t xml:space="preserve">Service contract and spares</t>
  </si>
  <si>
    <t xml:space="preserve">Useful life (and tax depreciation period)</t>
  </si>
  <si>
    <t xml:space="preserve">years</t>
  </si>
  <si>
    <t xml:space="preserve">Straight-line</t>
  </si>
  <si>
    <t xml:space="preserve">Salvage value at end of life</t>
  </si>
  <si>
    <t xml:space="preserve">Conservative: none</t>
  </si>
  <si>
    <t xml:space="preserve">Maximum practical utilization</t>
  </si>
  <si>
    <t xml:space="preserve">Test floors cannot run at 100% (changeovers, maintenance)</t>
  </si>
  <si>
    <t xml:space="preserve">Annual Power ASP erosion after FY2026</t>
  </si>
  <si>
    <t xml:space="preserve">Price declines each year; unit cost held flat</t>
  </si>
  <si>
    <t xml:space="preserve">Discount rate (division cost of capital)</t>
  </si>
  <si>
    <t xml:space="preserve">Assumed. TI does not report a WACC; semiconductor WACCs are commonly 8-11%</t>
  </si>
  <si>
    <t xml:space="preserve">Decision criterion: minimum IRR (hurdle)</t>
  </si>
  <si>
    <t xml:space="preserve">Discount rate + 2 pts risk premium</t>
  </si>
  <si>
    <t xml:space="preserve">Decision criterion: maximum payback</t>
  </si>
  <si>
    <t xml:space="preserve">Equipment-payback norm; shorter than useful life</t>
  </si>
  <si>
    <t xml:space="preserve">Total capital investment (Year 0)</t>
  </si>
  <si>
    <t xml:space="preserve">DSO for incremental receivables (link)</t>
  </si>
  <si>
    <t xml:space="preserve">Link: Assumptions G</t>
  </si>
  <si>
    <t xml:space="preserve">B. Scenario inputs (read from the Downside / Base / Upside columns - all three are evaluated)</t>
  </si>
  <si>
    <t xml:space="preserve">Power demand growth per year after FY2026</t>
  </si>
  <si>
    <t xml:space="preserve">Downside: power demand stalls; Upside: industrial and automotive recovery continues</t>
  </si>
  <si>
    <t xml:space="preserve">Power demand FY2026</t>
  </si>
  <si>
    <t xml:space="preserve">Base-year Power units x (1 + scenario demand growth + Power differential)</t>
  </si>
  <si>
    <t xml:space="preserve">Power ASP FY2026</t>
  </si>
  <si>
    <t xml:space="preserve">Base-year ASP x (1 + scenario ASP change)</t>
  </si>
  <si>
    <t xml:space="preserve">Power variable cost per unit tested</t>
  </si>
  <si>
    <t xml:space="preserve">Base-year cost x (1 + scenario material inflation)</t>
  </si>
  <si>
    <t xml:space="preserve">Power yield without project</t>
  </si>
  <si>
    <t xml:space="preserve">Base-year yield + scenario yield change</t>
  </si>
  <si>
    <t xml:space="preserve">Power yield with project</t>
  </si>
  <si>
    <t xml:space="preserve">Yield without project + improvement</t>
  </si>
  <si>
    <t xml:space="preserve">Assumptions A (scenario)</t>
  </si>
  <si>
    <t xml:space="preserve">Good-unit capacity without project</t>
  </si>
  <si>
    <t xml:space="preserve">m units/yr</t>
  </si>
  <si>
    <t xml:space="preserve">Existing capacity x 12 x max utilization x yield</t>
  </si>
  <si>
    <t xml:space="preserve">Good-unit capacity with project</t>
  </si>
  <si>
    <t xml:space="preserve">(Existing + added capacity) x 12 x max utilization x new yield</t>
  </si>
  <si>
    <t xml:space="preserve">Good units from the added capacity at 100% use</t>
  </si>
  <si>
    <t xml:space="preserve">Added capacity x 12 x new yield - denominator for break-even utilization</t>
  </si>
  <si>
    <t xml:space="preserve">C1. Incremental cash flows - DOWNSIDE scenario</t>
  </si>
  <si>
    <t xml:space="preserve">Year 0</t>
  </si>
  <si>
    <t xml:space="preserve">Year 1</t>
  </si>
  <si>
    <t xml:space="preserve">Year 2</t>
  </si>
  <si>
    <t xml:space="preserve">Year 3</t>
  </si>
  <si>
    <t xml:space="preserve">Year 4</t>
  </si>
  <si>
    <t xml:space="preserve">Year 5</t>
  </si>
  <si>
    <t xml:space="preserve">Year 6</t>
  </si>
  <si>
    <t xml:space="preserve">Year</t>
  </si>
  <si>
    <t xml:space="preserve">#</t>
  </si>
  <si>
    <t xml:space="preserve">Calculated value (hypothetical inputs)</t>
  </si>
  <si>
    <t xml:space="preserve">Fiscal year</t>
  </si>
  <si>
    <t xml:space="preserve">Power customer demand</t>
  </si>
  <si>
    <t xml:space="preserve">Power ASP</t>
  </si>
  <si>
    <t xml:space="preserve">Units sold without project</t>
  </si>
  <si>
    <t xml:space="preserve">MIN(demand, capacity without)</t>
  </si>
  <si>
    <t xml:space="preserve">Units sold with project</t>
  </si>
  <si>
    <t xml:space="preserve">MIN(demand, capacity with)</t>
  </si>
  <si>
    <t xml:space="preserve">Incremental units sold</t>
  </si>
  <si>
    <t xml:space="preserve">Incremental revenue</t>
  </si>
  <si>
    <t xml:space="preserve">Incremental units x ASP</t>
  </si>
  <si>
    <t xml:space="preserve">Contribution from incremental units</t>
  </si>
  <si>
    <t xml:space="preserve">Incremental units x (ASP - variable cost / new yield)</t>
  </si>
  <si>
    <t xml:space="preserve">Scrap reduction (units no longer scrapped)</t>
  </si>
  <si>
    <t xml:space="preserve">Units sold without x (1/old yield - 1/new yield)</t>
  </si>
  <si>
    <t xml:space="preserve">Scrap reduction ($)</t>
  </si>
  <si>
    <t xml:space="preserve">Scrap units x variable cost</t>
  </si>
  <si>
    <t xml:space="preserve">Maintenance cost</t>
  </si>
  <si>
    <t xml:space="preserve">Incremental EBITDA</t>
  </si>
  <si>
    <t xml:space="preserve">Contribution + scrap reduction + savings - maintenance</t>
  </si>
  <si>
    <t xml:space="preserve">Tax depreciation</t>
  </si>
  <si>
    <t xml:space="preserve">(Investment - salvage) / life</t>
  </si>
  <si>
    <t xml:space="preserve">Incremental operating profit (EBIT)</t>
  </si>
  <si>
    <t xml:space="preserve">EBITDA - depreciation</t>
  </si>
  <si>
    <t xml:space="preserve">Tax on incremental EBIT</t>
  </si>
  <si>
    <t xml:space="preserve">EBIT x tax rate (a loss offsets other division profit)</t>
  </si>
  <si>
    <t xml:space="preserve">Incremental after-tax operating profit</t>
  </si>
  <si>
    <t xml:space="preserve">EBIT - tax</t>
  </si>
  <si>
    <t xml:space="preserve">Incremental working capital (receivables)</t>
  </si>
  <si>
    <t xml:space="preserve">Incremental revenue x DSO / 365</t>
  </si>
  <si>
    <t xml:space="preserve">Increase in working capital (recovered in final year)</t>
  </si>
  <si>
    <t xml:space="preserve">Change in incremental WC; final year releases the balance</t>
  </si>
  <si>
    <t xml:space="preserve">Capital investment / salvage</t>
  </si>
  <si>
    <t xml:space="preserve">Year 0: -investment; final year: + salvage</t>
  </si>
  <si>
    <t xml:space="preserve">Incremental free cash flow</t>
  </si>
  <si>
    <t xml:space="preserve">After-tax profit + depreciation - increase in WC + investment</t>
  </si>
  <si>
    <t xml:space="preserve">Discount factor</t>
  </si>
  <si>
    <t xml:space="preserve">1 / (1 + discount rate) ^ year</t>
  </si>
  <si>
    <t xml:space="preserve">Present value of free cash flow</t>
  </si>
  <si>
    <t xml:space="preserve">FCF x discount factor</t>
  </si>
  <si>
    <t xml:space="preserve">Running total of FCF</t>
  </si>
  <si>
    <t xml:space="preserve">Payback helper (year in which cumulative turns positive)</t>
  </si>
  <si>
    <t xml:space="preserve">(year - 1) + unrecovered amount / that year's FCF, only in the crossover year</t>
  </si>
  <si>
    <t xml:space="preserve">Volume-related after-tax cash flow (for break-even)</t>
  </si>
  <si>
    <t xml:space="preserve">Contribution x (1 - tax) - WC effect of incremental revenue</t>
  </si>
  <si>
    <t xml:space="preserve">After-tax cash flow if added capacity fully used (for break-even)</t>
  </si>
  <si>
    <t xml:space="preserve">Full added units x (ASP - var. cost / new yield) x (1 - tax) - WC effect</t>
  </si>
  <si>
    <t xml:space="preserve">NPV at discount rate</t>
  </si>
  <si>
    <t xml:space="preserve">Year-0 cash flow + NPV(rate, years 1-6)</t>
  </si>
  <si>
    <t xml:space="preserve">IRR</t>
  </si>
  <si>
    <t xml:space="preserve">Rate at which NPV = 0 (n.m. if cash flows never recover the investment)</t>
  </si>
  <si>
    <t xml:space="preserve">Payback period</t>
  </si>
  <si>
    <t xml:space="preserve">Years until cumulative FCF turns positive (interpolated)</t>
  </si>
  <si>
    <t xml:space="preserve">NPV with no incremental volume</t>
  </si>
  <si>
    <t xml:space="preserve">NPV minus PV of volume-related cash flow: what yield, scrap, savings and maintenance alone are worth</t>
  </si>
  <si>
    <t xml:space="preserve">PV of cash flow if added capacity fully used</t>
  </si>
  <si>
    <t xml:space="preserve">PV of selling every good unit the added capacity can produce</t>
  </si>
  <si>
    <t xml:space="preserve">Break-even utilization of the added capacity</t>
  </si>
  <si>
    <t xml:space="preserve">Average share of the added capacity that must be sold for NPV = 0 (0% = pays back on yield and savings alone)</t>
  </si>
  <si>
    <t xml:space="preserve">Implied average use of the added capacity in this scenario</t>
  </si>
  <si>
    <t xml:space="preserve">Incremental units / (full added units x years). Can exceed 100% because the yield gain also lifts old-tester output</t>
  </si>
  <si>
    <t xml:space="preserve">C2. Incremental cash flows - BASE scenario</t>
  </si>
  <si>
    <t xml:space="preserve">C3. Incremental cash flows - UPSIDE scenario</t>
  </si>
  <si>
    <t xml:space="preserve">D. Decision criteria and recommendation</t>
  </si>
  <si>
    <t xml:space="preserve">Criterion</t>
  </si>
  <si>
    <t xml:space="preserve">Threshold</t>
  </si>
  <si>
    <t xml:space="preserve">Rule</t>
  </si>
  <si>
    <t xml:space="preserve">NPV ($m)</t>
  </si>
  <si>
    <t xml:space="preserve">Payback (years)</t>
  </si>
  <si>
    <t xml:space="preserve">Break-even utilization of added capacity</t>
  </si>
  <si>
    <t xml:space="preserve">1. NPV &gt; 0 at the discount rate</t>
  </si>
  <si>
    <t xml:space="preserve">Creates value at the division's cost of capital</t>
  </si>
  <si>
    <t xml:space="preserve">2. IRR &gt;= hurdle rate</t>
  </si>
  <si>
    <t xml:space="preserve">Return clears the risk-adjusted hurdle</t>
  </si>
  <si>
    <t xml:space="preserve">3. Payback &lt;= maximum</t>
  </si>
  <si>
    <t xml:space="preserve">Capital is recovered well within the equipment's life</t>
  </si>
  <si>
    <t xml:space="preserve">Meets all three criteria?</t>
  </si>
  <si>
    <t xml:space="preserve">RECOMMENDATION</t>
  </si>
  <si>
    <t xml:space="preserve">Dashboard Export Tables</t>
  </si>
  <si>
    <t xml:space="preserve">Read by scripts/export_dashboard_data.py. Do not insert rows inside a table. Every cell is a link or formula.</t>
  </si>
  <si>
    <t xml:space="preserve">TABLE: meta</t>
  </si>
  <si>
    <t xml:space="preserve">Model metadata (live)</t>
  </si>
  <si>
    <t xml:space="preserve">key</t>
  </si>
  <si>
    <t xml:space="preserve">value</t>
  </si>
  <si>
    <t xml:space="preserve">scenario</t>
  </si>
  <si>
    <t xml:space="preserve">checks_status</t>
  </si>
  <si>
    <t xml:space="preserve">model_phase</t>
  </si>
  <si>
    <t xml:space="preserve">Phase 7 of 9</t>
  </si>
  <si>
    <t xml:space="preserve">disclaimer</t>
  </si>
  <si>
    <t xml:space="preserve">actuals_through</t>
  </si>
  <si>
    <t xml:space="preserve">May-2026 (simulated)</t>
  </si>
  <si>
    <t xml:space="preserve">fiscal_year</t>
  </si>
  <si>
    <t xml:space="preserve">FY2026 = Jan-2026 to Dec-2026</t>
  </si>
  <si>
    <t xml:space="preserve">company_reference</t>
  </si>
  <si>
    <t xml:space="preserve">Texas Instruments Incorporated (NASDAQ: TXN) - reported data only in history tables</t>
  </si>
  <si>
    <t xml:space="preserve">units</t>
  </si>
  <si>
    <t xml:space="preserve">USD millions unless noted; units in millions</t>
  </si>
  <si>
    <t xml:space="preserve">outlook_note</t>
  </si>
  <si>
    <t xml:space="preserve">Outlook = simulated actuals Jan-May + active-scenario forecast Jun-Dec (forecast months are not re-based on actual inventory)</t>
  </si>
  <si>
    <t xml:space="preserve">TABLE: monthly</t>
  </si>
  <si>
    <t xml:space="preserve">One row per month; forecast columns follow the live scenario; budget is locked; actuals Jan-May only</t>
  </si>
  <si>
    <t xml:space="preserve">month</t>
  </si>
  <si>
    <t xml:space="preserve">fiscal_quarter</t>
  </si>
  <si>
    <t xml:space="preserve">period_type</t>
  </si>
  <si>
    <t xml:space="preserve">revenue</t>
  </si>
  <si>
    <t xml:space="preserve">gross_margin</t>
  </si>
  <si>
    <t xml:space="preserve">opex</t>
  </si>
  <si>
    <t xml:space="preserve">operating_profit</t>
  </si>
  <si>
    <t xml:space="preserve">operating_margin</t>
  </si>
  <si>
    <t xml:space="preserve">ebitda</t>
  </si>
  <si>
    <t xml:space="preserve">fcf</t>
  </si>
  <si>
    <t xml:space="preserve">cumulative_fcf</t>
  </si>
  <si>
    <t xml:space="preserve">capex</t>
  </si>
  <si>
    <t xml:space="preserve">budget_revenue</t>
  </si>
  <si>
    <t xml:space="preserve">budget_gross_profit</t>
  </si>
  <si>
    <t xml:space="preserve">budget_operating_profit</t>
  </si>
  <si>
    <t xml:space="preserve">actual_revenue</t>
  </si>
  <si>
    <t xml:space="preserve">actual_gross_profit</t>
  </si>
  <si>
    <t xml:space="preserve">actual_operating_profit</t>
  </si>
  <si>
    <t xml:space="preserve">outlook_revenue</t>
  </si>
  <si>
    <t xml:space="preserve">outlook_operating_profit</t>
  </si>
  <si>
    <t xml:space="preserve">Forecast</t>
  </si>
  <si>
    <t xml:space="preserve">TABLE: product_monthly</t>
  </si>
  <si>
    <t xml:space="preserve">3 products x 12 months (live scenario). demand_capacity_ratio feeds the risk heat map</t>
  </si>
  <si>
    <t xml:space="preserve">product_id</t>
  </si>
  <si>
    <t xml:space="preserve">product</t>
  </si>
  <si>
    <t xml:space="preserve">demand_units</t>
  </si>
  <si>
    <t xml:space="preserve">good_unit_capacity</t>
  </si>
  <si>
    <t xml:space="preserve">demand_capacity_ratio</t>
  </si>
  <si>
    <t xml:space="preserve">units_sold</t>
  </si>
  <si>
    <t xml:space="preserve">unmet_demand</t>
  </si>
  <si>
    <t xml:space="preserve">asp</t>
  </si>
  <si>
    <t xml:space="preserve">yield</t>
  </si>
  <si>
    <t xml:space="preserve">utilization</t>
  </si>
  <si>
    <t xml:space="preserve">cost_per_good_unit</t>
  </si>
  <si>
    <t xml:space="preserve">closing_inventory_units</t>
  </si>
  <si>
    <t xml:space="preserve">POWER</t>
  </si>
  <si>
    <t xml:space="preserve">SIGNAL</t>
  </si>
  <si>
    <t xml:space="preserve">EMBEDDED</t>
  </si>
  <si>
    <t xml:space="preserve">TABLE: product_fy</t>
  </si>
  <si>
    <t xml:space="preserve">FY2026 product profitability (live scenario)</t>
  </si>
  <si>
    <t xml:space="preserve">mix</t>
  </si>
  <si>
    <t xml:space="preserve">contribution_margin</t>
  </si>
  <si>
    <t xml:space="preserve">contribution_margin_pct</t>
  </si>
  <si>
    <t xml:space="preserve">peak_demand_capacity_ratio</t>
  </si>
  <si>
    <t xml:space="preserve">base_year_revenue</t>
  </si>
  <si>
    <t xml:space="preserve">TABLE: kpis</t>
  </si>
  <si>
    <t xml:space="preserve">Headline KPIs (live scenario unless noted)</t>
  </si>
  <si>
    <t xml:space="preserve">metric_id</t>
  </si>
  <si>
    <t xml:space="preserve">label</t>
  </si>
  <si>
    <t xml:space="preserve">unit</t>
  </si>
  <si>
    <t xml:space="preserve">basis</t>
  </si>
  <si>
    <t xml:space="preserve">Revenue FY2026</t>
  </si>
  <si>
    <t xml:space="preserve">Forecast (live scenario)</t>
  </si>
  <si>
    <t xml:space="preserve">revenue_growth</t>
  </si>
  <si>
    <t xml:space="preserve">Revenue growth vs FY2025 base year</t>
  </si>
  <si>
    <t xml:space="preserve">Gross profit FY2026</t>
  </si>
  <si>
    <t xml:space="preserve">Gross margin FY2026</t>
  </si>
  <si>
    <t xml:space="preserve">Operating profit FY2026</t>
  </si>
  <si>
    <t xml:space="preserve">Operating margin FY2026</t>
  </si>
  <si>
    <t xml:space="preserve">Net income FY2026</t>
  </si>
  <si>
    <t xml:space="preserve">EBITDA FY2026</t>
  </si>
  <si>
    <t xml:space="preserve">Free cash flow FY2026</t>
  </si>
  <si>
    <t xml:space="preserve">fcf_margin</t>
  </si>
  <si>
    <t xml:space="preserve">FCF margin FY2026</t>
  </si>
  <si>
    <t xml:space="preserve">Capital expenditures FY2026</t>
  </si>
  <si>
    <t xml:space="preserve">yield_division</t>
  </si>
  <si>
    <t xml:space="preserve">Division yield (good / tested units)</t>
  </si>
  <si>
    <t xml:space="preserve">revenue_at_risk</t>
  </si>
  <si>
    <t xml:space="preserve">budget_revenue_fy</t>
  </si>
  <si>
    <t xml:space="preserve">Budget revenue FY2026</t>
  </si>
  <si>
    <t xml:space="preserve">Budget (locked)</t>
  </si>
  <si>
    <t xml:space="preserve">budget_op_fy</t>
  </si>
  <si>
    <t xml:space="preserve">Budget operating profit FY2026</t>
  </si>
  <si>
    <t xml:space="preserve">ytd_budget_revenue</t>
  </si>
  <si>
    <t xml:space="preserve">YTD budget revenue (Jan-May)</t>
  </si>
  <si>
    <t xml:space="preserve">ytd_actual_revenue</t>
  </si>
  <si>
    <t xml:space="preserve">YTD actual revenue (Jan-May)</t>
  </si>
  <si>
    <t xml:space="preserve">Actual (simulated)</t>
  </si>
  <si>
    <t xml:space="preserve">ytd_revenue_variance</t>
  </si>
  <si>
    <t xml:space="preserve">YTD revenue variance</t>
  </si>
  <si>
    <t xml:space="preserve">ytd_budget_op</t>
  </si>
  <si>
    <t xml:space="preserve">YTD budget operating profit</t>
  </si>
  <si>
    <t xml:space="preserve">ytd_actual_op</t>
  </si>
  <si>
    <t xml:space="preserve">YTD actual operating profit</t>
  </si>
  <si>
    <t xml:space="preserve">ytd_op_variance</t>
  </si>
  <si>
    <t xml:space="preserve">YTD operating-profit variance</t>
  </si>
  <si>
    <t xml:space="preserve">FY2026 outlook revenue (actual + forecast)</t>
  </si>
  <si>
    <t xml:space="preserve">Outlook</t>
  </si>
  <si>
    <t xml:space="preserve">outlook_op</t>
  </si>
  <si>
    <t xml:space="preserve">FY2026 outlook operating profit</t>
  </si>
  <si>
    <t xml:space="preserve">outlook_op_vs_budget</t>
  </si>
  <si>
    <t xml:space="preserve">Outlook operating profit vs budget</t>
  </si>
  <si>
    <t xml:space="preserve">TABLE: variance_pnl</t>
  </si>
  <si>
    <t xml:space="preserve">YTD Jan-May budget vs actual P&amp;L (favorable variance = positive)</t>
  </si>
  <si>
    <t xml:space="preserve">budget</t>
  </si>
  <si>
    <t xml:space="preserve">actual</t>
  </si>
  <si>
    <t xml:space="preserve">variance</t>
  </si>
  <si>
    <t xml:space="preserve">assessment</t>
  </si>
  <si>
    <t xml:space="preserve">rev_pwr</t>
  </si>
  <si>
    <t xml:space="preserve">Revenue - Power</t>
  </si>
  <si>
    <t xml:space="preserve">rev_sig</t>
  </si>
  <si>
    <t xml:space="preserve">Revenue - Signal chain</t>
  </si>
  <si>
    <t xml:space="preserve">rev_emb</t>
  </si>
  <si>
    <t xml:space="preserve">Revenue - Embedded</t>
  </si>
  <si>
    <t xml:space="preserve">rev</t>
  </si>
  <si>
    <t xml:space="preserve">cor</t>
  </si>
  <si>
    <t xml:space="preserve">gp</t>
  </si>
  <si>
    <t xml:space="preserve">gm</t>
  </si>
  <si>
    <t xml:space="preserve">op</t>
  </si>
  <si>
    <t xml:space="preserve">om</t>
  </si>
  <si>
    <t xml:space="preserve">TABLE: revenue_variance</t>
  </si>
  <si>
    <t xml:space="preserve">Revenue variance by component and product (YTD)</t>
  </si>
  <si>
    <t xml:space="preserve">component_id</t>
  </si>
  <si>
    <t xml:space="preserve">division</t>
  </si>
  <si>
    <t xml:space="preserve">r_price</t>
  </si>
  <si>
    <t xml:space="preserve">r_vol</t>
  </si>
  <si>
    <t xml:space="preserve">Volume</t>
  </si>
  <si>
    <t xml:space="preserve">r_mix</t>
  </si>
  <si>
    <t xml:space="preserve">r_tot</t>
  </si>
  <si>
    <t xml:space="preserve">TABLE: op_bridge</t>
  </si>
  <si>
    <t xml:space="preserve">Operating-profit waterfall, YTD (division)</t>
  </si>
  <si>
    <t xml:space="preserve">order</t>
  </si>
  <si>
    <t xml:space="preserve">step_id</t>
  </si>
  <si>
    <t xml:space="preserve">kind</t>
  </si>
  <si>
    <t xml:space="preserve">start</t>
  </si>
  <si>
    <t xml:space="preserve">Budget operating profit</t>
  </si>
  <si>
    <t xml:space="preserve">b_price</t>
  </si>
  <si>
    <t xml:space="preserve">delta</t>
  </si>
  <si>
    <t xml:space="preserve">b_vol</t>
  </si>
  <si>
    <t xml:space="preserve">b_mix</t>
  </si>
  <si>
    <t xml:space="preserve">b_mat</t>
  </si>
  <si>
    <t xml:space="preserve">b_yld</t>
  </si>
  <si>
    <t xml:space="preserve">b_fix</t>
  </si>
  <si>
    <t xml:space="preserve">Fixed manufacturing spending</t>
  </si>
  <si>
    <t xml:space="preserve">b_abs</t>
  </si>
  <si>
    <t xml:space="preserve">Production volume &amp; inventory</t>
  </si>
  <si>
    <t xml:space="preserve">b_rd</t>
  </si>
  <si>
    <t xml:space="preserve">b_sga</t>
  </si>
  <si>
    <t xml:space="preserve">end</t>
  </si>
  <si>
    <t xml:space="preserve">Actual operating profit</t>
  </si>
  <si>
    <t xml:space="preserve">TABLE: variance_required</t>
  </si>
  <si>
    <t xml:space="preserve">The eight required variances + reconciliation flags</t>
  </si>
  <si>
    <t xml:space="preserve">variance_id</t>
  </si>
  <si>
    <t xml:space="preserve">s_rev</t>
  </si>
  <si>
    <t xml:space="preserve">s_price</t>
  </si>
  <si>
    <t xml:space="preserve">s_vol</t>
  </si>
  <si>
    <t xml:space="preserve">s_mix</t>
  </si>
  <si>
    <t xml:space="preserve">s_mat</t>
  </si>
  <si>
    <t xml:space="preserve">s_yld</t>
  </si>
  <si>
    <t xml:space="preserve">s_opex</t>
  </si>
  <si>
    <t xml:space="preserve">s_op</t>
  </si>
  <si>
    <t xml:space="preserve">reconciliation_revenue</t>
  </si>
  <si>
    <t xml:space="preserve">Revenue decomposition status</t>
  </si>
  <si>
    <t xml:space="preserve">reconciliation_bridge</t>
  </si>
  <si>
    <t xml:space="preserve">Operating-profit bridge status</t>
  </si>
  <si>
    <t xml:space="preserve">TABLE: variance_kpis</t>
  </si>
  <si>
    <t xml:space="preserve">YTD operating KPIs by product, budget vs actual</t>
  </si>
  <si>
    <t xml:space="preserve">kpi_id</t>
  </si>
  <si>
    <t xml:space="preserve">sold</t>
  </si>
  <si>
    <t xml:space="preserve">ASP</t>
  </si>
  <si>
    <t xml:space="preserve">yld</t>
  </si>
  <si>
    <t xml:space="preserve">Yield</t>
  </si>
  <si>
    <t xml:space="preserve">util</t>
  </si>
  <si>
    <t xml:space="preserve">Utilization</t>
  </si>
  <si>
    <t xml:space="preserve">cpgu</t>
  </si>
  <si>
    <t xml:space="preserve">unmet</t>
  </si>
  <si>
    <t xml:space="preserve">TABLE: capex_summary</t>
  </si>
  <si>
    <t xml:space="preserve">Capital decision by scenario (all three evaluated at once)</t>
  </si>
  <si>
    <t xml:space="preserve">npv</t>
  </si>
  <si>
    <t xml:space="preserve">irr</t>
  </si>
  <si>
    <t xml:space="preserve">payback_years</t>
  </si>
  <si>
    <t xml:space="preserve">break_even_utilization</t>
  </si>
  <si>
    <t xml:space="preserve">implied_utilization</t>
  </si>
  <si>
    <t xml:space="preserve">npv_test</t>
  </si>
  <si>
    <t xml:space="preserve">irr_test</t>
  </si>
  <si>
    <t xml:space="preserve">payback_test</t>
  </si>
  <si>
    <t xml:space="preserve">meets_all</t>
  </si>
  <si>
    <t xml:space="preserve">TABLE: capex_cashflows</t>
  </si>
  <si>
    <t xml:space="preserve">Incremental cash flows by scenario and year</t>
  </si>
  <si>
    <t xml:space="preserve">year</t>
  </si>
  <si>
    <t xml:space="preserve">pv</t>
  </si>
  <si>
    <t xml:space="preserve">incremental_units</t>
  </si>
  <si>
    <t xml:space="preserve">scrap_savings</t>
  </si>
  <si>
    <t xml:space="preserve">TABLE: capex_inputs</t>
  </si>
  <si>
    <t xml:space="preserve">Project inputs and recommendation text</t>
  </si>
  <si>
    <t xml:space="preserve">price</t>
  </si>
  <si>
    <t xml:space="preserve">Equipment purchase price ($m)</t>
  </si>
  <si>
    <t xml:space="preserve">install</t>
  </si>
  <si>
    <t xml:space="preserve">Installation ($m)</t>
  </si>
  <si>
    <t xml:space="preserve">Total investment ($m)</t>
  </si>
  <si>
    <t xml:space="preserve">add_cap</t>
  </si>
  <si>
    <t xml:space="preserve">Added capacity (m units/month)</t>
  </si>
  <si>
    <t xml:space="preserve">yld_gain</t>
  </si>
  <si>
    <t xml:space="preserve">Yield improvement (pts)</t>
  </si>
  <si>
    <t xml:space="preserve">savings</t>
  </si>
  <si>
    <t xml:space="preserve">Operating savings ($m/yr)</t>
  </si>
  <si>
    <t xml:space="preserve">maint</t>
  </si>
  <si>
    <t xml:space="preserve">Maintenance ($m/yr)</t>
  </si>
  <si>
    <t xml:space="preserve">life</t>
  </si>
  <si>
    <t xml:space="preserve">Useful life (years)</t>
  </si>
  <si>
    <t xml:space="preserve">rate</t>
  </si>
  <si>
    <t xml:space="preserve">Discount rate</t>
  </si>
  <si>
    <t xml:space="preserve">hurdle</t>
  </si>
  <si>
    <t xml:space="preserve">IRR hurdle</t>
  </si>
  <si>
    <t xml:space="preserve">max_pb</t>
  </si>
  <si>
    <t xml:space="preserve">Maximum payback (years)</t>
  </si>
  <si>
    <t xml:space="preserve">recommendation</t>
  </si>
  <si>
    <t xml:space="preserve">Recommendation</t>
  </si>
  <si>
    <t xml:space="preserve">rule</t>
  </si>
  <si>
    <t xml:space="preserve">Decision rule</t>
  </si>
  <si>
    <t xml:space="preserve">checkpoint</t>
  </si>
  <si>
    <t xml:space="preserve">Checkpoint</t>
  </si>
  <si>
    <t xml:space="preserve">TABLE: scenario_drivers</t>
  </si>
  <si>
    <t xml:space="preserve">The nine scenario drivers, all three cases (User-provided assumptions)</t>
  </si>
  <si>
    <t xml:space="preserve">driver_id</t>
  </si>
  <si>
    <t xml:space="preserve">dem_g</t>
  </si>
  <si>
    <t xml:space="preserve">asp_chg</t>
  </si>
  <si>
    <t xml:space="preserve">yld_adj</t>
  </si>
  <si>
    <t xml:space="preserve">mat_inf</t>
  </si>
  <si>
    <t xml:space="preserve">rd_g</t>
  </si>
  <si>
    <t xml:space="preserve">sga_g</t>
  </si>
  <si>
    <t xml:space="preserve">capex_pct</t>
  </si>
  <si>
    <t xml:space="preserve">tax</t>
  </si>
  <si>
    <t xml:space="preserve">TABLE: history</t>
  </si>
  <si>
    <t xml:space="preserve">Texas Instruments reported history (Reported public data + Calculated values)</t>
  </si>
  <si>
    <t xml:space="preserve">margin_before_amortization</t>
  </si>
  <si>
    <t xml:space="preserve">fcf_project_definition</t>
  </si>
  <si>
    <t xml:space="preserve">capex_pct_sales</t>
  </si>
  <si>
    <t xml:space="preserve">dio_days</t>
  </si>
  <si>
    <t xml:space="preserve">pwr_segment_sales</t>
  </si>
  <si>
    <t xml:space="preserve">sig_segment_sales</t>
  </si>
  <si>
    <t xml:space="preserve">emb_segment_sales</t>
  </si>
  <si>
    <t xml:space="preserve">TABLE: control_totals</t>
  </si>
  <si>
    <t xml:space="preserve">Excel control totals - the dashboard must reproduce these exactly</t>
  </si>
  <si>
    <t xml:space="preserve">control_id</t>
  </si>
  <si>
    <t xml:space="preserve">revenue_fy</t>
  </si>
  <si>
    <t xml:space="preserve">operating_profit_fy</t>
  </si>
  <si>
    <t xml:space="preserve">net_income_fy</t>
  </si>
  <si>
    <t xml:space="preserve">fcf_fy</t>
  </si>
  <si>
    <t xml:space="preserve">gross_profit_fy</t>
  </si>
  <si>
    <t xml:space="preserve">capex_npv_base</t>
  </si>
  <si>
    <t xml:space="preserve">Model Checks</t>
  </si>
  <si>
    <t xml:space="preserve">Each check computes an independent result and compares it to the model. Tolerance = 0.05 ($m) or 0.0001 (ratios).</t>
  </si>
  <si>
    <t xml:space="preserve">Check</t>
  </si>
  <si>
    <t xml:space="preserve">Tolerance</t>
  </si>
  <si>
    <t xml:space="preserve">Reported data - internal consistency</t>
  </si>
  <si>
    <t xml:space="preserve">Gross profit = net sales - cost of sales</t>
  </si>
  <si>
    <t xml:space="preserve">Operating income = gross profit - R&amp;D - SG&amp;A - other operating items</t>
  </si>
  <si>
    <t xml:space="preserve">Pre-tax income = operating income + non-operating items</t>
  </si>
  <si>
    <t xml:space="preserve">Net income = pre-tax income - tax</t>
  </si>
  <si>
    <t xml:space="preserve">Reported segments / product lines sum to net sales</t>
  </si>
  <si>
    <t xml:space="preserve">Cash-flow net income = income-statement net income</t>
  </si>
  <si>
    <t xml:space="preserve">Cash-flow ending cash = balance-sheet cash</t>
  </si>
  <si>
    <t xml:space="preserve">Total current assets = cash + ST investments + AR + inventory + other (+ other listed)</t>
  </si>
  <si>
    <t xml:space="preserve">Balance sheet</t>
  </si>
  <si>
    <t xml:space="preserve">Total current liabilities = AP + accrued + current debt (+ other listed)</t>
  </si>
  <si>
    <t xml:space="preserve">Inventory components sum to total inventory</t>
  </si>
  <si>
    <t xml:space="preserve">Historical analysis - independent recomputation</t>
  </si>
  <si>
    <t xml:space="preserve">Gross margin = 1 - cost of sales / net sales (alternate route)</t>
  </si>
  <si>
    <t xml:space="preserve">Analysis</t>
  </si>
  <si>
    <t xml:space="preserve">Segment mix sums to 100%</t>
  </si>
  <si>
    <t xml:space="preserve">Growth chain: prior-year sales x (1 + growth) = current sales</t>
  </si>
  <si>
    <t xml:space="preserve">FCF (project) recomputed directly from Hist_Data</t>
  </si>
  <si>
    <t xml:space="preserve">FCF (project) + other non-cash items = CFO - capex</t>
  </si>
  <si>
    <t xml:space="preserve">Cash conversion cycle = DSO + DIO - DPO (recomputed from balances)</t>
  </si>
  <si>
    <t xml:space="preserve">Working capital</t>
  </si>
  <si>
    <t xml:space="preserve">Hand-calculable unit tests (fixed inputs, known answers)</t>
  </si>
  <si>
    <t xml:space="preserve">Unit test</t>
  </si>
  <si>
    <t xml:space="preserve">Result</t>
  </si>
  <si>
    <t xml:space="preserve">Expected</t>
  </si>
  <si>
    <t xml:space="preserve">Growth: 100 -&gt; 110 = 10%</t>
  </si>
  <si>
    <t xml:space="preserve">Gross margin: sales 200, COGS 80 = 60%</t>
  </si>
  <si>
    <t xml:space="preserve">FCF: NI 100 + D&amp;A 20 - capex 30 - incr. WC 10 = 80</t>
  </si>
  <si>
    <t xml:space="preserve">Increase in WC from CF lines: AR -15, inventory +5, AP +3 -&gt; +7 absorbed</t>
  </si>
  <si>
    <t xml:space="preserve">DSO: AR 100, sales 365 = 100 days</t>
  </si>
  <si>
    <t xml:space="preserve">CCC: DSO 50 + DIO 120 - DPO 30 = 140 days</t>
  </si>
  <si>
    <t xml:space="preserve">Mix: 50 + 30 + 20 of 100 sums to 100%</t>
  </si>
  <si>
    <t xml:space="preserve">Phase 2 - scenario controls and operating model (result = absolute difference or violation count)</t>
  </si>
  <si>
    <t xml:space="preserve">Scenario selector holds a valid scenario name</t>
  </si>
  <si>
    <t xml:space="preserve">Scenario</t>
  </si>
  <si>
    <t xml:space="preserve">Live column = selected scenario column (all 9 drivers)</t>
  </si>
  <si>
    <t xml:space="preserve">Ops_Model shows the selected scenario name</t>
  </si>
  <si>
    <t xml:space="preserve">Seasonality factors sum to 12.00</t>
  </si>
  <si>
    <t xml:space="preserve">Dates &amp; units</t>
  </si>
  <si>
    <t xml:space="preserve">12 consecutive months, Jan-2026 to Dec-2026</t>
  </si>
  <si>
    <t xml:space="preserve">Base-year mix sums to 100%</t>
  </si>
  <si>
    <t xml:space="preserve">Base-year product revenue sums to division revenue</t>
  </si>
  <si>
    <t xml:space="preserve">Utilization and yield within 0-100% (violations)</t>
  </si>
  <si>
    <t xml:space="preserve">Units produced = capacity x utilization (all months, all products)</t>
  </si>
  <si>
    <t xml:space="preserve">Good units = units produced x yield</t>
  </si>
  <si>
    <t xml:space="preserve">Units sold = MIN(demand, available good units)</t>
  </si>
  <si>
    <t xml:space="preserve">No negative inventory (violations)</t>
  </si>
  <si>
    <t xml:space="preserve">Inventory units roll forward: opening + good - sold = closing (FY)</t>
  </si>
  <si>
    <t xml:space="preserve">Inventory value rolls forward: opening + mfg cost - cost of revenue = closing (FY)</t>
  </si>
  <si>
    <t xml:space="preserve">Revenue = SUMPRODUCT(units sold, ASP) vs FY total (monthly-to-annual)</t>
  </si>
  <si>
    <t xml:space="preserve">Variable cost = SUMPRODUCT(units produced, cost per unit) vs FY total</t>
  </si>
  <si>
    <t xml:space="preserve">Cost</t>
  </si>
  <si>
    <t xml:space="preserve">Division revenue = sum of product FY revenue</t>
  </si>
  <si>
    <t xml:space="preserve">Division gross profit = revenue - cost of revenue</t>
  </si>
  <si>
    <t xml:space="preserve">Division monthly revenue sums to FY (independent SUM of product rows)</t>
  </si>
  <si>
    <t xml:space="preserve">Contribution margin &gt;= gross profit (fixed cost absorbed in cost of revenue)</t>
  </si>
  <si>
    <t xml:space="preserve">Unit test (hand-calculable)</t>
  </si>
  <si>
    <t xml:space="preserve">Capacity 100 x utilization 80% = 80 units produced</t>
  </si>
  <si>
    <t xml:space="preserve">80 produced x 90% yield = 72 good units</t>
  </si>
  <si>
    <t xml:space="preserve">Demand 70, available 0 + 72 -&gt; units sold = MIN(70,72) = 70</t>
  </si>
  <si>
    <t xml:space="preserve">Demand 90, available 72 -&gt; sold 72, unmet 18</t>
  </si>
  <si>
    <t xml:space="preserve">70 units x ASP $2.00 = $140 revenue</t>
  </si>
  <si>
    <t xml:space="preserve">Weighted avg: open 10u @ $1 + 72u costing $90 -&gt; $100/82 per unit</t>
  </si>
  <si>
    <t xml:space="preserve">Cost of revenue: 70 sold x ($100/82) = $85.366</t>
  </si>
  <si>
    <t xml:space="preserve">Closing value: 10 + 90 - 85.366 = 12 units x 1.2195</t>
  </si>
  <si>
    <t xml:space="preserve">Contribution: $140 - 70 x ($0.45 / 90% yield) = $105</t>
  </si>
  <si>
    <t xml:space="preserve">Phase 3 - revenue, P&amp;L and free cash flow (result = absolute difference or violation count)</t>
  </si>
  <si>
    <t xml:space="preserve">Revenue tab = Ops_Model revenue, every product and month</t>
  </si>
  <si>
    <t xml:space="preserve">Revenue: sum of quarters = FY = sum of months (division)</t>
  </si>
  <si>
    <t xml:space="preserve">Monthly-to-annual</t>
  </si>
  <si>
    <t xml:space="preserve">Revenue mix sums to 100% in every month</t>
  </si>
  <si>
    <t xml:space="preserve">P&amp;L revenue = Ops_Model division revenue (FY)</t>
  </si>
  <si>
    <t xml:space="preserve">Gross profit reconciliation: P&amp;L GP + new-capex depreciation = Ops_Model GP</t>
  </si>
  <si>
    <t xml:space="preserve">Gross profit = revenue - cost of revenue (every month)</t>
  </si>
  <si>
    <t xml:space="preserve">Operating profit = gross profit - R&amp;D - SG&amp;A (every month)</t>
  </si>
  <si>
    <t xml:space="preserve">P&amp;L</t>
  </si>
  <si>
    <t xml:space="preserve">FY R&amp;D = base-year R&amp;D x (1 + growth); FY SG&amp;A likewise</t>
  </si>
  <si>
    <t xml:space="preserve">Tax = tax rate x pre-tax income (FY)</t>
  </si>
  <si>
    <t xml:space="preserve">Net income = pre-tax - tax (FY) and quarters sum to FY</t>
  </si>
  <si>
    <t xml:space="preserve">Capex = capex % x revenue (FY)</t>
  </si>
  <si>
    <t xml:space="preserve">New-capex depreciation (FY) = SUMPRODUCT(capex, months remaining) / life</t>
  </si>
  <si>
    <t xml:space="preserve">Increase in WC summed over the year = closing WC - opening WC</t>
  </si>
  <si>
    <t xml:space="preserve">FCF = NI + depreciation - capex - increase in WC (independent, every month)</t>
  </si>
  <si>
    <t xml:space="preserve">Cumulative FCF at March = FY FCF</t>
  </si>
  <si>
    <t xml:space="preserve">Cash identity: NI + dep - dWC = revenue - cash costs - tax - dAR + dAP (FY)</t>
  </si>
  <si>
    <t xml:space="preserve">Inventory on FCF tab = Ops_Model closing inventory (every month)</t>
  </si>
  <si>
    <t xml:space="preserve">All forecast tabs show the selected scenario</t>
  </si>
  <si>
    <t xml:space="preserve">Forecast month headers match Ops_Model (Revenue, PnL, FCF)</t>
  </si>
  <si>
    <t xml:space="preserve">AR: monthly revenue 100 x 12 x DSO 60 / 365 = 197.260</t>
  </si>
  <si>
    <t xml:space="preserve">Straight-line: capex 60, life 60 months = 1.0 per month</t>
  </si>
  <si>
    <t xml:space="preserve">Capex in month 1 of 12 depreciates 11 months in-year: 60 x 11/60 = 11</t>
  </si>
  <si>
    <t xml:space="preserve">Tax: pre-tax 100 x 18% = 18; net income = 82</t>
  </si>
  <si>
    <t xml:space="preserve">Operating profit: GP 600 - R&amp;D 210 - SG&amp;A 104 = 286</t>
  </si>
  <si>
    <t xml:space="preserve">WC: AR 200 + inventory 150 - AP 50 = 300; increase from 280 = 20</t>
  </si>
  <si>
    <t xml:space="preserve">FCF: NI 82 + dep 10 - capex 30 - increase in WC 20 = 42</t>
  </si>
  <si>
    <t xml:space="preserve">Phase 4 - budget vs actual and variance decomposition</t>
  </si>
  <si>
    <t xml:space="preserve">Budget drivers = Base column of Assumptions (independent of selector)</t>
  </si>
  <si>
    <t xml:space="preserve">When Base is selected: Budget = Ops_Model (revenue and cost of revenue, every product and month)</t>
  </si>
  <si>
    <t xml:space="preserve">When Base is selected: budget operating profit = PnL operating profit (FY)</t>
  </si>
  <si>
    <t xml:space="preserve">Budget: units sold = MIN(demand, available); produced = capacity x utilization; good = produced x yield</t>
  </si>
  <si>
    <t xml:space="preserve">Budget: inventory value rolls forward (opening + mfg cost - cost of revenue = closing)</t>
  </si>
  <si>
    <t xml:space="preserve">Budget: no negative inventory (violations)</t>
  </si>
  <si>
    <t xml:space="preserve">Actuals: units sold = MIN(demand, available); produced = capacity x utilization; good = produced x yield</t>
  </si>
  <si>
    <t xml:space="preserve">Actuals: inventory value rolls forward (opening + mfg cost - cost of revenue = closing)</t>
  </si>
  <si>
    <t xml:space="preserve">Actuals: no negative inventory (violations)</t>
  </si>
  <si>
    <t xml:space="preserve">Budget YTD revenue (Variance tab) = SUM of Budget Jan-May product revenue</t>
  </si>
  <si>
    <t xml:space="preserve">Budget vs actual</t>
  </si>
  <si>
    <t xml:space="preserve">Actual YTD revenue (Variance tab) = SUM of Actuals Jan-May product revenue</t>
  </si>
  <si>
    <t xml:space="preserve">Budget and actual YTD operating profit = SUM of monthly operating profit</t>
  </si>
  <si>
    <t xml:space="preserve">Revenue: price + volume + mix = total revenue variance (division)</t>
  </si>
  <si>
    <t xml:space="preserve">Variance reconciliation</t>
  </si>
  <si>
    <t xml:space="preserve">Revenue: volume + mix per product = (Ua - Ub) x ASPb</t>
  </si>
  <si>
    <t xml:space="preserve">Operating-profit bridge components reconcile to actual operating profit</t>
  </si>
  <si>
    <t xml:space="preserve">Unit-cost components (material + yield + fixed + absorption) = -Ua x (ca - cb), per product</t>
  </si>
  <si>
    <t xml:space="preserve">Operating-profit variance = revenue + cost-of-revenue + opex variances (favorable-positive signs)</t>
  </si>
  <si>
    <t xml:space="preserve">Monthly variances sum to YTD (revenue and operating profit)</t>
  </si>
  <si>
    <t xml:space="preserve">Actuals months = first five budget months (Jan-May 2026)</t>
  </si>
  <si>
    <t xml:space="preserve">Budget and actual start from the same opening inventory</t>
  </si>
  <si>
    <t xml:space="preserve">PVM example - price: 120 x ($9 - $10) + 90 x ($5 - $5) = -120</t>
  </si>
  <si>
    <t xml:space="preserve">PVM example - volume: (210 - 200) x ($1,500 / 200) = +75</t>
  </si>
  <si>
    <t xml:space="preserve">PVM example - mix: (120/210 - 0.5) x 210 x $10 + (90/210 - 0.5) x 210 x $5 = +75</t>
  </si>
  <si>
    <t xml:space="preserve">PVM example - components sum to total variance: 1,530 - 1,500 = 30</t>
  </si>
  <si>
    <t xml:space="preserve">Yield: var. cost $1.00, budget yield 90%, 90 good from 105 started -&gt; -$1 x (105 - 100) = -5</t>
  </si>
  <si>
    <t xml:space="preserve">Material: 105 produced x ($1.10 - $1.00) -&gt; -10.5</t>
  </si>
  <si>
    <t xml:space="preserve">Opex: actual 90 vs budget 87.5 -&gt; -2.5 unfavorable</t>
  </si>
  <si>
    <t xml:space="preserve">Phase 5 - capital investment analysis</t>
  </si>
  <si>
    <t xml:space="preserve">Downside: NPV = SUMPRODUCT(FCF, 1/(1+r)^t) (independent of NPV())</t>
  </si>
  <si>
    <t xml:space="preserve">NPV / IRR</t>
  </si>
  <si>
    <t xml:space="preserve">Downside: NPV at the IRR = 0 (skipped if IRR n.m.)</t>
  </si>
  <si>
    <t xml:space="preserve">Downside: incremental EBITDA = (rev with - rev without) - (var. cost with - without) + savings - maintenance</t>
  </si>
  <si>
    <t xml:space="preserve">Cash flows</t>
  </si>
  <si>
    <t xml:space="preserve">Downside: units sold with &gt;= without, and &lt;= demand (violations)</t>
  </si>
  <si>
    <t xml:space="preserve">Downside: depreciation over life = investment - salvage; working capital fully recovered</t>
  </si>
  <si>
    <t xml:space="preserve">Downside: cumulative FCF in Year 6 = sum of FCF</t>
  </si>
  <si>
    <t xml:space="preserve">Base: NPV = SUMPRODUCT(FCF, 1/(1+r)^t) (independent of NPV())</t>
  </si>
  <si>
    <t xml:space="preserve">Base: NPV at the IRR = 0 (skipped if IRR n.m.)</t>
  </si>
  <si>
    <t xml:space="preserve">Base: incremental EBITDA = (rev with - rev without) - (var. cost with - without) + savings - maintenance</t>
  </si>
  <si>
    <t xml:space="preserve">Base: units sold with &gt;= without, and &lt;= demand (violations)</t>
  </si>
  <si>
    <t xml:space="preserve">Base: depreciation over life = investment - salvage; working capital fully recovered</t>
  </si>
  <si>
    <t xml:space="preserve">Base: cumulative FCF in Year 6 = sum of FCF</t>
  </si>
  <si>
    <t xml:space="preserve">Upside: NPV = SUMPRODUCT(FCF, 1/(1+r)^t) (independent of NPV())</t>
  </si>
  <si>
    <t xml:space="preserve">Upside: NPV at the IRR = 0 (skipped if IRR n.m.)</t>
  </si>
  <si>
    <t xml:space="preserve">Upside: incremental EBITDA = (rev with - rev without) - (var. cost with - without) + savings - maintenance</t>
  </si>
  <si>
    <t xml:space="preserve">Upside: units sold with &gt;= without, and &lt;= demand (violations)</t>
  </si>
  <si>
    <t xml:space="preserve">Upside: depreciation over life = investment - salvage; working capital fully recovered</t>
  </si>
  <si>
    <t xml:space="preserve">Upside: cumulative FCF in Year 6 = sum of FCF</t>
  </si>
  <si>
    <t xml:space="preserve">Capex scenario inputs read the matching Assumptions columns (FY2026 Power demand, Base = Ops_Model when Base selected)</t>
  </si>
  <si>
    <t xml:space="preserve">Tax rates in Capex = Assumptions scenario tax rates</t>
  </si>
  <si>
    <t xml:space="preserve">Live decision column = selected scenario</t>
  </si>
  <si>
    <t xml:space="preserve">NPV: -100 now, +60 in years 1 and 2 at 10% = 4.132</t>
  </si>
  <si>
    <t xml:space="preserve">IRR of -100, +60, +60 = 13.066%</t>
  </si>
  <si>
    <t xml:space="preserve">Payback: -100, +60, +60 -&gt; 1 + 40/60 = 1.667 years</t>
  </si>
  <si>
    <t xml:space="preserve">Discount factor year 3 at 9% = 0.7722</t>
  </si>
  <si>
    <t xml:space="preserve">Break-even: NPV without volume -20, PV at full use 80 -&gt; 25%</t>
  </si>
  <si>
    <t xml:space="preserve">Scrap reduction: 10m units, yield 85% -&gt; 88%: 10 x (1/0.85 - 1/0.88) = 0.4011m</t>
  </si>
  <si>
    <t xml:space="preserve">Tax shield: $27m / 6 years x 18% = $0.81m per year</t>
  </si>
  <si>
    <t xml:space="preserve">Phase 6 - dashboard export tables</t>
  </si>
  <si>
    <t xml:space="preserve">Export monthly: 12 records, unique months, first Jan-2026, last Dec-2026</t>
  </si>
  <si>
    <t xml:space="preserve">Missing / duplicate records</t>
  </si>
  <si>
    <t xml:space="preserve">Export product x month: 36 records, 36 unique (month, product) keys, 12 per product</t>
  </si>
  <si>
    <t xml:space="preserve">Export: no blank forecast values (monthly revenue/OP/FCF, product revenue)</t>
  </si>
  <si>
    <t xml:space="preserve">Export: actuals present for exactly 5 months (Jan-May) and labeled 'Actual'</t>
  </si>
  <si>
    <t xml:space="preserve">Export monthly revenue / OP / FCF sum = PnL and FCF FY totals</t>
  </si>
  <si>
    <t xml:space="preserve">Dashboard totals vs Excel</t>
  </si>
  <si>
    <t xml:space="preserve">Export product x month revenue sum = division FY revenue; product FY sums match</t>
  </si>
  <si>
    <t xml:space="preserve">Export budget monthly sums = Budget FY; actual monthly sums = Actuals YTD</t>
  </si>
  <si>
    <t xml:space="preserve">Outlook = actuals (Jan-May) + forecast (Jun-Dec)</t>
  </si>
  <si>
    <t xml:space="preserve">Export bridge: start + deltas = end, and end = Actuals operating profit</t>
  </si>
  <si>
    <t xml:space="preserve">Export capex summary = Capex tab NPV for all scenarios</t>
  </si>
  <si>
    <t xml:space="preserve">Export capex cash flows: 21 records; NPV rebuilt from exported FCF = exported NPV</t>
  </si>
  <si>
    <t xml:space="preserve">Export value ranges: margins, yields, utilization within 0-100% (violations)</t>
  </si>
  <si>
    <t xml:space="preserve">Export history: 5 fiscal years FY2021-FY2025, net sales = Hist_Data</t>
  </si>
  <si>
    <t xml:space="preserve">Export scenario label = selector</t>
  </si>
  <si>
    <t xml:space="preserve">OVERALL MODEL STATUS</t>
  </si>
</sst>
</file>

<file path=xl/styles.xml><?xml version="1.0" encoding="utf-8"?>
<styleSheet xmlns="http://schemas.openxmlformats.org/spreadsheetml/2006/main">
  <numFmts count="24">
    <numFmt numFmtId="164" formatCode="General"/>
    <numFmt numFmtId="165" formatCode="0.0%;\(0.0%\);\-"/>
    <numFmt numFmtId="166" formatCode="#,##0.0;\(#,##0.0\);\-"/>
    <numFmt numFmtId="167" formatCode="mmm\-yy"/>
    <numFmt numFmtId="168" formatCode="0.0000%"/>
    <numFmt numFmtId="169" formatCode="\$#,##0.00"/>
    <numFmt numFmtId="170" formatCode="#,##0.00"/>
    <numFmt numFmtId="171" formatCode="0.00"/>
    <numFmt numFmtId="172" formatCode="\$#,##0.000"/>
    <numFmt numFmtId="173" formatCode="0"/>
    <numFmt numFmtId="174" formatCode="0.0"/>
    <numFmt numFmtId="175" formatCode="0.00\x;\(0.00&quot;x)&quot;;\-"/>
    <numFmt numFmtId="176" formatCode="0.0;\(0.0\);\-"/>
    <numFmt numFmtId="177" formatCode="#,##0.000"/>
    <numFmt numFmtId="178" formatCode="\$#,##0.0000"/>
    <numFmt numFmtId="179" formatCode="0.000000"/>
    <numFmt numFmtId="180" formatCode="@"/>
    <numFmt numFmtId="181" formatCode="0.0000"/>
    <numFmt numFmtId="182" formatCode="0.00&quot; yrs&quot;"/>
    <numFmt numFmtId="183" formatCode="yyyy\-mm\-dd"/>
    <numFmt numFmtId="184" formatCode="#,##0.0000"/>
    <numFmt numFmtId="185" formatCode="0.0000;\(0.0000\);\-"/>
    <numFmt numFmtId="186" formatCode="[$$-409]#,##0.00;[RED]\-[$$-409]#,##0.00"/>
    <numFmt numFmtId="187" formatCode="0.00%"/>
  </numFmts>
  <fonts count="2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20"/>
      <color rgb="FF1F2A44"/>
      <name val="Arial"/>
      <family val="0"/>
      <charset val="1"/>
    </font>
    <font>
      <sz val="11"/>
      <color rgb="FF595959"/>
      <name val="Arial"/>
      <family val="0"/>
      <charset val="1"/>
    </font>
    <font>
      <b val="true"/>
      <sz val="10"/>
      <color rgb="FFC00000"/>
      <name val="Arial"/>
      <family val="0"/>
      <charset val="1"/>
    </font>
    <font>
      <i val="true"/>
      <sz val="10"/>
      <color rgb="FF595959"/>
      <name val="Arial"/>
      <family val="0"/>
      <charset val="1"/>
    </font>
    <font>
      <b val="true"/>
      <sz val="10"/>
      <color rgb="FF1F2A44"/>
      <name val="Arial"/>
      <family val="0"/>
      <charset val="1"/>
    </font>
    <font>
      <sz val="10"/>
      <name val="Arial"/>
      <family val="0"/>
      <charset val="1"/>
    </font>
    <font>
      <b val="true"/>
      <sz val="10"/>
      <name val="Arial"/>
      <family val="0"/>
      <charset val="1"/>
    </font>
    <font>
      <b val="true"/>
      <sz val="10"/>
      <color rgb="FF0000FF"/>
      <name val="Arial"/>
      <family val="0"/>
      <charset val="1"/>
    </font>
    <font>
      <sz val="10"/>
      <color rgb="FF0000FF"/>
      <name val="Arial"/>
      <family val="0"/>
      <charset val="1"/>
    </font>
    <font>
      <sz val="10"/>
      <color rgb="FF000000"/>
      <name val="Arial"/>
      <family val="0"/>
      <charset val="1"/>
    </font>
    <font>
      <sz val="10"/>
      <color rgb="FF008000"/>
      <name val="Arial"/>
      <family val="0"/>
      <charset val="1"/>
    </font>
    <font>
      <b val="true"/>
      <sz val="16"/>
      <color rgb="FF1F2A44"/>
      <name val="Arial"/>
      <family val="0"/>
      <charset val="1"/>
    </font>
    <font>
      <i val="true"/>
      <sz val="9"/>
      <color rgb="FFC00000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color rgb="FF0000FF"/>
      <name val="Arial"/>
      <family val="0"/>
      <charset val="1"/>
    </font>
    <font>
      <b val="true"/>
      <sz val="11"/>
      <color rgb="FF1F2A44"/>
      <name val="Arial"/>
      <family val="0"/>
      <charset val="1"/>
    </font>
    <font>
      <b val="true"/>
      <sz val="11"/>
      <color rgb="FF0000FF"/>
      <name val="Arial"/>
      <family val="0"/>
      <charset val="1"/>
    </font>
    <font>
      <sz val="9"/>
      <color rgb="FF808080"/>
      <name val="Arial"/>
      <family val="0"/>
      <charset val="1"/>
    </font>
    <font>
      <b val="true"/>
      <sz val="10"/>
      <color rgb="FF008000"/>
      <name val="Arial"/>
      <family val="0"/>
      <charset val="1"/>
    </font>
    <font>
      <b val="true"/>
      <sz val="11"/>
      <name val="Arial"/>
      <family val="0"/>
      <charset val="1"/>
    </font>
  </fonts>
  <fills count="6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E8ECF4"/>
        <bgColor rgb="FFFFF2CC"/>
      </patternFill>
    </fill>
    <fill>
      <patternFill patternType="solid">
        <fgColor rgb="FF1F2A44"/>
        <bgColor rgb="FF003366"/>
      </patternFill>
    </fill>
    <fill>
      <patternFill patternType="solid">
        <fgColor rgb="FFFFF2CC"/>
        <bgColor rgb="FFE8ECF4"/>
      </patternFill>
    </fill>
  </fills>
  <borders count="2">
    <border diagonalUp="false" diagonalDown="false">
      <left/>
      <right/>
      <top/>
      <bottom/>
      <diagonal/>
    </border>
    <border diagonalUp="false" diagonalDown="false">
      <left/>
      <right/>
      <top style="thin">
        <color rgb="FFBFBFBF"/>
      </top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9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3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7" fillId="4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64" fontId="17" fillId="4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18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1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0" fillId="2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5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0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12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1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1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1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2" fontId="1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10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71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1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3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4" fontId="1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12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1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75" fontId="1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6" fontId="1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22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17" fillId="4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71" fontId="1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13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0" fontId="1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2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13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1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3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75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1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2" fontId="1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2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7" fontId="1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7" fontId="1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8" fontId="1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8" fontId="1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9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17" fillId="4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5" fontId="12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4" fontId="12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3" fontId="1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1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3" fontId="1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80" fontId="1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1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81" fontId="1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82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10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10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3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83" fontId="1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84" fontId="1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8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3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85" fontId="1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86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87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7030A0"/>
      <rgbColor rgb="FFFFF2CC"/>
      <rgbColor rgb="FFE8ECF4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B0F0"/>
      <rgbColor rgb="FFCCFFFF"/>
      <rgbColor rgb="FFCCFFCC"/>
      <rgbColor rgb="FFFFFF99"/>
      <rgbColor rgb="FF99CCFF"/>
      <rgbColor rgb="FFFF99CC"/>
      <rgbColor rgb="FFCC99FF"/>
      <rgbColor rgb="FFFFCC99"/>
      <rgbColor rgb="FF4472C4"/>
      <rgbColor rgb="FF33CCCC"/>
      <rgbColor rgb="FF99CC00"/>
      <rgbColor rgb="FFFFC000"/>
      <rgbColor rgb="FFFF9900"/>
      <rgbColor rgb="FFED7D31"/>
      <rgbColor rgb="FF595959"/>
      <rgbColor rgb="FF7F7F7F"/>
      <rgbColor rgb="FF003366"/>
      <rgbColor rgb="FF70AD47"/>
      <rgbColor rgb="FF003300"/>
      <rgbColor rgb="FF333300"/>
      <rgbColor rgb="FF993300"/>
      <rgbColor rgb="FF993366"/>
      <rgbColor rgb="FF333399"/>
      <rgbColor rgb="FF1F2A44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worksheet" Target="worksheets/sheet12.xml"/><Relationship Id="rId15" Type="http://schemas.openxmlformats.org/officeDocument/2006/relationships/worksheet" Target="worksheets/sheet13.xml"/><Relationship Id="rId16" Type="http://schemas.openxmlformats.org/officeDocument/2006/relationships/worksheet" Target="worksheets/sheet14.xml"/><Relationship Id="rId17" Type="http://schemas.openxmlformats.org/officeDocument/2006/relationships/worksheet" Target="worksheets/sheet15.xml"/><Relationship Id="rId18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 pitchFamily="0" charset="1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hyperlink" Target="../../../../OneDrive/Desktop/F&amp;A%20Project%20Engine/outputs/TXN/model/TXN_FPA_Model.xlsx" TargetMode="External"/><Relationship Id="rId2" Type="http://schemas.openxmlformats.org/officeDocument/2006/relationships/hyperlink" Target="../../../../OneDrive/Desktop/F&amp;A%20Project%20Engine/outputs/TXN/model/TXN_FPA_Model.xlsx" TargetMode="External"/><Relationship Id="rId3" Type="http://schemas.openxmlformats.org/officeDocument/2006/relationships/hyperlink" Target="../../../../OneDrive/Desktop/F&amp;A%20Project%20Engine/outputs/TXN/model/TXN_FPA_Model.xlsx" TargetMode="External"/><Relationship Id="rId4" Type="http://schemas.openxmlformats.org/officeDocument/2006/relationships/hyperlink" Target="../../../../OneDrive/Desktop/F&amp;A%20Project%20Engine/outputs/TXN/model/TXN_FPA_Model.xlsx" TargetMode="External"/><Relationship Id="rId5" Type="http://schemas.openxmlformats.org/officeDocument/2006/relationships/hyperlink" Target="../../../../OneDrive/Desktop/F&amp;A%20Project%20Engine/outputs/TXN/model/TXN_FPA_Model.xlsx" TargetMode="External"/><Relationship Id="rId6" Type="http://schemas.openxmlformats.org/officeDocument/2006/relationships/hyperlink" Target="../../../../OneDrive/Desktop/F&amp;A%20Project%20Engine/outputs/TXN/model/TXN_FPA_Model.xlsx" TargetMode="External"/><Relationship Id="rId7" Type="http://schemas.openxmlformats.org/officeDocument/2006/relationships/hyperlink" Target="../../../../OneDrive/Desktop/F&amp;A%20Project%20Engine/outputs/TXN/model/TXN_FPA_Model.xlsx" TargetMode="External"/><Relationship Id="rId8" Type="http://schemas.openxmlformats.org/officeDocument/2006/relationships/hyperlink" Target="../../../../OneDrive/Desktop/F&amp;A%20Project%20Engine/outputs/TXN/model/TXN_FPA_Model.xlsx" TargetMode="External"/><Relationship Id="rId9" Type="http://schemas.openxmlformats.org/officeDocument/2006/relationships/hyperlink" Target="../../../../OneDrive/Desktop/F&amp;A%20Project%20Engine/outputs/TXN/model/TXN_FPA_Model.xlsx" TargetMode="External"/><Relationship Id="rId10" Type="http://schemas.openxmlformats.org/officeDocument/2006/relationships/hyperlink" Target="../../../../OneDrive/Desktop/F&amp;A%20Project%20Engine/outputs/TXN/model/TXN_FPA_Model.xlsx" TargetMode="External"/><Relationship Id="rId11" Type="http://schemas.openxmlformats.org/officeDocument/2006/relationships/hyperlink" Target="../../../../OneDrive/Desktop/F&amp;A%20Project%20Engine/outputs/TXN/model/TXN_FPA_Model.xlsx" TargetMode="External"/><Relationship Id="rId12" Type="http://schemas.openxmlformats.org/officeDocument/2006/relationships/hyperlink" Target="../../../../OneDrive/Desktop/F&amp;A%20Project%20Engine/outputs/TXN/model/TXN_FPA_Model.xlsx" TargetMode="External"/><Relationship Id="rId13" Type="http://schemas.openxmlformats.org/officeDocument/2006/relationships/hyperlink" Target="../../../../OneDrive/Desktop/F&amp;A%20Project%20Engine/outputs/TXN/model/TXN_FPA_Model.xlsx" TargetMode="External"/><Relationship Id="rId14" Type="http://schemas.openxmlformats.org/officeDocument/2006/relationships/hyperlink" Target="../../../../OneDrive/Desktop/F&amp;A%20Project%20Engine/outputs/TXN/model/TXN_FPA_Model.xlsx" TargetMode="External"/><Relationship Id="rId15" Type="http://schemas.openxmlformats.org/officeDocument/2006/relationships/hyperlink" Target="../../../../OneDrive/Desktop/F&amp;A%20Project%20Engine/outputs/TXN/model/TXN_FPA_Model.xlsx" TargetMode="External"/>
</Relationships>
</file>

<file path=xl/worksheets/_rels/sheet2.xml.rels><?xml version="1.0" encoding="UTF-8"?>
<Relationships xmlns="http://schemas.openxmlformats.org/package/2006/relationships"><Relationship Id="rId1" Type="http://schemas.openxmlformats.org/officeDocument/2006/relationships/hyperlink" Target="https://www.sec.gov/Archives/edgar/data/97476/000009747626000059/" TargetMode="External"/><Relationship Id="rId2" Type="http://schemas.openxmlformats.org/officeDocument/2006/relationships/hyperlink" Target="https://www.sec.gov/Archives/edgar/data/97476/000009747624000007/" TargetMode="External"/><Relationship Id="rId3" Type="http://schemas.openxmlformats.org/officeDocument/2006/relationships/hyperlink" Target="https://www.sec.gov/Archives/edgar/data/97476/000009747623000007/" TargetMode="External"/><Relationship Id="rId4" Type="http://schemas.openxmlformats.org/officeDocument/2006/relationships/hyperlink" Target="https://www.sec.gov/Archives/edgar/data/97476/000009747625000007/" TargetMode="External"/><Relationship Id="rId5" Type="http://schemas.openxmlformats.org/officeDocument/2006/relationships/hyperlink" Target="https://www.sec.gov/Archives/edgar/data/97476/000009747626000152/" TargetMode="Externa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F2A44"/>
    <pageSetUpPr fitToPage="true"/>
  </sheetPr>
  <dimension ref="B2:C42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4296875" defaultRowHeight="15" customHeight="false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28"/>
    <col collapsed="false" customWidth="true" hidden="false" outlineLevel="0" max="3" min="3" style="0" width="90"/>
  </cols>
  <sheetData>
    <row r="2" customFormat="false" ht="24.45" hidden="false" customHeight="false" outlineLevel="0" collapsed="false">
      <c r="B2" s="1" t="s">
        <v>0</v>
      </c>
    </row>
    <row r="3" customFormat="false" ht="15" hidden="false" customHeight="false" outlineLevel="0" collapsed="false">
      <c r="B3" s="2" t="s">
        <v>1</v>
      </c>
    </row>
    <row r="5" customFormat="false" ht="15" hidden="false" customHeight="false" outlineLevel="0" collapsed="false">
      <c r="B5" s="3" t="s">
        <v>2</v>
      </c>
    </row>
    <row r="6" customFormat="false" ht="15" hidden="false" customHeight="false" outlineLevel="0" collapsed="false">
      <c r="B6" s="4" t="s">
        <v>3</v>
      </c>
    </row>
    <row r="8" customFormat="false" ht="42" hidden="false" customHeight="true" outlineLevel="0" collapsed="false">
      <c r="B8" s="5" t="s">
        <v>4</v>
      </c>
      <c r="C8" s="6" t="s">
        <v>5</v>
      </c>
    </row>
    <row r="10" customFormat="false" ht="15" hidden="false" customHeight="false" outlineLevel="0" collapsed="false">
      <c r="B10" s="5" t="s">
        <v>6</v>
      </c>
      <c r="C10" s="7" t="str">
        <f aca="false">Checks!$C$172</f>
        <v>ALL CHECKS PASS</v>
      </c>
    </row>
    <row r="11" customFormat="false" ht="15" hidden="false" customHeight="false" outlineLevel="0" collapsed="false">
      <c r="B11" s="5" t="s">
        <v>7</v>
      </c>
      <c r="C11" s="8" t="s">
        <v>8</v>
      </c>
    </row>
    <row r="13" customFormat="false" ht="15" hidden="false" customHeight="false" outlineLevel="0" collapsed="false">
      <c r="B13" s="5" t="s">
        <v>9</v>
      </c>
    </row>
    <row r="14" customFormat="false" ht="15" hidden="false" customHeight="false" outlineLevel="0" collapsed="false">
      <c r="B14" s="9" t="s">
        <v>10</v>
      </c>
      <c r="C14" s="8" t="s">
        <v>11</v>
      </c>
    </row>
    <row r="15" customFormat="false" ht="15" hidden="false" customHeight="false" outlineLevel="0" collapsed="false">
      <c r="B15" s="9" t="s">
        <v>12</v>
      </c>
      <c r="C15" s="8" t="s">
        <v>13</v>
      </c>
    </row>
    <row r="16" customFormat="false" ht="15" hidden="false" customHeight="false" outlineLevel="0" collapsed="false">
      <c r="B16" s="9" t="s">
        <v>14</v>
      </c>
      <c r="C16" s="8" t="s">
        <v>15</v>
      </c>
    </row>
    <row r="17" customFormat="false" ht="15" hidden="false" customHeight="false" outlineLevel="0" collapsed="false">
      <c r="B17" s="9" t="s">
        <v>16</v>
      </c>
      <c r="C17" s="8" t="s">
        <v>17</v>
      </c>
    </row>
    <row r="18" customFormat="false" ht="15" hidden="false" customHeight="false" outlineLevel="0" collapsed="false">
      <c r="B18" s="9" t="s">
        <v>18</v>
      </c>
      <c r="C18" s="8" t="s">
        <v>19</v>
      </c>
    </row>
    <row r="19" customFormat="false" ht="15" hidden="false" customHeight="false" outlineLevel="0" collapsed="false">
      <c r="B19" s="9" t="s">
        <v>20</v>
      </c>
      <c r="C19" s="8" t="s">
        <v>21</v>
      </c>
    </row>
    <row r="20" customFormat="false" ht="15" hidden="false" customHeight="false" outlineLevel="0" collapsed="false">
      <c r="B20" s="9" t="s">
        <v>22</v>
      </c>
      <c r="C20" s="8" t="s">
        <v>23</v>
      </c>
    </row>
    <row r="21" customFormat="false" ht="15" hidden="false" customHeight="false" outlineLevel="0" collapsed="false">
      <c r="B21" s="9" t="s">
        <v>24</v>
      </c>
      <c r="C21" s="8" t="s">
        <v>25</v>
      </c>
    </row>
    <row r="22" customFormat="false" ht="15" hidden="false" customHeight="false" outlineLevel="0" collapsed="false">
      <c r="B22" s="9" t="s">
        <v>26</v>
      </c>
      <c r="C22" s="8" t="s">
        <v>27</v>
      </c>
    </row>
    <row r="23" customFormat="false" ht="15" hidden="false" customHeight="false" outlineLevel="0" collapsed="false">
      <c r="B23" s="9" t="s">
        <v>28</v>
      </c>
      <c r="C23" s="8" t="s">
        <v>29</v>
      </c>
    </row>
    <row r="24" customFormat="false" ht="15" hidden="false" customHeight="false" outlineLevel="0" collapsed="false">
      <c r="B24" s="9" t="s">
        <v>30</v>
      </c>
      <c r="C24" s="8" t="s">
        <v>31</v>
      </c>
    </row>
    <row r="25" customFormat="false" ht="15" hidden="false" customHeight="false" outlineLevel="0" collapsed="false">
      <c r="B25" s="9" t="s">
        <v>32</v>
      </c>
      <c r="C25" s="8" t="s">
        <v>33</v>
      </c>
    </row>
    <row r="26" customFormat="false" ht="15" hidden="false" customHeight="false" outlineLevel="0" collapsed="false">
      <c r="B26" s="9" t="s">
        <v>34</v>
      </c>
      <c r="C26" s="8" t="s">
        <v>35</v>
      </c>
    </row>
    <row r="27" customFormat="false" ht="15" hidden="false" customHeight="false" outlineLevel="0" collapsed="false">
      <c r="B27" s="9" t="s">
        <v>36</v>
      </c>
      <c r="C27" s="8" t="s">
        <v>37</v>
      </c>
    </row>
    <row r="28" customFormat="false" ht="15" hidden="false" customHeight="false" outlineLevel="0" collapsed="false">
      <c r="B28" s="9" t="s">
        <v>38</v>
      </c>
      <c r="C28" s="8" t="s">
        <v>39</v>
      </c>
    </row>
    <row r="30" customFormat="false" ht="15" hidden="false" customHeight="false" outlineLevel="0" collapsed="false">
      <c r="B30" s="5" t="s">
        <v>40</v>
      </c>
    </row>
    <row r="31" customFormat="false" ht="15" hidden="false" customHeight="false" outlineLevel="0" collapsed="false">
      <c r="B31" s="10" t="s">
        <v>41</v>
      </c>
      <c r="C31" s="8" t="s">
        <v>42</v>
      </c>
    </row>
    <row r="32" customFormat="false" ht="15" hidden="false" customHeight="false" outlineLevel="0" collapsed="false">
      <c r="B32" s="11" t="s">
        <v>41</v>
      </c>
      <c r="C32" s="8" t="s">
        <v>43</v>
      </c>
    </row>
    <row r="33" customFormat="false" ht="15" hidden="false" customHeight="false" outlineLevel="0" collapsed="false">
      <c r="B33" s="12" t="s">
        <v>41</v>
      </c>
      <c r="C33" s="8" t="s">
        <v>44</v>
      </c>
    </row>
    <row r="34" customFormat="false" ht="15" hidden="false" customHeight="false" outlineLevel="0" collapsed="false">
      <c r="B34" s="13" t="s">
        <v>45</v>
      </c>
      <c r="C34" s="8" t="s">
        <v>46</v>
      </c>
    </row>
    <row r="36" customFormat="false" ht="15" hidden="false" customHeight="false" outlineLevel="0" collapsed="false">
      <c r="B36" s="5" t="s">
        <v>47</v>
      </c>
    </row>
    <row r="37" customFormat="false" ht="15" hidden="false" customHeight="false" outlineLevel="0" collapsed="false">
      <c r="C37" s="8" t="s">
        <v>48</v>
      </c>
    </row>
    <row r="38" customFormat="false" ht="15" hidden="false" customHeight="false" outlineLevel="0" collapsed="false">
      <c r="C38" s="8" t="s">
        <v>49</v>
      </c>
    </row>
    <row r="39" customFormat="false" ht="15" hidden="false" customHeight="false" outlineLevel="0" collapsed="false">
      <c r="C39" s="8" t="s">
        <v>50</v>
      </c>
    </row>
    <row r="40" customFormat="false" ht="15" hidden="false" customHeight="false" outlineLevel="0" collapsed="false">
      <c r="C40" s="8" t="s">
        <v>51</v>
      </c>
    </row>
    <row r="42" customFormat="false" ht="15" hidden="false" customHeight="false" outlineLevel="0" collapsed="false">
      <c r="B42" s="5" t="s">
        <v>52</v>
      </c>
      <c r="C42" s="8" t="s">
        <v>53</v>
      </c>
    </row>
  </sheetData>
  <hyperlinks>
    <hyperlink ref="B14" r:id="rId1" location="'Cover'!A1" display="Cover"/>
    <hyperlink ref="B15" r:id="rId2" location="'Sources_Log'!A1" display="Sources_Log"/>
    <hyperlink ref="B16" r:id="rId3" location="'Assumptions'!A1" display="Assumptions"/>
    <hyperlink ref="B17" r:id="rId4" location="'Hist_Data'!A1" display="Hist_Data"/>
    <hyperlink ref="B18" r:id="rId5" location="'Hist_Analysis'!A1" display="Hist_Analysis"/>
    <hyperlink ref="B19" r:id="rId6" location="'Ops_Model'!A1" display="Ops_Model"/>
    <hyperlink ref="B20" r:id="rId7" location="'Revenue'!A1" display="Revenue"/>
    <hyperlink ref="B21" r:id="rId8" location="'PnL'!A1" display="PnL"/>
    <hyperlink ref="B22" r:id="rId9" location="'FCF'!A1" display="FCF"/>
    <hyperlink ref="B23" r:id="rId10" location="'Budget'!A1" display="Budget"/>
    <hyperlink ref="B24" r:id="rId11" location="'Actuals'!A1" display="Actuals"/>
    <hyperlink ref="B25" r:id="rId12" location="'Variance'!A1" display="Variance"/>
    <hyperlink ref="B26" r:id="rId13" location="'Capex'!A1" display="Capex"/>
    <hyperlink ref="B27" r:id="rId14" location="'Dash_Export'!A1" display="Dash_Export"/>
    <hyperlink ref="B28" r:id="rId15" location="'Checks'!A1" display="Checks"/>
  </hyperlink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7F7F7F"/>
    <pageSetUpPr fitToPage="true"/>
  </sheetPr>
  <dimension ref="A1:H3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4296875" defaultRowHeight="15" customHeight="false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30"/>
    <col collapsed="false" customWidth="true" hidden="false" outlineLevel="0" max="3" min="3" style="0" width="26"/>
    <col collapsed="false" customWidth="true" hidden="false" outlineLevel="0" max="4" min="4" style="0" width="50"/>
    <col collapsed="false" customWidth="true" hidden="false" outlineLevel="0" max="5" min="5" style="0" width="60"/>
    <col collapsed="false" customWidth="true" hidden="false" outlineLevel="0" max="7" min="6" style="0" width="22"/>
    <col collapsed="false" customWidth="true" hidden="false" outlineLevel="0" max="8" min="8" style="0" width="12"/>
  </cols>
  <sheetData>
    <row r="1" customFormat="false" ht="19.7" hidden="false" customHeight="false" outlineLevel="0" collapsed="false">
      <c r="A1" s="14" t="s">
        <v>54</v>
      </c>
    </row>
    <row r="2" customFormat="false" ht="15" hidden="false" customHeight="false" outlineLevel="0" collapsed="false">
      <c r="A2" s="4" t="s">
        <v>55</v>
      </c>
    </row>
    <row r="3" customFormat="false" ht="15" hidden="false" customHeight="false" outlineLevel="0" collapsed="false">
      <c r="A3" s="15" t="s">
        <v>2</v>
      </c>
    </row>
    <row r="5" customFormat="false" ht="15" hidden="false" customHeight="false" outlineLevel="0" collapsed="false">
      <c r="A5" s="16" t="s">
        <v>56</v>
      </c>
      <c r="B5" s="17"/>
      <c r="C5" s="17"/>
      <c r="D5" s="17"/>
      <c r="E5" s="17"/>
      <c r="F5" s="17"/>
      <c r="G5" s="17"/>
      <c r="H5" s="17"/>
    </row>
    <row r="6" customFormat="false" ht="15" hidden="false" customHeight="false" outlineLevel="0" collapsed="false">
      <c r="A6" s="18" t="s">
        <v>57</v>
      </c>
      <c r="B6" s="19" t="s">
        <v>58</v>
      </c>
      <c r="C6" s="19" t="s">
        <v>59</v>
      </c>
      <c r="D6" s="19" t="s">
        <v>60</v>
      </c>
      <c r="E6" s="19" t="s">
        <v>61</v>
      </c>
      <c r="F6" s="19" t="s">
        <v>62</v>
      </c>
      <c r="G6" s="19" t="s">
        <v>63</v>
      </c>
      <c r="H6" s="19"/>
    </row>
    <row r="7" customFormat="false" ht="35.5" hidden="false" customHeight="false" outlineLevel="0" collapsed="false">
      <c r="A7" s="6" t="s">
        <v>64</v>
      </c>
      <c r="B7" s="6" t="s">
        <v>65</v>
      </c>
      <c r="C7" s="6" t="s">
        <v>66</v>
      </c>
      <c r="D7" s="6" t="s">
        <v>67</v>
      </c>
      <c r="E7" s="20" t="s">
        <v>68</v>
      </c>
      <c r="F7" s="6" t="s">
        <v>69</v>
      </c>
      <c r="G7" s="6" t="s">
        <v>70</v>
      </c>
    </row>
    <row r="8" customFormat="false" ht="24.05" hidden="false" customHeight="false" outlineLevel="0" collapsed="false">
      <c r="A8" s="6" t="s">
        <v>71</v>
      </c>
      <c r="B8" s="6" t="s">
        <v>72</v>
      </c>
      <c r="C8" s="6" t="s">
        <v>73</v>
      </c>
      <c r="D8" s="6" t="s">
        <v>74</v>
      </c>
      <c r="E8" s="20" t="s">
        <v>75</v>
      </c>
      <c r="F8" s="6" t="s">
        <v>76</v>
      </c>
      <c r="G8" s="6" t="s">
        <v>70</v>
      </c>
    </row>
    <row r="9" customFormat="false" ht="24.05" hidden="false" customHeight="false" outlineLevel="0" collapsed="false">
      <c r="A9" s="6" t="s">
        <v>77</v>
      </c>
      <c r="B9" s="6" t="s">
        <v>78</v>
      </c>
      <c r="C9" s="6" t="s">
        <v>79</v>
      </c>
      <c r="D9" s="6" t="s">
        <v>80</v>
      </c>
      <c r="E9" s="20" t="s">
        <v>81</v>
      </c>
      <c r="F9" s="6" t="s">
        <v>76</v>
      </c>
      <c r="G9" s="6" t="s">
        <v>70</v>
      </c>
    </row>
    <row r="10" customFormat="false" ht="15" hidden="false" customHeight="false" outlineLevel="0" collapsed="false">
      <c r="A10" s="6" t="s">
        <v>82</v>
      </c>
      <c r="B10" s="6" t="s">
        <v>83</v>
      </c>
      <c r="C10" s="6" t="s">
        <v>84</v>
      </c>
      <c r="D10" s="6" t="s">
        <v>85</v>
      </c>
      <c r="E10" s="20" t="s">
        <v>86</v>
      </c>
      <c r="F10" s="6" t="s">
        <v>87</v>
      </c>
      <c r="G10" s="6" t="s">
        <v>70</v>
      </c>
    </row>
    <row r="11" customFormat="false" ht="35.5" hidden="false" customHeight="false" outlineLevel="0" collapsed="false">
      <c r="A11" s="6" t="s">
        <v>88</v>
      </c>
      <c r="B11" s="6" t="s">
        <v>89</v>
      </c>
      <c r="C11" s="6" t="s">
        <v>90</v>
      </c>
      <c r="D11" s="6" t="s">
        <v>91</v>
      </c>
      <c r="E11" s="20" t="s">
        <v>92</v>
      </c>
      <c r="F11" s="6" t="s">
        <v>93</v>
      </c>
      <c r="G11" s="6" t="s">
        <v>70</v>
      </c>
    </row>
    <row r="13" customFormat="false" ht="15" hidden="false" customHeight="false" outlineLevel="0" collapsed="false">
      <c r="A13" s="16" t="s">
        <v>94</v>
      </c>
      <c r="B13" s="17"/>
      <c r="C13" s="17"/>
      <c r="D13" s="17"/>
      <c r="E13" s="17"/>
      <c r="F13" s="17"/>
      <c r="G13" s="17"/>
      <c r="H13" s="17"/>
    </row>
    <row r="14" customFormat="false" ht="15" hidden="false" customHeight="false" outlineLevel="0" collapsed="false">
      <c r="A14" s="18" t="s">
        <v>57</v>
      </c>
      <c r="B14" s="19" t="s">
        <v>95</v>
      </c>
      <c r="C14" s="19" t="s">
        <v>96</v>
      </c>
      <c r="D14" s="19" t="s">
        <v>97</v>
      </c>
      <c r="E14" s="19" t="s">
        <v>98</v>
      </c>
      <c r="F14" s="19" t="s">
        <v>99</v>
      </c>
      <c r="G14" s="19" t="s">
        <v>100</v>
      </c>
      <c r="H14" s="19" t="s">
        <v>101</v>
      </c>
    </row>
    <row r="15" customFormat="false" ht="24.05" hidden="false" customHeight="false" outlineLevel="0" collapsed="false">
      <c r="A15" s="6" t="s">
        <v>102</v>
      </c>
      <c r="B15" s="6" t="s">
        <v>103</v>
      </c>
      <c r="C15" s="6" t="s">
        <v>104</v>
      </c>
      <c r="D15" s="6" t="s">
        <v>105</v>
      </c>
      <c r="E15" s="6" t="s">
        <v>106</v>
      </c>
      <c r="F15" s="6" t="s">
        <v>107</v>
      </c>
      <c r="G15" s="6" t="s">
        <v>108</v>
      </c>
      <c r="H15" s="6" t="s">
        <v>109</v>
      </c>
    </row>
    <row r="16" customFormat="false" ht="24.05" hidden="false" customHeight="false" outlineLevel="0" collapsed="false">
      <c r="A16" s="6" t="s">
        <v>110</v>
      </c>
      <c r="B16" s="6" t="s">
        <v>103</v>
      </c>
      <c r="C16" s="6" t="s">
        <v>111</v>
      </c>
      <c r="D16" s="6" t="s">
        <v>112</v>
      </c>
      <c r="E16" s="6" t="s">
        <v>113</v>
      </c>
      <c r="F16" s="6" t="s">
        <v>107</v>
      </c>
      <c r="G16" s="6" t="s">
        <v>114</v>
      </c>
      <c r="H16" s="6" t="s">
        <v>109</v>
      </c>
    </row>
    <row r="17" customFormat="false" ht="24.05" hidden="false" customHeight="false" outlineLevel="0" collapsed="false">
      <c r="A17" s="6" t="s">
        <v>115</v>
      </c>
      <c r="B17" s="6" t="s">
        <v>116</v>
      </c>
      <c r="C17" s="6" t="s">
        <v>117</v>
      </c>
      <c r="D17" s="6" t="s">
        <v>118</v>
      </c>
      <c r="E17" s="6" t="s">
        <v>119</v>
      </c>
      <c r="F17" s="6" t="s">
        <v>107</v>
      </c>
      <c r="G17" s="6" t="s">
        <v>114</v>
      </c>
      <c r="H17" s="6" t="s">
        <v>109</v>
      </c>
    </row>
    <row r="18" customFormat="false" ht="24.05" hidden="false" customHeight="false" outlineLevel="0" collapsed="false">
      <c r="A18" s="6" t="s">
        <v>120</v>
      </c>
      <c r="B18" s="6" t="s">
        <v>116</v>
      </c>
      <c r="C18" s="6" t="s">
        <v>121</v>
      </c>
      <c r="D18" s="6" t="s">
        <v>122</v>
      </c>
      <c r="E18" s="6" t="s">
        <v>123</v>
      </c>
      <c r="F18" s="6" t="s">
        <v>107</v>
      </c>
      <c r="G18" s="6" t="s">
        <v>114</v>
      </c>
      <c r="H18" s="6" t="s">
        <v>109</v>
      </c>
    </row>
    <row r="19" customFormat="false" ht="24.05" hidden="false" customHeight="false" outlineLevel="0" collapsed="false">
      <c r="A19" s="6" t="s">
        <v>124</v>
      </c>
      <c r="B19" s="6" t="s">
        <v>125</v>
      </c>
      <c r="C19" s="6" t="s">
        <v>126</v>
      </c>
      <c r="D19" s="6" t="s">
        <v>127</v>
      </c>
      <c r="E19" s="6" t="s">
        <v>128</v>
      </c>
      <c r="F19" s="6" t="s">
        <v>107</v>
      </c>
      <c r="G19" s="6" t="s">
        <v>114</v>
      </c>
      <c r="H19" s="6" t="s">
        <v>109</v>
      </c>
    </row>
    <row r="20" customFormat="false" ht="24.05" hidden="false" customHeight="false" outlineLevel="0" collapsed="false">
      <c r="A20" s="6" t="s">
        <v>129</v>
      </c>
      <c r="B20" s="6" t="s">
        <v>125</v>
      </c>
      <c r="C20" s="6" t="s">
        <v>130</v>
      </c>
      <c r="D20" s="6" t="s">
        <v>131</v>
      </c>
      <c r="E20" s="6" t="s">
        <v>132</v>
      </c>
      <c r="F20" s="6" t="s">
        <v>107</v>
      </c>
      <c r="G20" s="6" t="s">
        <v>114</v>
      </c>
      <c r="H20" s="6" t="s">
        <v>109</v>
      </c>
    </row>
    <row r="21" customFormat="false" ht="46.95" hidden="false" customHeight="false" outlineLevel="0" collapsed="false">
      <c r="A21" s="6" t="s">
        <v>133</v>
      </c>
      <c r="B21" s="6" t="s">
        <v>125</v>
      </c>
      <c r="C21" s="6" t="s">
        <v>134</v>
      </c>
      <c r="D21" s="6" t="s">
        <v>135</v>
      </c>
      <c r="E21" s="6" t="s">
        <v>136</v>
      </c>
      <c r="F21" s="6" t="s">
        <v>107</v>
      </c>
      <c r="G21" s="6" t="s">
        <v>108</v>
      </c>
      <c r="H21" s="6" t="s">
        <v>109</v>
      </c>
    </row>
    <row r="22" customFormat="false" ht="24.05" hidden="false" customHeight="false" outlineLevel="0" collapsed="false">
      <c r="A22" s="6" t="s">
        <v>137</v>
      </c>
      <c r="B22" s="6" t="s">
        <v>125</v>
      </c>
      <c r="C22" s="6" t="s">
        <v>138</v>
      </c>
      <c r="D22" s="6" t="s">
        <v>139</v>
      </c>
      <c r="E22" s="6" t="s">
        <v>140</v>
      </c>
      <c r="F22" s="6" t="s">
        <v>107</v>
      </c>
      <c r="G22" s="6" t="s">
        <v>114</v>
      </c>
      <c r="H22" s="6" t="s">
        <v>141</v>
      </c>
    </row>
    <row r="23" customFormat="false" ht="24.05" hidden="false" customHeight="false" outlineLevel="0" collapsed="false">
      <c r="A23" s="6" t="s">
        <v>142</v>
      </c>
      <c r="B23" s="6" t="s">
        <v>125</v>
      </c>
      <c r="C23" s="6" t="s">
        <v>143</v>
      </c>
      <c r="D23" s="6" t="s">
        <v>144</v>
      </c>
      <c r="E23" s="6" t="s">
        <v>145</v>
      </c>
      <c r="F23" s="6" t="s">
        <v>107</v>
      </c>
      <c r="G23" s="6" t="s">
        <v>114</v>
      </c>
      <c r="H23" s="6" t="s">
        <v>109</v>
      </c>
    </row>
    <row r="24" customFormat="false" ht="24.05" hidden="false" customHeight="false" outlineLevel="0" collapsed="false">
      <c r="A24" s="6" t="s">
        <v>146</v>
      </c>
      <c r="B24" s="6" t="s">
        <v>147</v>
      </c>
      <c r="C24" s="6" t="s">
        <v>148</v>
      </c>
      <c r="D24" s="6" t="s">
        <v>2</v>
      </c>
      <c r="E24" s="6" t="s">
        <v>149</v>
      </c>
      <c r="F24" s="6" t="s">
        <v>107</v>
      </c>
      <c r="G24" s="6" t="s">
        <v>108</v>
      </c>
      <c r="H24" s="6" t="s">
        <v>109</v>
      </c>
    </row>
    <row r="25" customFormat="false" ht="35.5" hidden="false" customHeight="false" outlineLevel="0" collapsed="false">
      <c r="A25" s="6" t="s">
        <v>150</v>
      </c>
      <c r="B25" s="6" t="s">
        <v>151</v>
      </c>
      <c r="C25" s="6" t="s">
        <v>152</v>
      </c>
      <c r="D25" s="6" t="s">
        <v>153</v>
      </c>
      <c r="E25" s="6" t="s">
        <v>154</v>
      </c>
      <c r="F25" s="6" t="s">
        <v>155</v>
      </c>
      <c r="G25" s="6" t="s">
        <v>114</v>
      </c>
      <c r="H25" s="6" t="s">
        <v>109</v>
      </c>
    </row>
    <row r="26" customFormat="false" ht="24.05" hidden="false" customHeight="false" outlineLevel="0" collapsed="false">
      <c r="A26" s="6" t="s">
        <v>156</v>
      </c>
      <c r="B26" s="6" t="s">
        <v>151</v>
      </c>
      <c r="C26" s="6" t="s">
        <v>157</v>
      </c>
      <c r="D26" s="6" t="s">
        <v>158</v>
      </c>
      <c r="E26" s="6" t="s">
        <v>159</v>
      </c>
      <c r="F26" s="6" t="s">
        <v>155</v>
      </c>
      <c r="G26" s="6" t="s">
        <v>114</v>
      </c>
      <c r="H26" s="6" t="s">
        <v>109</v>
      </c>
    </row>
    <row r="27" customFormat="false" ht="24.05" hidden="false" customHeight="false" outlineLevel="0" collapsed="false">
      <c r="A27" s="6" t="s">
        <v>160</v>
      </c>
      <c r="B27" s="6" t="s">
        <v>151</v>
      </c>
      <c r="C27" s="6" t="s">
        <v>161</v>
      </c>
      <c r="D27" s="6" t="s">
        <v>162</v>
      </c>
      <c r="E27" s="6" t="s">
        <v>163</v>
      </c>
      <c r="F27" s="6" t="s">
        <v>155</v>
      </c>
      <c r="G27" s="6" t="s">
        <v>114</v>
      </c>
      <c r="H27" s="6" t="s">
        <v>109</v>
      </c>
    </row>
    <row r="28" customFormat="false" ht="24.05" hidden="false" customHeight="false" outlineLevel="0" collapsed="false">
      <c r="A28" s="6" t="s">
        <v>164</v>
      </c>
      <c r="B28" s="6" t="s">
        <v>165</v>
      </c>
      <c r="C28" s="6" t="s">
        <v>166</v>
      </c>
      <c r="D28" s="6" t="s">
        <v>167</v>
      </c>
      <c r="E28" s="6" t="s">
        <v>168</v>
      </c>
      <c r="F28" s="6" t="s">
        <v>107</v>
      </c>
      <c r="G28" s="6" t="s">
        <v>114</v>
      </c>
      <c r="H28" s="6" t="s">
        <v>109</v>
      </c>
    </row>
    <row r="29" customFormat="false" ht="24.05" hidden="false" customHeight="false" outlineLevel="0" collapsed="false">
      <c r="A29" s="6" t="s">
        <v>169</v>
      </c>
      <c r="B29" s="6" t="s">
        <v>170</v>
      </c>
      <c r="C29" s="6" t="s">
        <v>171</v>
      </c>
      <c r="D29" s="6" t="s">
        <v>172</v>
      </c>
      <c r="E29" s="6" t="s">
        <v>173</v>
      </c>
      <c r="F29" s="6" t="s">
        <v>107</v>
      </c>
      <c r="G29" s="6" t="s">
        <v>114</v>
      </c>
      <c r="H29" s="6" t="s">
        <v>109</v>
      </c>
    </row>
    <row r="30" customFormat="false" ht="24.05" hidden="false" customHeight="false" outlineLevel="0" collapsed="false">
      <c r="A30" s="6" t="s">
        <v>174</v>
      </c>
      <c r="B30" s="6" t="s">
        <v>151</v>
      </c>
      <c r="C30" s="6" t="s">
        <v>175</v>
      </c>
      <c r="D30" s="6" t="s">
        <v>176</v>
      </c>
      <c r="E30" s="6" t="s">
        <v>177</v>
      </c>
      <c r="F30" s="6" t="s">
        <v>107</v>
      </c>
      <c r="G30" s="6" t="s">
        <v>114</v>
      </c>
      <c r="H30" s="6" t="s">
        <v>109</v>
      </c>
    </row>
    <row r="31" customFormat="false" ht="24.05" hidden="false" customHeight="false" outlineLevel="0" collapsed="false">
      <c r="A31" s="6" t="s">
        <v>178</v>
      </c>
      <c r="B31" s="6" t="s">
        <v>179</v>
      </c>
      <c r="C31" s="6" t="s">
        <v>180</v>
      </c>
      <c r="D31" s="6" t="s">
        <v>181</v>
      </c>
      <c r="E31" s="6" t="s">
        <v>182</v>
      </c>
      <c r="F31" s="6" t="s">
        <v>107</v>
      </c>
      <c r="G31" s="6" t="s">
        <v>114</v>
      </c>
      <c r="H31" s="6" t="s">
        <v>109</v>
      </c>
    </row>
    <row r="32" customFormat="false" ht="24.05" hidden="false" customHeight="false" outlineLevel="0" collapsed="false">
      <c r="A32" s="6" t="s">
        <v>183</v>
      </c>
      <c r="B32" s="6" t="s">
        <v>179</v>
      </c>
      <c r="C32" s="6" t="s">
        <v>184</v>
      </c>
      <c r="D32" s="6" t="s">
        <v>185</v>
      </c>
      <c r="E32" s="6" t="s">
        <v>186</v>
      </c>
      <c r="F32" s="6" t="s">
        <v>107</v>
      </c>
      <c r="G32" s="6" t="s">
        <v>114</v>
      </c>
      <c r="H32" s="6" t="s">
        <v>109</v>
      </c>
    </row>
    <row r="33" customFormat="false" ht="24.05" hidden="false" customHeight="false" outlineLevel="0" collapsed="false">
      <c r="A33" s="6" t="s">
        <v>187</v>
      </c>
      <c r="B33" s="6" t="s">
        <v>30</v>
      </c>
      <c r="C33" s="6" t="s">
        <v>188</v>
      </c>
      <c r="D33" s="6" t="s">
        <v>189</v>
      </c>
      <c r="E33" s="6" t="s">
        <v>190</v>
      </c>
      <c r="F33" s="6" t="s">
        <v>155</v>
      </c>
      <c r="G33" s="6" t="s">
        <v>114</v>
      </c>
      <c r="H33" s="6" t="s">
        <v>109</v>
      </c>
    </row>
    <row r="34" customFormat="false" ht="35.5" hidden="false" customHeight="false" outlineLevel="0" collapsed="false">
      <c r="A34" s="6" t="s">
        <v>191</v>
      </c>
      <c r="B34" s="6" t="s">
        <v>192</v>
      </c>
      <c r="C34" s="6" t="s">
        <v>193</v>
      </c>
      <c r="D34" s="6" t="s">
        <v>194</v>
      </c>
      <c r="E34" s="6" t="s">
        <v>195</v>
      </c>
      <c r="F34" s="6" t="s">
        <v>107</v>
      </c>
      <c r="G34" s="6" t="s">
        <v>114</v>
      </c>
      <c r="H34" s="6" t="s">
        <v>109</v>
      </c>
    </row>
    <row r="35" customFormat="false" ht="24.05" hidden="false" customHeight="false" outlineLevel="0" collapsed="false">
      <c r="A35" s="6" t="s">
        <v>196</v>
      </c>
      <c r="B35" s="6" t="s">
        <v>192</v>
      </c>
      <c r="C35" s="6" t="s">
        <v>197</v>
      </c>
      <c r="D35" s="6" t="s">
        <v>198</v>
      </c>
      <c r="E35" s="6" t="s">
        <v>199</v>
      </c>
      <c r="F35" s="6" t="s">
        <v>107</v>
      </c>
      <c r="G35" s="6" t="s">
        <v>114</v>
      </c>
      <c r="H35" s="6" t="s">
        <v>109</v>
      </c>
    </row>
    <row r="36" customFormat="false" ht="24.05" hidden="false" customHeight="false" outlineLevel="0" collapsed="false">
      <c r="A36" s="6" t="s">
        <v>200</v>
      </c>
      <c r="B36" s="6" t="s">
        <v>192</v>
      </c>
      <c r="C36" s="6" t="s">
        <v>201</v>
      </c>
      <c r="D36" s="6" t="s">
        <v>202</v>
      </c>
      <c r="E36" s="6" t="s">
        <v>203</v>
      </c>
      <c r="F36" s="6" t="s">
        <v>107</v>
      </c>
      <c r="G36" s="6" t="s">
        <v>114</v>
      </c>
      <c r="H36" s="6" t="s">
        <v>109</v>
      </c>
    </row>
    <row r="37" customFormat="false" ht="24.05" hidden="false" customHeight="false" outlineLevel="0" collapsed="false">
      <c r="A37" s="6" t="s">
        <v>204</v>
      </c>
      <c r="B37" s="6" t="s">
        <v>205</v>
      </c>
      <c r="C37" s="6" t="s">
        <v>206</v>
      </c>
      <c r="D37" s="6" t="s">
        <v>207</v>
      </c>
      <c r="E37" s="6" t="s">
        <v>208</v>
      </c>
      <c r="F37" s="6" t="s">
        <v>107</v>
      </c>
      <c r="G37" s="6" t="s">
        <v>114</v>
      </c>
      <c r="H37" s="6" t="s">
        <v>109</v>
      </c>
    </row>
    <row r="38" customFormat="false" ht="24.05" hidden="false" customHeight="false" outlineLevel="0" collapsed="false">
      <c r="A38" s="6" t="s">
        <v>209</v>
      </c>
      <c r="B38" s="6" t="s">
        <v>205</v>
      </c>
      <c r="C38" s="6" t="s">
        <v>210</v>
      </c>
      <c r="D38" s="6" t="s">
        <v>211</v>
      </c>
      <c r="E38" s="6" t="s">
        <v>212</v>
      </c>
      <c r="F38" s="6" t="s">
        <v>107</v>
      </c>
      <c r="G38" s="6" t="s">
        <v>114</v>
      </c>
      <c r="H38" s="6" t="s">
        <v>109</v>
      </c>
    </row>
  </sheetData>
  <hyperlinks>
    <hyperlink ref="E7" r:id="rId1" display="https://www.sec.gov/Archives/edgar/data/97476/000009747626000059/"/>
    <hyperlink ref="E8" r:id="rId2" display="https://www.sec.gov/Archives/edgar/data/97476/000009747624000007/"/>
    <hyperlink ref="E9" r:id="rId3" display="https://www.sec.gov/Archives/edgar/data/97476/000009747623000007/"/>
    <hyperlink ref="E10" r:id="rId4" display="https://www.sec.gov/Archives/edgar/data/97476/000009747625000007/"/>
    <hyperlink ref="E11" r:id="rId5" display="https://www.sec.gov/Archives/edgar/data/97476/000009747626000152/"/>
  </hyperlink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FFC000"/>
    <pageSetUpPr fitToPage="true"/>
  </sheetPr>
  <dimension ref="A1:Q10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defaultColWidth="8.54296875" defaultRowHeight="15" customHeight="false" zeroHeight="false" outlineLevelRow="0" outlineLevelCol="0"/>
  <cols>
    <col collapsed="false" customWidth="true" hidden="false" outlineLevel="0" max="1" min="1" style="0" width="58"/>
    <col collapsed="false" customWidth="true" hidden="false" outlineLevel="0" max="15" min="2" style="0" width="12"/>
    <col collapsed="false" customWidth="true" hidden="false" outlineLevel="0" max="16" min="16" style="0" width="26"/>
    <col collapsed="false" customWidth="true" hidden="false" outlineLevel="0" max="17" min="17" style="0" width="70"/>
  </cols>
  <sheetData>
    <row r="1" customFormat="false" ht="19.7" hidden="false" customHeight="false" outlineLevel="0" collapsed="false">
      <c r="A1" s="14" t="s">
        <v>213</v>
      </c>
    </row>
    <row r="2" customFormat="false" ht="15" hidden="false" customHeight="false" outlineLevel="0" collapsed="false">
      <c r="A2" s="4" t="s">
        <v>214</v>
      </c>
    </row>
    <row r="3" customFormat="false" ht="15" hidden="false" customHeight="false" outlineLevel="0" collapsed="false">
      <c r="A3" s="15" t="s">
        <v>2</v>
      </c>
    </row>
    <row r="6" customFormat="false" ht="15" hidden="false" customHeight="false" outlineLevel="0" collapsed="false">
      <c r="A6" s="21" t="s">
        <v>215</v>
      </c>
      <c r="C6" s="22" t="s">
        <v>216</v>
      </c>
      <c r="D6" s="11" t="n">
        <f aca="false">MATCH($C$6,$C$9:$E$9,0)</f>
        <v>2</v>
      </c>
      <c r="E6" s="4" t="s">
        <v>217</v>
      </c>
    </row>
    <row r="8" customFormat="false" ht="15" hidden="false" customHeight="false" outlineLevel="0" collapsed="false">
      <c r="A8" s="16" t="s">
        <v>218</v>
      </c>
      <c r="B8" s="17"/>
      <c r="C8" s="17"/>
      <c r="D8" s="17"/>
      <c r="E8" s="17"/>
      <c r="F8" s="17"/>
      <c r="G8" s="17"/>
      <c r="H8" s="17"/>
      <c r="I8" s="17"/>
      <c r="J8" s="17"/>
      <c r="K8" s="17"/>
      <c r="L8" s="17"/>
      <c r="M8" s="17"/>
      <c r="N8" s="17"/>
      <c r="O8" s="17"/>
      <c r="P8" s="17"/>
      <c r="Q8" s="17"/>
    </row>
    <row r="9" customFormat="false" ht="15" hidden="false" customHeight="false" outlineLevel="0" collapsed="false">
      <c r="A9" s="18" t="s">
        <v>219</v>
      </c>
      <c r="B9" s="19" t="s">
        <v>220</v>
      </c>
      <c r="C9" s="19" t="s">
        <v>221</v>
      </c>
      <c r="D9" s="19" t="s">
        <v>216</v>
      </c>
      <c r="E9" s="19" t="s">
        <v>222</v>
      </c>
      <c r="F9" s="19" t="s">
        <v>223</v>
      </c>
      <c r="G9" s="19"/>
      <c r="H9" s="19"/>
      <c r="I9" s="19"/>
      <c r="J9" s="19"/>
      <c r="K9" s="19"/>
      <c r="L9" s="19"/>
      <c r="M9" s="19"/>
      <c r="N9" s="19"/>
      <c r="O9" s="19"/>
      <c r="P9" s="19" t="s">
        <v>99</v>
      </c>
      <c r="Q9" s="19" t="s">
        <v>224</v>
      </c>
    </row>
    <row r="10" customFormat="false" ht="15" hidden="false" customHeight="false" outlineLevel="0" collapsed="false">
      <c r="A10" s="8" t="s">
        <v>225</v>
      </c>
      <c r="B10" s="8" t="s">
        <v>226</v>
      </c>
      <c r="C10" s="23" t="n">
        <v>0.03</v>
      </c>
      <c r="D10" s="23" t="n">
        <v>0.15</v>
      </c>
      <c r="E10" s="23" t="n">
        <v>0.24</v>
      </c>
      <c r="F10" s="24" t="n">
        <f aca="false">INDEX(C10:E10,1,$D$6)</f>
        <v>0.15</v>
      </c>
      <c r="P10" s="8" t="s">
        <v>107</v>
      </c>
      <c r="Q10" s="8" t="s">
        <v>227</v>
      </c>
    </row>
    <row r="11" customFormat="false" ht="15" hidden="false" customHeight="false" outlineLevel="0" collapsed="false">
      <c r="A11" s="8" t="s">
        <v>228</v>
      </c>
      <c r="B11" s="8" t="s">
        <v>226</v>
      </c>
      <c r="C11" s="23" t="n">
        <v>-0.03</v>
      </c>
      <c r="D11" s="23" t="n">
        <v>-0.01</v>
      </c>
      <c r="E11" s="23" t="n">
        <v>0.01</v>
      </c>
      <c r="F11" s="24" t="n">
        <f aca="false">INDEX(C11:E11,1,$D$6)</f>
        <v>-0.01</v>
      </c>
      <c r="P11" s="8" t="s">
        <v>107</v>
      </c>
      <c r="Q11" s="8" t="s">
        <v>229</v>
      </c>
    </row>
    <row r="12" customFormat="false" ht="15" hidden="false" customHeight="false" outlineLevel="0" collapsed="false">
      <c r="A12" s="8" t="s">
        <v>230</v>
      </c>
      <c r="B12" s="8" t="s">
        <v>231</v>
      </c>
      <c r="C12" s="23" t="n">
        <v>-0.02</v>
      </c>
      <c r="D12" s="23" t="n">
        <v>0</v>
      </c>
      <c r="E12" s="23" t="n">
        <v>0.01</v>
      </c>
      <c r="F12" s="24" t="n">
        <f aca="false">INDEX(C12:E12,1,$D$6)</f>
        <v>0</v>
      </c>
      <c r="P12" s="8" t="s">
        <v>107</v>
      </c>
      <c r="Q12" s="8" t="s">
        <v>232</v>
      </c>
    </row>
    <row r="13" customFormat="false" ht="15" hidden="false" customHeight="false" outlineLevel="0" collapsed="false">
      <c r="A13" s="8" t="s">
        <v>233</v>
      </c>
      <c r="B13" s="8" t="s">
        <v>226</v>
      </c>
      <c r="C13" s="23" t="n">
        <v>0.68</v>
      </c>
      <c r="D13" s="23" t="n">
        <v>0.78</v>
      </c>
      <c r="E13" s="23" t="n">
        <v>0.86</v>
      </c>
      <c r="F13" s="24" t="n">
        <f aca="false">INDEX(C13:E13,1,$D$6)</f>
        <v>0.78</v>
      </c>
      <c r="P13" s="8" t="s">
        <v>107</v>
      </c>
      <c r="Q13" s="8" t="s">
        <v>234</v>
      </c>
    </row>
    <row r="14" customFormat="false" ht="15" hidden="false" customHeight="false" outlineLevel="0" collapsed="false">
      <c r="A14" s="8" t="s">
        <v>235</v>
      </c>
      <c r="B14" s="8" t="s">
        <v>226</v>
      </c>
      <c r="C14" s="23" t="n">
        <v>0.05</v>
      </c>
      <c r="D14" s="23" t="n">
        <v>0.03</v>
      </c>
      <c r="E14" s="23" t="n">
        <v>0.01</v>
      </c>
      <c r="F14" s="24" t="n">
        <f aca="false">INDEX(C14:E14,1,$D$6)</f>
        <v>0.03</v>
      </c>
      <c r="P14" s="8" t="s">
        <v>107</v>
      </c>
      <c r="Q14" s="8" t="s">
        <v>236</v>
      </c>
    </row>
    <row r="15" customFormat="false" ht="15" hidden="false" customHeight="false" outlineLevel="0" collapsed="false">
      <c r="A15" s="8" t="s">
        <v>237</v>
      </c>
      <c r="B15" s="8" t="s">
        <v>226</v>
      </c>
      <c r="C15" s="23" t="n">
        <v>0.02</v>
      </c>
      <c r="D15" s="23" t="n">
        <v>0.05</v>
      </c>
      <c r="E15" s="23" t="n">
        <v>0.08</v>
      </c>
      <c r="F15" s="24" t="n">
        <f aca="false">INDEX(C15:E15,1,$D$6)</f>
        <v>0.05</v>
      </c>
      <c r="P15" s="8" t="s">
        <v>107</v>
      </c>
      <c r="Q15" s="8" t="s">
        <v>238</v>
      </c>
    </row>
    <row r="16" customFormat="false" ht="15" hidden="false" customHeight="false" outlineLevel="0" collapsed="false">
      <c r="A16" s="8" t="s">
        <v>239</v>
      </c>
      <c r="B16" s="8" t="s">
        <v>226</v>
      </c>
      <c r="C16" s="23" t="n">
        <v>0.01</v>
      </c>
      <c r="D16" s="23" t="n">
        <v>0.03</v>
      </c>
      <c r="E16" s="23" t="n">
        <v>0.05</v>
      </c>
      <c r="F16" s="24" t="n">
        <f aca="false">INDEX(C16:E16,1,$D$6)</f>
        <v>0.03</v>
      </c>
      <c r="P16" s="8" t="s">
        <v>107</v>
      </c>
      <c r="Q16" s="8" t="s">
        <v>240</v>
      </c>
    </row>
    <row r="17" customFormat="false" ht="15" hidden="false" customHeight="false" outlineLevel="0" collapsed="false">
      <c r="A17" s="8" t="s">
        <v>241</v>
      </c>
      <c r="B17" s="8" t="s">
        <v>226</v>
      </c>
      <c r="C17" s="23" t="n">
        <v>0.04</v>
      </c>
      <c r="D17" s="23" t="n">
        <v>0.05</v>
      </c>
      <c r="E17" s="23" t="n">
        <v>0.06</v>
      </c>
      <c r="F17" s="24" t="n">
        <f aca="false">INDEX(C17:E17,1,$D$6)</f>
        <v>0.05</v>
      </c>
      <c r="P17" s="8" t="s">
        <v>107</v>
      </c>
      <c r="Q17" s="8" t="s">
        <v>242</v>
      </c>
    </row>
    <row r="18" customFormat="false" ht="15" hidden="false" customHeight="false" outlineLevel="0" collapsed="false">
      <c r="A18" s="8" t="s">
        <v>243</v>
      </c>
      <c r="B18" s="8" t="s">
        <v>226</v>
      </c>
      <c r="C18" s="23" t="n">
        <v>0.16</v>
      </c>
      <c r="D18" s="23" t="n">
        <v>0.13</v>
      </c>
      <c r="E18" s="23" t="n">
        <v>0.12</v>
      </c>
      <c r="F18" s="24" t="n">
        <f aca="false">INDEX(C18:E18,1,$D$6)</f>
        <v>0.13</v>
      </c>
      <c r="P18" s="8" t="s">
        <v>107</v>
      </c>
      <c r="Q18" s="8" t="s">
        <v>244</v>
      </c>
    </row>
    <row r="20" customFormat="false" ht="15" hidden="false" customHeight="false" outlineLevel="0" collapsed="false">
      <c r="A20" s="16" t="s">
        <v>245</v>
      </c>
      <c r="B20" s="17"/>
      <c r="C20" s="17"/>
      <c r="D20" s="17"/>
      <c r="E20" s="17"/>
      <c r="F20" s="17"/>
      <c r="G20" s="17"/>
      <c r="H20" s="17"/>
      <c r="I20" s="17"/>
      <c r="J20" s="17"/>
      <c r="K20" s="17"/>
      <c r="L20" s="17"/>
      <c r="M20" s="17"/>
      <c r="N20" s="17"/>
      <c r="O20" s="17"/>
      <c r="P20" s="17"/>
      <c r="Q20" s="17"/>
    </row>
    <row r="21" customFormat="false" ht="15" hidden="false" customHeight="false" outlineLevel="0" collapsed="false">
      <c r="A21" s="8" t="s">
        <v>246</v>
      </c>
      <c r="F21" s="25" t="n">
        <f aca="false">Hist_Analysis!$E$51</f>
        <v>0.228192446043165</v>
      </c>
      <c r="P21" s="8" t="s">
        <v>247</v>
      </c>
      <c r="Q21" s="8" t="s">
        <v>248</v>
      </c>
    </row>
    <row r="22" customFormat="false" ht="15" hidden="false" customHeight="false" outlineLevel="0" collapsed="false">
      <c r="A22" s="8" t="s">
        <v>249</v>
      </c>
      <c r="F22" s="25" t="n">
        <f aca="false">Hist_Data!$D$68*4/Hist_Data!$G$7-1</f>
        <v>0.235833050559891</v>
      </c>
      <c r="P22" s="8" t="s">
        <v>247</v>
      </c>
      <c r="Q22" s="8" t="s">
        <v>248</v>
      </c>
    </row>
    <row r="23" customFormat="false" ht="15" hidden="false" customHeight="false" outlineLevel="0" collapsed="false">
      <c r="A23" s="8" t="s">
        <v>250</v>
      </c>
      <c r="F23" s="25" t="n">
        <f aca="false">Hist_Analysis!$G$9</f>
        <v>0.570240922972514</v>
      </c>
      <c r="P23" s="8" t="s">
        <v>247</v>
      </c>
      <c r="Q23" s="8" t="s">
        <v>248</v>
      </c>
    </row>
    <row r="24" customFormat="false" ht="15" hidden="false" customHeight="false" outlineLevel="0" collapsed="false">
      <c r="A24" s="8" t="s">
        <v>251</v>
      </c>
      <c r="F24" s="25" t="n">
        <f aca="false">Hist_Analysis!$D$9</f>
        <v>0.68758737767126</v>
      </c>
      <c r="P24" s="8" t="s">
        <v>247</v>
      </c>
      <c r="Q24" s="8" t="s">
        <v>248</v>
      </c>
    </row>
    <row r="25" customFormat="false" ht="15" hidden="false" customHeight="false" outlineLevel="0" collapsed="false">
      <c r="A25" s="8" t="s">
        <v>252</v>
      </c>
      <c r="F25" s="25" t="n">
        <f aca="false">Hist_Data!$G$10/Hist_Data!$F$10-1</f>
        <v>0.0632976008167432</v>
      </c>
      <c r="P25" s="8" t="s">
        <v>247</v>
      </c>
      <c r="Q25" s="8" t="s">
        <v>248</v>
      </c>
    </row>
    <row r="26" customFormat="false" ht="15" hidden="false" customHeight="false" outlineLevel="0" collapsed="false">
      <c r="A26" s="8" t="s">
        <v>253</v>
      </c>
      <c r="F26" s="25" t="n">
        <f aca="false">Hist_Data!$G$11/Hist_Data!$F$11-1</f>
        <v>0.0367892976588629</v>
      </c>
      <c r="P26" s="8" t="s">
        <v>247</v>
      </c>
      <c r="Q26" s="8" t="s">
        <v>248</v>
      </c>
    </row>
    <row r="27" customFormat="false" ht="15" hidden="false" customHeight="false" outlineLevel="0" collapsed="false">
      <c r="A27" s="8" t="s">
        <v>254</v>
      </c>
      <c r="F27" s="25" t="n">
        <f aca="false">Hist_Analysis!$G$37</f>
        <v>0.257323832145685</v>
      </c>
      <c r="P27" s="8" t="s">
        <v>247</v>
      </c>
      <c r="Q27" s="8" t="s">
        <v>248</v>
      </c>
    </row>
    <row r="28" customFormat="false" ht="15" hidden="false" customHeight="false" outlineLevel="0" collapsed="false">
      <c r="A28" s="8" t="s">
        <v>255</v>
      </c>
      <c r="F28" s="25" t="n">
        <f aca="false">AVERAGE(Hist_Analysis!$C$37:$G$37)</f>
        <v>0.225762547582042</v>
      </c>
      <c r="P28" s="8" t="s">
        <v>247</v>
      </c>
      <c r="Q28" s="8" t="s">
        <v>248</v>
      </c>
    </row>
    <row r="29" customFormat="false" ht="15" hidden="false" customHeight="false" outlineLevel="0" collapsed="false">
      <c r="A29" s="8" t="s">
        <v>256</v>
      </c>
      <c r="F29" s="25" t="n">
        <f aca="false">AVERAGE(Hist_Analysis!$C$17:$G$17)</f>
        <v>0.124667207934039</v>
      </c>
      <c r="P29" s="8" t="s">
        <v>247</v>
      </c>
      <c r="Q29" s="8" t="s">
        <v>248</v>
      </c>
    </row>
    <row r="31" customFormat="false" ht="15" hidden="false" customHeight="false" outlineLevel="0" collapsed="false">
      <c r="A31" s="16" t="s">
        <v>257</v>
      </c>
      <c r="B31" s="17"/>
      <c r="C31" s="17"/>
      <c r="D31" s="17"/>
      <c r="E31" s="17"/>
      <c r="F31" s="17"/>
      <c r="G31" s="17"/>
      <c r="H31" s="17"/>
      <c r="I31" s="17"/>
      <c r="J31" s="17"/>
      <c r="K31" s="17"/>
      <c r="L31" s="17"/>
      <c r="M31" s="17"/>
      <c r="N31" s="17"/>
      <c r="O31" s="17"/>
      <c r="P31" s="17"/>
      <c r="Q31" s="17"/>
    </row>
    <row r="32" customFormat="false" ht="15" hidden="false" customHeight="false" outlineLevel="0" collapsed="false">
      <c r="A32" s="7" t="s">
        <v>258</v>
      </c>
      <c r="B32" s="8" t="s">
        <v>259</v>
      </c>
      <c r="F32" s="26" t="n">
        <v>1000</v>
      </c>
      <c r="P32" s="8" t="s">
        <v>107</v>
      </c>
      <c r="Q32" s="8" t="s">
        <v>260</v>
      </c>
    </row>
    <row r="33" customFormat="false" ht="15" hidden="false" customHeight="false" outlineLevel="0" collapsed="false">
      <c r="A33" s="8" t="s">
        <v>261</v>
      </c>
      <c r="B33" s="8" t="s">
        <v>259</v>
      </c>
      <c r="F33" s="27" t="n">
        <v>120</v>
      </c>
      <c r="P33" s="8" t="s">
        <v>155</v>
      </c>
      <c r="Q33" s="8" t="s">
        <v>262</v>
      </c>
    </row>
    <row r="34" customFormat="false" ht="15" hidden="false" customHeight="false" outlineLevel="0" collapsed="false">
      <c r="A34" s="8" t="s">
        <v>263</v>
      </c>
      <c r="B34" s="8" t="s">
        <v>259</v>
      </c>
      <c r="F34" s="27" t="n">
        <v>100</v>
      </c>
      <c r="P34" s="8" t="s">
        <v>155</v>
      </c>
      <c r="Q34" s="8" t="s">
        <v>264</v>
      </c>
    </row>
    <row r="35" customFormat="false" ht="15" hidden="false" customHeight="false" outlineLevel="0" collapsed="false">
      <c r="A35" s="8" t="s">
        <v>265</v>
      </c>
      <c r="F35" s="28" t="n">
        <v>46023</v>
      </c>
      <c r="P35" s="8" t="s">
        <v>107</v>
      </c>
      <c r="Q35" s="8" t="s">
        <v>266</v>
      </c>
    </row>
    <row r="37" customFormat="false" ht="15" hidden="false" customHeight="false" outlineLevel="0" collapsed="false">
      <c r="A37" s="16" t="s">
        <v>267</v>
      </c>
      <c r="B37" s="17"/>
      <c r="C37" s="17"/>
      <c r="D37" s="17"/>
      <c r="E37" s="17"/>
      <c r="F37" s="17"/>
      <c r="G37" s="17"/>
      <c r="H37" s="17"/>
      <c r="I37" s="17"/>
      <c r="J37" s="17"/>
      <c r="K37" s="17"/>
      <c r="L37" s="17"/>
      <c r="M37" s="17"/>
      <c r="N37" s="17"/>
      <c r="O37" s="17"/>
      <c r="P37" s="17"/>
      <c r="Q37" s="17"/>
    </row>
    <row r="38" customFormat="false" ht="24.05" hidden="false" customHeight="false" outlineLevel="0" collapsed="false">
      <c r="A38" s="18" t="s">
        <v>45</v>
      </c>
      <c r="B38" s="19" t="s">
        <v>220</v>
      </c>
      <c r="C38" s="19" t="s">
        <v>268</v>
      </c>
      <c r="D38" s="19" t="s">
        <v>269</v>
      </c>
      <c r="E38" s="19" t="s">
        <v>270</v>
      </c>
      <c r="F38" s="19" t="s">
        <v>125</v>
      </c>
      <c r="G38" s="19"/>
      <c r="H38" s="19"/>
      <c r="I38" s="19"/>
      <c r="J38" s="19"/>
      <c r="K38" s="19"/>
      <c r="L38" s="19"/>
      <c r="M38" s="19"/>
      <c r="N38" s="19"/>
      <c r="O38" s="19"/>
      <c r="P38" s="19" t="s">
        <v>99</v>
      </c>
      <c r="Q38" s="19" t="s">
        <v>271</v>
      </c>
    </row>
    <row r="39" customFormat="false" ht="15" hidden="false" customHeight="false" outlineLevel="0" collapsed="false">
      <c r="A39" s="8" t="s">
        <v>272</v>
      </c>
      <c r="B39" s="8" t="s">
        <v>226</v>
      </c>
      <c r="C39" s="23" t="n">
        <v>0.5</v>
      </c>
      <c r="D39" s="23" t="n">
        <v>0.5</v>
      </c>
      <c r="E39" s="23" t="n">
        <v>1</v>
      </c>
      <c r="P39" s="8" t="s">
        <v>107</v>
      </c>
      <c r="Q39" s="8" t="s">
        <v>273</v>
      </c>
    </row>
    <row r="40" customFormat="false" ht="15" hidden="false" customHeight="false" outlineLevel="0" collapsed="false">
      <c r="A40" s="8" t="s">
        <v>274</v>
      </c>
      <c r="B40" s="8" t="s">
        <v>226</v>
      </c>
      <c r="C40" s="29" t="n">
        <f aca="false">Hist_Analysis!$G$20*$C$39</f>
        <v>0.39605248275082</v>
      </c>
      <c r="D40" s="29" t="n">
        <f aca="false">Hist_Analysis!$G$20*$D$39</f>
        <v>0.39605248275082</v>
      </c>
      <c r="E40" s="29" t="n">
        <f aca="false">Hist_Analysis!$G$21*$E$39</f>
        <v>0.15252799457075</v>
      </c>
      <c r="F40" s="29" t="n">
        <f aca="false">SUM(C40:E40)</f>
        <v>0.94463296007239</v>
      </c>
      <c r="P40" s="8" t="s">
        <v>247</v>
      </c>
      <c r="Q40" s="8" t="s">
        <v>275</v>
      </c>
    </row>
    <row r="41" customFormat="false" ht="15" hidden="false" customHeight="false" outlineLevel="0" collapsed="false">
      <c r="A41" s="8" t="s">
        <v>276</v>
      </c>
      <c r="B41" s="8" t="s">
        <v>226</v>
      </c>
      <c r="C41" s="29" t="n">
        <f aca="false">$C$40/$F$40</f>
        <v>0.419266000119739</v>
      </c>
      <c r="D41" s="29" t="n">
        <f aca="false">$D$40/$F$40</f>
        <v>0.419266000119739</v>
      </c>
      <c r="E41" s="29" t="n">
        <f aca="false">$E$40/$F$40</f>
        <v>0.161467999760522</v>
      </c>
      <c r="F41" s="29" t="n">
        <f aca="false">SUM(C41:E41)</f>
        <v>1</v>
      </c>
      <c r="P41" s="8" t="s">
        <v>247</v>
      </c>
      <c r="Q41" s="8" t="s">
        <v>277</v>
      </c>
    </row>
    <row r="42" customFormat="false" ht="15" hidden="false" customHeight="false" outlineLevel="0" collapsed="false">
      <c r="A42" s="7" t="s">
        <v>278</v>
      </c>
      <c r="B42" s="8" t="s">
        <v>259</v>
      </c>
      <c r="C42" s="30" t="n">
        <f aca="false">$F$32*$C$41</f>
        <v>419.266000119739</v>
      </c>
      <c r="D42" s="30" t="n">
        <f aca="false">$F$32*$D$41</f>
        <v>419.266000119739</v>
      </c>
      <c r="E42" s="30" t="n">
        <f aca="false">$F$32*$E$41</f>
        <v>161.467999760522</v>
      </c>
      <c r="F42" s="30" t="n">
        <f aca="false">SUM(C42:E42)</f>
        <v>1000</v>
      </c>
      <c r="P42" s="8" t="s">
        <v>247</v>
      </c>
      <c r="Q42" s="8" t="s">
        <v>279</v>
      </c>
    </row>
    <row r="43" customFormat="false" ht="15" hidden="false" customHeight="false" outlineLevel="0" collapsed="false">
      <c r="A43" s="8" t="s">
        <v>280</v>
      </c>
      <c r="B43" s="8" t="s">
        <v>281</v>
      </c>
      <c r="C43" s="31" t="n">
        <v>0.6</v>
      </c>
      <c r="D43" s="31" t="n">
        <v>0.95</v>
      </c>
      <c r="E43" s="31" t="n">
        <v>3.4</v>
      </c>
      <c r="P43" s="8" t="s">
        <v>155</v>
      </c>
      <c r="Q43" s="8" t="s">
        <v>282</v>
      </c>
    </row>
    <row r="44" customFormat="false" ht="15" hidden="false" customHeight="false" outlineLevel="0" collapsed="false">
      <c r="A44" s="8" t="s">
        <v>283</v>
      </c>
      <c r="B44" s="8" t="s">
        <v>226</v>
      </c>
      <c r="C44" s="23" t="n">
        <v>0.95</v>
      </c>
      <c r="D44" s="23" t="n">
        <v>0.93</v>
      </c>
      <c r="E44" s="23" t="n">
        <v>0.88</v>
      </c>
      <c r="P44" s="8" t="s">
        <v>155</v>
      </c>
      <c r="Q44" s="8" t="s">
        <v>284</v>
      </c>
    </row>
    <row r="45" customFormat="false" ht="15" hidden="false" customHeight="false" outlineLevel="0" collapsed="false">
      <c r="A45" s="8" t="s">
        <v>285</v>
      </c>
      <c r="B45" s="8" t="s">
        <v>281</v>
      </c>
      <c r="C45" s="31" t="n">
        <v>0.14</v>
      </c>
      <c r="D45" s="31" t="n">
        <v>0.21</v>
      </c>
      <c r="E45" s="31" t="n">
        <v>0.95</v>
      </c>
      <c r="P45" s="8" t="s">
        <v>155</v>
      </c>
      <c r="Q45" s="8" t="s">
        <v>286</v>
      </c>
    </row>
    <row r="46" customFormat="false" ht="15" hidden="false" customHeight="false" outlineLevel="0" collapsed="false">
      <c r="A46" s="8" t="s">
        <v>287</v>
      </c>
      <c r="B46" s="8" t="s">
        <v>288</v>
      </c>
      <c r="C46" s="27" t="n">
        <v>5.8</v>
      </c>
      <c r="D46" s="27" t="n">
        <v>6.2</v>
      </c>
      <c r="E46" s="27" t="n">
        <v>2.5</v>
      </c>
      <c r="F46" s="30" t="n">
        <f aca="false">SUM(C46:E46)</f>
        <v>14.5</v>
      </c>
      <c r="P46" s="8" t="s">
        <v>155</v>
      </c>
      <c r="Q46" s="8" t="s">
        <v>289</v>
      </c>
    </row>
    <row r="47" customFormat="false" ht="15" hidden="false" customHeight="false" outlineLevel="0" collapsed="false">
      <c r="A47" s="8" t="s">
        <v>290</v>
      </c>
      <c r="B47" s="8" t="s">
        <v>291</v>
      </c>
      <c r="C47" s="32" t="n">
        <v>88</v>
      </c>
      <c r="D47" s="32" t="n">
        <v>60</v>
      </c>
      <c r="E47" s="32" t="n">
        <v>7</v>
      </c>
      <c r="P47" s="8" t="s">
        <v>155</v>
      </c>
      <c r="Q47" s="8" t="s">
        <v>292</v>
      </c>
    </row>
    <row r="48" customFormat="false" ht="15" hidden="false" customHeight="false" outlineLevel="0" collapsed="false">
      <c r="A48" s="8" t="s">
        <v>293</v>
      </c>
      <c r="B48" s="8" t="s">
        <v>231</v>
      </c>
      <c r="C48" s="23" t="n">
        <v>0.02</v>
      </c>
      <c r="D48" s="23" t="n">
        <v>0.02</v>
      </c>
      <c r="E48" s="23" t="n">
        <v>-0.06</v>
      </c>
      <c r="P48" s="8" t="s">
        <v>155</v>
      </c>
      <c r="Q48" s="8" t="s">
        <v>294</v>
      </c>
    </row>
    <row r="49" customFormat="false" ht="15" hidden="false" customHeight="false" outlineLevel="0" collapsed="false">
      <c r="A49" s="8" t="s">
        <v>295</v>
      </c>
      <c r="B49" s="8" t="s">
        <v>296</v>
      </c>
      <c r="C49" s="33" t="n">
        <v>1</v>
      </c>
      <c r="D49" s="33" t="n">
        <v>1</v>
      </c>
      <c r="E49" s="33" t="n">
        <v>1</v>
      </c>
      <c r="P49" s="8" t="s">
        <v>155</v>
      </c>
      <c r="Q49" s="8" t="s">
        <v>297</v>
      </c>
    </row>
    <row r="51" customFormat="false" ht="15" hidden="false" customHeight="false" outlineLevel="0" collapsed="false">
      <c r="A51" s="5" t="s">
        <v>298</v>
      </c>
    </row>
    <row r="52" customFormat="false" ht="15" hidden="false" customHeight="false" outlineLevel="0" collapsed="false">
      <c r="A52" s="8" t="s">
        <v>299</v>
      </c>
      <c r="B52" s="8" t="s">
        <v>300</v>
      </c>
      <c r="C52" s="34" t="n">
        <f aca="false">$C$42/$C$43</f>
        <v>698.776666866232</v>
      </c>
      <c r="D52" s="34" t="n">
        <f aca="false">$D$42/$D$43</f>
        <v>441.332631704988</v>
      </c>
      <c r="E52" s="34" t="n">
        <f aca="false">$E$42/$E$43</f>
        <v>47.4905881648594</v>
      </c>
      <c r="P52" s="8" t="s">
        <v>247</v>
      </c>
      <c r="Q52" s="8" t="s">
        <v>301</v>
      </c>
    </row>
    <row r="53" customFormat="false" ht="15" hidden="false" customHeight="false" outlineLevel="0" collapsed="false">
      <c r="A53" s="8" t="s">
        <v>302</v>
      </c>
      <c r="B53" s="8" t="s">
        <v>300</v>
      </c>
      <c r="C53" s="34" t="n">
        <f aca="false">$C$52/$C$44</f>
        <v>735.554386174981</v>
      </c>
      <c r="D53" s="34" t="n">
        <f aca="false">$D$52/$D$44</f>
        <v>474.551216887084</v>
      </c>
      <c r="E53" s="34" t="n">
        <f aca="false">$E$52/$E$44</f>
        <v>53.9665774600675</v>
      </c>
      <c r="P53" s="8" t="s">
        <v>247</v>
      </c>
      <c r="Q53" s="8" t="s">
        <v>303</v>
      </c>
    </row>
    <row r="54" customFormat="false" ht="15" hidden="false" customHeight="false" outlineLevel="0" collapsed="false">
      <c r="A54" s="8" t="s">
        <v>304</v>
      </c>
      <c r="B54" s="8" t="s">
        <v>226</v>
      </c>
      <c r="C54" s="35" t="n">
        <f aca="false">$C$53/($C$47*12)</f>
        <v>0.696547714180853</v>
      </c>
      <c r="D54" s="35" t="n">
        <f aca="false">$D$53/($D$47*12)</f>
        <v>0.659098912343173</v>
      </c>
      <c r="E54" s="35" t="n">
        <f aca="false">$E$53/($E$47*12)</f>
        <v>0.642459255476995</v>
      </c>
      <c r="P54" s="8" t="s">
        <v>247</v>
      </c>
      <c r="Q54" s="8" t="s">
        <v>305</v>
      </c>
    </row>
    <row r="55" customFormat="false" ht="15" hidden="false" customHeight="false" outlineLevel="0" collapsed="false">
      <c r="A55" s="8" t="s">
        <v>306</v>
      </c>
      <c r="B55" s="8" t="s">
        <v>259</v>
      </c>
      <c r="C55" s="30" t="n">
        <f aca="false">$C$53*$C$45</f>
        <v>102.977614064497</v>
      </c>
      <c r="D55" s="30" t="n">
        <f aca="false">$D$53*$D$45</f>
        <v>99.6557555462877</v>
      </c>
      <c r="E55" s="30" t="n">
        <f aca="false">$E$53*$E$45</f>
        <v>51.2682485870642</v>
      </c>
      <c r="F55" s="30" t="n">
        <f aca="false">SUM(C55:E55)</f>
        <v>253.901618197849</v>
      </c>
      <c r="P55" s="8" t="s">
        <v>247</v>
      </c>
      <c r="Q55" s="8" t="s">
        <v>307</v>
      </c>
    </row>
    <row r="56" customFormat="false" ht="15" hidden="false" customHeight="false" outlineLevel="0" collapsed="false">
      <c r="A56" s="8" t="s">
        <v>308</v>
      </c>
      <c r="B56" s="8" t="s">
        <v>259</v>
      </c>
      <c r="C56" s="30" t="n">
        <f aca="false">$C$46*12</f>
        <v>69.6</v>
      </c>
      <c r="D56" s="30" t="n">
        <f aca="false">$D$46*12</f>
        <v>74.4</v>
      </c>
      <c r="E56" s="30" t="n">
        <f aca="false">$E$46*12</f>
        <v>30</v>
      </c>
      <c r="F56" s="30" t="n">
        <f aca="false">SUM(C56:E56)</f>
        <v>174</v>
      </c>
      <c r="P56" s="8" t="s">
        <v>247</v>
      </c>
      <c r="Q56" s="8" t="s">
        <v>309</v>
      </c>
    </row>
    <row r="57" customFormat="false" ht="15" hidden="false" customHeight="false" outlineLevel="0" collapsed="false">
      <c r="A57" s="8" t="s">
        <v>310</v>
      </c>
      <c r="B57" s="8" t="s">
        <v>259</v>
      </c>
      <c r="C57" s="30" t="n">
        <f aca="false">$C$55+$C$56</f>
        <v>172.577614064497</v>
      </c>
      <c r="D57" s="30" t="n">
        <f aca="false">$D$55+$D$56</f>
        <v>174.055755546288</v>
      </c>
      <c r="E57" s="30" t="n">
        <f aca="false">$E$55+$E$56</f>
        <v>81.2682485870642</v>
      </c>
      <c r="F57" s="30" t="n">
        <f aca="false">SUM(C57:E57)</f>
        <v>427.901618197849</v>
      </c>
      <c r="P57" s="8" t="s">
        <v>247</v>
      </c>
      <c r="Q57" s="8" t="s">
        <v>311</v>
      </c>
    </row>
    <row r="58" customFormat="false" ht="15" hidden="false" customHeight="false" outlineLevel="0" collapsed="false">
      <c r="A58" s="7" t="s">
        <v>312</v>
      </c>
      <c r="B58" s="8" t="s">
        <v>259</v>
      </c>
      <c r="C58" s="30" t="n">
        <f aca="false">$C$42-$C$57</f>
        <v>246.688386055242</v>
      </c>
      <c r="D58" s="30" t="n">
        <f aca="false">$D$42-$D$57</f>
        <v>245.210244573451</v>
      </c>
      <c r="E58" s="30" t="n">
        <f aca="false">$E$42-$E$57</f>
        <v>80.1997511734579</v>
      </c>
      <c r="F58" s="30" t="n">
        <f aca="false">SUM(C58:E58)</f>
        <v>572.098381802151</v>
      </c>
      <c r="P58" s="8" t="s">
        <v>247</v>
      </c>
      <c r="Q58" s="8" t="s">
        <v>313</v>
      </c>
    </row>
    <row r="59" customFormat="false" ht="15" hidden="false" customHeight="false" outlineLevel="0" collapsed="false">
      <c r="A59" s="8" t="s">
        <v>314</v>
      </c>
      <c r="B59" s="8" t="s">
        <v>226</v>
      </c>
      <c r="C59" s="35" t="n">
        <f aca="false">IFERROR($C$58/$C$42,0)</f>
        <v>0.588381566797187</v>
      </c>
      <c r="D59" s="35" t="n">
        <f aca="false">IFERROR($D$58/$D$42,0)</f>
        <v>0.584856021006762</v>
      </c>
      <c r="E59" s="35" t="n">
        <f aca="false">IFERROR($E$58/$E$42,0)</f>
        <v>0.496691302873662</v>
      </c>
      <c r="F59" s="35" t="n">
        <f aca="false">IFERROR(F58/F42,0)</f>
        <v>0.572098381802151</v>
      </c>
      <c r="P59" s="8" t="s">
        <v>247</v>
      </c>
      <c r="Q59" s="8" t="s">
        <v>315</v>
      </c>
    </row>
    <row r="60" customFormat="false" ht="15" hidden="false" customHeight="false" outlineLevel="0" collapsed="false">
      <c r="A60" s="8" t="s">
        <v>316</v>
      </c>
      <c r="B60" s="8" t="s">
        <v>281</v>
      </c>
      <c r="C60" s="36" t="n">
        <f aca="false">$C$57/$C$52</f>
        <v>0.246971059921688</v>
      </c>
      <c r="D60" s="36" t="n">
        <f aca="false">$D$57/$D$52</f>
        <v>0.394386780043576</v>
      </c>
      <c r="E60" s="36" t="n">
        <f aca="false">$E$57/$E$52</f>
        <v>1.71124957022955</v>
      </c>
      <c r="P60" s="8" t="s">
        <v>247</v>
      </c>
      <c r="Q60" s="8" t="s">
        <v>317</v>
      </c>
    </row>
    <row r="62" customFormat="false" ht="15" hidden="false" customHeight="false" outlineLevel="0" collapsed="false">
      <c r="A62" s="5" t="s">
        <v>318</v>
      </c>
    </row>
    <row r="63" customFormat="false" ht="15" hidden="false" customHeight="false" outlineLevel="0" collapsed="false">
      <c r="A63" s="8" t="s">
        <v>319</v>
      </c>
      <c r="B63" s="8" t="s">
        <v>300</v>
      </c>
      <c r="C63" s="34" t="n">
        <f aca="false">$C$52*(1+$F$10+$C$48)</f>
        <v>817.568700233491</v>
      </c>
      <c r="D63" s="34" t="n">
        <f aca="false">$D$52*(1+$F$10+$D$48)</f>
        <v>516.359179094837</v>
      </c>
      <c r="E63" s="34" t="n">
        <f aca="false">$E$52*(1+$F$10+$E$48)</f>
        <v>51.7647410996968</v>
      </c>
      <c r="P63" s="8" t="s">
        <v>247</v>
      </c>
      <c r="Q63" s="8" t="s">
        <v>320</v>
      </c>
    </row>
    <row r="64" customFormat="false" ht="15" hidden="false" customHeight="false" outlineLevel="0" collapsed="false">
      <c r="A64" s="8" t="s">
        <v>321</v>
      </c>
      <c r="B64" s="8" t="s">
        <v>281</v>
      </c>
      <c r="C64" s="36" t="n">
        <f aca="false">$C$43*(1+$F$11)</f>
        <v>0.594</v>
      </c>
      <c r="D64" s="36" t="n">
        <f aca="false">$D$43*(1+$F$11)</f>
        <v>0.9405</v>
      </c>
      <c r="E64" s="36" t="n">
        <f aca="false">$E$43*(1+$F$11)</f>
        <v>3.366</v>
      </c>
      <c r="P64" s="8" t="s">
        <v>247</v>
      </c>
      <c r="Q64" s="8" t="s">
        <v>322</v>
      </c>
    </row>
    <row r="65" customFormat="false" ht="15" hidden="false" customHeight="false" outlineLevel="0" collapsed="false">
      <c r="A65" s="8" t="s">
        <v>323</v>
      </c>
      <c r="B65" s="8" t="s">
        <v>226</v>
      </c>
      <c r="C65" s="35" t="n">
        <f aca="false">MIN(1,MAX(0,$C$44+$F$12))</f>
        <v>0.95</v>
      </c>
      <c r="D65" s="35" t="n">
        <f aca="false">MIN(1,MAX(0,$D$44+$F$12))</f>
        <v>0.93</v>
      </c>
      <c r="E65" s="35" t="n">
        <f aca="false">MIN(1,MAX(0,$E$44+$F$12))</f>
        <v>0.88</v>
      </c>
      <c r="P65" s="8" t="s">
        <v>247</v>
      </c>
      <c r="Q65" s="8" t="s">
        <v>324</v>
      </c>
    </row>
    <row r="66" customFormat="false" ht="15" hidden="false" customHeight="false" outlineLevel="0" collapsed="false">
      <c r="A66" s="8" t="s">
        <v>325</v>
      </c>
      <c r="B66" s="8" t="s">
        <v>226</v>
      </c>
      <c r="C66" s="35" t="n">
        <f aca="false">$F$13</f>
        <v>0.78</v>
      </c>
      <c r="D66" s="35" t="n">
        <f aca="false">$F$13</f>
        <v>0.78</v>
      </c>
      <c r="E66" s="35" t="n">
        <f aca="false">$F$13</f>
        <v>0.78</v>
      </c>
      <c r="P66" s="8" t="s">
        <v>247</v>
      </c>
      <c r="Q66" s="8" t="s">
        <v>326</v>
      </c>
    </row>
    <row r="67" customFormat="false" ht="15" hidden="false" customHeight="false" outlineLevel="0" collapsed="false">
      <c r="A67" s="8" t="s">
        <v>327</v>
      </c>
      <c r="B67" s="8" t="s">
        <v>281</v>
      </c>
      <c r="C67" s="36" t="n">
        <f aca="false">$C$45*(1+$F$14)</f>
        <v>0.1442</v>
      </c>
      <c r="D67" s="36" t="n">
        <f aca="false">$D$45*(1+$F$14)</f>
        <v>0.2163</v>
      </c>
      <c r="E67" s="36" t="n">
        <f aca="false">$E$45*(1+$F$14)</f>
        <v>0.9785</v>
      </c>
      <c r="P67" s="8" t="s">
        <v>247</v>
      </c>
      <c r="Q67" s="8" t="s">
        <v>328</v>
      </c>
    </row>
    <row r="68" customFormat="false" ht="15" hidden="false" customHeight="false" outlineLevel="0" collapsed="false">
      <c r="A68" s="8" t="s">
        <v>329</v>
      </c>
      <c r="B68" s="8" t="s">
        <v>300</v>
      </c>
      <c r="C68" s="34" t="n">
        <f aca="false">$C$49*$C$52/12</f>
        <v>58.2313889055193</v>
      </c>
      <c r="D68" s="34" t="n">
        <f aca="false">$D$49*$D$52/12</f>
        <v>36.777719308749</v>
      </c>
      <c r="E68" s="34" t="n">
        <f aca="false">$E$49*$E$52/12</f>
        <v>3.95754901373829</v>
      </c>
      <c r="P68" s="8" t="s">
        <v>247</v>
      </c>
      <c r="Q68" s="8" t="s">
        <v>330</v>
      </c>
    </row>
    <row r="69" customFormat="false" ht="15" hidden="false" customHeight="false" outlineLevel="0" collapsed="false">
      <c r="A69" s="8" t="s">
        <v>331</v>
      </c>
      <c r="B69" s="8" t="s">
        <v>259</v>
      </c>
      <c r="C69" s="30" t="n">
        <f aca="false">$C$68*$C$60</f>
        <v>14.3814678387081</v>
      </c>
      <c r="D69" s="30" t="n">
        <f aca="false">$D$68*$D$60</f>
        <v>14.504646295524</v>
      </c>
      <c r="E69" s="30" t="n">
        <f aca="false">$E$68*$E$60</f>
        <v>6.77235404892201</v>
      </c>
      <c r="F69" s="30" t="n">
        <f aca="false">SUM(C69:E69)</f>
        <v>35.6584681831541</v>
      </c>
      <c r="P69" s="8" t="s">
        <v>247</v>
      </c>
      <c r="Q69" s="8" t="s">
        <v>332</v>
      </c>
    </row>
    <row r="71" customFormat="false" ht="15" hidden="false" customHeight="false" outlineLevel="0" collapsed="false">
      <c r="A71" s="16" t="s">
        <v>333</v>
      </c>
      <c r="B71" s="17"/>
      <c r="C71" s="17"/>
      <c r="D71" s="17"/>
      <c r="E71" s="17"/>
      <c r="F71" s="17"/>
      <c r="G71" s="17"/>
      <c r="H71" s="17"/>
      <c r="I71" s="17"/>
      <c r="J71" s="17"/>
      <c r="K71" s="17"/>
      <c r="L71" s="17"/>
      <c r="M71" s="17"/>
      <c r="N71" s="17"/>
      <c r="O71" s="17"/>
      <c r="P71" s="17"/>
      <c r="Q71" s="17"/>
    </row>
    <row r="72" customFormat="false" ht="15" hidden="false" customHeight="false" outlineLevel="0" collapsed="false">
      <c r="A72" s="7" t="s">
        <v>334</v>
      </c>
      <c r="C72" s="37" t="n">
        <f aca="false">DATE(YEAR($F$35),MONTH($F$35)+0,1)</f>
        <v>46023</v>
      </c>
      <c r="D72" s="37" t="n">
        <f aca="false">DATE(YEAR($F$35),MONTH($F$35)+1,1)</f>
        <v>46054</v>
      </c>
      <c r="E72" s="37" t="n">
        <f aca="false">DATE(YEAR($F$35),MONTH($F$35)+2,1)</f>
        <v>46082</v>
      </c>
      <c r="F72" s="37" t="n">
        <f aca="false">DATE(YEAR($F$35),MONTH($F$35)+3,1)</f>
        <v>46113</v>
      </c>
      <c r="G72" s="37" t="n">
        <f aca="false">DATE(YEAR($F$35),MONTH($F$35)+4,1)</f>
        <v>46143</v>
      </c>
      <c r="H72" s="37" t="n">
        <f aca="false">DATE(YEAR($F$35),MONTH($F$35)+5,1)</f>
        <v>46174</v>
      </c>
      <c r="I72" s="37" t="n">
        <f aca="false">DATE(YEAR($F$35),MONTH($F$35)+6,1)</f>
        <v>46204</v>
      </c>
      <c r="J72" s="37" t="n">
        <f aca="false">DATE(YEAR($F$35),MONTH($F$35)+7,1)</f>
        <v>46235</v>
      </c>
      <c r="K72" s="37" t="n">
        <f aca="false">DATE(YEAR($F$35),MONTH($F$35)+8,1)</f>
        <v>46266</v>
      </c>
      <c r="L72" s="37" t="n">
        <f aca="false">DATE(YEAR($F$35),MONTH($F$35)+9,1)</f>
        <v>46296</v>
      </c>
      <c r="M72" s="37" t="n">
        <f aca="false">DATE(YEAR($F$35),MONTH($F$35)+10,1)</f>
        <v>46327</v>
      </c>
      <c r="N72" s="37" t="n">
        <f aca="false">DATE(YEAR($F$35),MONTH($F$35)+11,1)</f>
        <v>46357</v>
      </c>
      <c r="O72" s="7" t="s">
        <v>335</v>
      </c>
    </row>
    <row r="73" customFormat="false" ht="15" hidden="false" customHeight="false" outlineLevel="0" collapsed="false">
      <c r="A73" s="8" t="s">
        <v>336</v>
      </c>
      <c r="C73" s="33" t="n">
        <v>0.94</v>
      </c>
      <c r="D73" s="33" t="n">
        <v>0.96</v>
      </c>
      <c r="E73" s="33" t="n">
        <v>1.02</v>
      </c>
      <c r="F73" s="33" t="n">
        <v>0.99</v>
      </c>
      <c r="G73" s="33" t="n">
        <v>1</v>
      </c>
      <c r="H73" s="33" t="n">
        <v>1.03</v>
      </c>
      <c r="I73" s="33" t="n">
        <v>1.02</v>
      </c>
      <c r="J73" s="33" t="n">
        <v>1.03</v>
      </c>
      <c r="K73" s="33" t="n">
        <v>1.05</v>
      </c>
      <c r="L73" s="33" t="n">
        <v>1.02</v>
      </c>
      <c r="M73" s="33" t="n">
        <v>0.98</v>
      </c>
      <c r="N73" s="33" t="n">
        <v>0.96</v>
      </c>
      <c r="O73" s="38" t="n">
        <f aca="false">SUM(C73:N73)</f>
        <v>12</v>
      </c>
      <c r="P73" s="8" t="s">
        <v>155</v>
      </c>
      <c r="Q73" s="8" t="s">
        <v>337</v>
      </c>
    </row>
    <row r="75" customFormat="false" ht="15" hidden="false" customHeight="false" outlineLevel="0" collapsed="false">
      <c r="A75" s="16" t="s">
        <v>338</v>
      </c>
      <c r="B75" s="17"/>
      <c r="C75" s="17"/>
      <c r="D75" s="17"/>
      <c r="E75" s="17"/>
      <c r="F75" s="17"/>
      <c r="G75" s="17"/>
      <c r="H75" s="17"/>
      <c r="I75" s="17"/>
      <c r="J75" s="17"/>
      <c r="K75" s="17"/>
      <c r="L75" s="17"/>
      <c r="M75" s="17"/>
      <c r="N75" s="17"/>
      <c r="O75" s="17"/>
      <c r="P75" s="17"/>
      <c r="Q75" s="17"/>
    </row>
    <row r="76" customFormat="false" ht="15" hidden="false" customHeight="false" outlineLevel="0" collapsed="false">
      <c r="A76" s="8" t="s">
        <v>339</v>
      </c>
      <c r="F76" s="39" t="n">
        <f aca="false">Ops_Model!$O$98</f>
        <v>1145.51173441897</v>
      </c>
      <c r="P76" s="8" t="s">
        <v>247</v>
      </c>
    </row>
    <row r="77" customFormat="false" ht="15" hidden="false" customHeight="false" outlineLevel="0" collapsed="false">
      <c r="A77" s="8" t="s">
        <v>340</v>
      </c>
      <c r="F77" s="25" t="n">
        <f aca="false">Ops_Model!$O$98/$F$32-1</f>
        <v>0.145511734418967</v>
      </c>
      <c r="P77" s="8" t="s">
        <v>247</v>
      </c>
    </row>
    <row r="78" customFormat="false" ht="15" hidden="false" customHeight="false" outlineLevel="0" collapsed="false">
      <c r="A78" s="8" t="s">
        <v>312</v>
      </c>
      <c r="F78" s="39" t="n">
        <f aca="false">Ops_Model!$O$105</f>
        <v>669.164024994516</v>
      </c>
      <c r="P78" s="8" t="s">
        <v>247</v>
      </c>
    </row>
    <row r="79" customFormat="false" ht="15" hidden="false" customHeight="false" outlineLevel="0" collapsed="false">
      <c r="A79" s="8" t="s">
        <v>314</v>
      </c>
      <c r="F79" s="25" t="n">
        <f aca="false">Ops_Model!$O$106</f>
        <v>0.584161650106477</v>
      </c>
      <c r="P79" s="8" t="s">
        <v>247</v>
      </c>
    </row>
    <row r="80" customFormat="false" ht="15" hidden="false" customHeight="false" outlineLevel="0" collapsed="false">
      <c r="A80" s="8" t="s">
        <v>341</v>
      </c>
      <c r="F80" s="39" t="n">
        <f aca="false">Ops_Model!$O$108</f>
        <v>0</v>
      </c>
      <c r="P80" s="8" t="s">
        <v>247</v>
      </c>
    </row>
    <row r="82" customFormat="false" ht="15" hidden="false" customHeight="false" outlineLevel="0" collapsed="false">
      <c r="A82" s="16" t="s">
        <v>342</v>
      </c>
      <c r="B82" s="17"/>
      <c r="C82" s="17"/>
      <c r="D82" s="17"/>
      <c r="E82" s="17"/>
      <c r="F82" s="17"/>
      <c r="G82" s="17"/>
      <c r="H82" s="17"/>
      <c r="I82" s="17"/>
      <c r="J82" s="17"/>
      <c r="K82" s="17"/>
      <c r="L82" s="17"/>
      <c r="M82" s="17"/>
      <c r="N82" s="17"/>
      <c r="O82" s="17"/>
      <c r="P82" s="17"/>
      <c r="Q82" s="17"/>
    </row>
    <row r="83" customFormat="false" ht="15" hidden="false" customHeight="false" outlineLevel="0" collapsed="false">
      <c r="A83" s="8" t="s">
        <v>343</v>
      </c>
      <c r="B83" s="8" t="s">
        <v>344</v>
      </c>
      <c r="F83" s="40" t="n">
        <v>40</v>
      </c>
      <c r="P83" s="8" t="s">
        <v>107</v>
      </c>
      <c r="Q83" s="8" t="s">
        <v>345</v>
      </c>
    </row>
    <row r="84" customFormat="false" ht="15" hidden="false" customHeight="false" outlineLevel="0" collapsed="false">
      <c r="A84" s="8" t="s">
        <v>346</v>
      </c>
      <c r="B84" s="8" t="s">
        <v>344</v>
      </c>
      <c r="F84" s="40" t="n">
        <v>36</v>
      </c>
      <c r="P84" s="8" t="s">
        <v>107</v>
      </c>
      <c r="Q84" s="8" t="s">
        <v>347</v>
      </c>
    </row>
    <row r="85" customFormat="false" ht="15" hidden="false" customHeight="false" outlineLevel="0" collapsed="false">
      <c r="A85" s="8" t="s">
        <v>348</v>
      </c>
      <c r="B85" s="8" t="s">
        <v>226</v>
      </c>
      <c r="F85" s="23" t="n">
        <v>0.35</v>
      </c>
      <c r="P85" s="8" t="s">
        <v>155</v>
      </c>
      <c r="Q85" s="8" t="s">
        <v>349</v>
      </c>
    </row>
    <row r="86" customFormat="false" ht="15" hidden="false" customHeight="false" outlineLevel="0" collapsed="false">
      <c r="A86" s="8" t="s">
        <v>350</v>
      </c>
      <c r="B86" s="8" t="s">
        <v>296</v>
      </c>
      <c r="F86" s="40" t="n">
        <v>60</v>
      </c>
      <c r="P86" s="8" t="s">
        <v>107</v>
      </c>
      <c r="Q86" s="8" t="s">
        <v>351</v>
      </c>
    </row>
    <row r="87" customFormat="false" ht="15" hidden="false" customHeight="false" outlineLevel="0" collapsed="false">
      <c r="A87" s="8" t="s">
        <v>352</v>
      </c>
      <c r="F87" s="41" t="n">
        <f aca="false">Hist_Analysis!$G$42</f>
        <v>40.5211514534555</v>
      </c>
      <c r="P87" s="8" t="s">
        <v>247</v>
      </c>
      <c r="Q87" s="8" t="s">
        <v>248</v>
      </c>
    </row>
    <row r="88" customFormat="false" ht="15" hidden="false" customHeight="false" outlineLevel="0" collapsed="false">
      <c r="A88" s="8" t="s">
        <v>353</v>
      </c>
      <c r="F88" s="25" t="n">
        <f aca="false">Hist_Data!$G$30/Hist_Data!$G$7</f>
        <v>0.108471892319873</v>
      </c>
      <c r="P88" s="8" t="s">
        <v>247</v>
      </c>
      <c r="Q88" s="8" t="s">
        <v>248</v>
      </c>
    </row>
    <row r="89" customFormat="false" ht="15" hidden="false" customHeight="false" outlineLevel="0" collapsed="false">
      <c r="A89" s="5" t="s">
        <v>354</v>
      </c>
    </row>
    <row r="90" customFormat="false" ht="15" hidden="false" customHeight="false" outlineLevel="0" collapsed="false">
      <c r="A90" s="8" t="s">
        <v>355</v>
      </c>
      <c r="B90" s="8" t="s">
        <v>259</v>
      </c>
      <c r="F90" s="30" t="n">
        <f aca="false">$F$32*$F$83/365</f>
        <v>109.58904109589</v>
      </c>
      <c r="P90" s="8" t="s">
        <v>247</v>
      </c>
      <c r="Q90" s="8" t="s">
        <v>356</v>
      </c>
    </row>
    <row r="91" customFormat="false" ht="15" hidden="false" customHeight="false" outlineLevel="0" collapsed="false">
      <c r="A91" s="8" t="s">
        <v>357</v>
      </c>
      <c r="B91" s="8" t="s">
        <v>259</v>
      </c>
      <c r="F91" s="30" t="n">
        <f aca="false">$F$69</f>
        <v>35.6584681831541</v>
      </c>
      <c r="P91" s="8" t="s">
        <v>247</v>
      </c>
      <c r="Q91" s="8" t="s">
        <v>358</v>
      </c>
    </row>
    <row r="92" customFormat="false" ht="15" hidden="false" customHeight="false" outlineLevel="0" collapsed="false">
      <c r="A92" s="8" t="s">
        <v>359</v>
      </c>
      <c r="B92" s="8" t="s">
        <v>259</v>
      </c>
      <c r="F92" s="30" t="n">
        <f aca="false">$F$55*$F$84/365</f>
        <v>25.0423513838975</v>
      </c>
      <c r="P92" s="8" t="s">
        <v>247</v>
      </c>
      <c r="Q92" s="8" t="s">
        <v>360</v>
      </c>
    </row>
    <row r="93" customFormat="false" ht="15" hidden="false" customHeight="false" outlineLevel="0" collapsed="false">
      <c r="A93" s="7" t="s">
        <v>361</v>
      </c>
      <c r="B93" s="8" t="s">
        <v>259</v>
      </c>
      <c r="F93" s="42" t="n">
        <f aca="false">F90+F91-F92</f>
        <v>120.205157895147</v>
      </c>
      <c r="P93" s="8" t="s">
        <v>247</v>
      </c>
      <c r="Q93" s="8" t="s">
        <v>362</v>
      </c>
    </row>
    <row r="95" customFormat="false" ht="15" hidden="false" customHeight="false" outlineLevel="0" collapsed="false">
      <c r="A95" s="16" t="s">
        <v>363</v>
      </c>
      <c r="B95" s="17"/>
      <c r="C95" s="17"/>
      <c r="D95" s="17"/>
      <c r="E95" s="17"/>
      <c r="F95" s="17"/>
      <c r="G95" s="17"/>
      <c r="H95" s="17"/>
      <c r="I95" s="17"/>
      <c r="J95" s="17"/>
      <c r="K95" s="17"/>
      <c r="L95" s="17"/>
      <c r="M95" s="17"/>
      <c r="N95" s="17"/>
      <c r="O95" s="17"/>
      <c r="P95" s="17"/>
      <c r="Q95" s="17"/>
    </row>
    <row r="96" customFormat="false" ht="15" hidden="false" customHeight="false" outlineLevel="0" collapsed="false">
      <c r="A96" s="8" t="s">
        <v>364</v>
      </c>
      <c r="F96" s="39" t="n">
        <f aca="false">PnL!$O$17</f>
        <v>434.944787154569</v>
      </c>
      <c r="P96" s="8" t="s">
        <v>247</v>
      </c>
    </row>
    <row r="97" customFormat="false" ht="15" hidden="false" customHeight="false" outlineLevel="0" collapsed="false">
      <c r="A97" s="8" t="s">
        <v>365</v>
      </c>
      <c r="F97" s="25" t="n">
        <f aca="false">PnL!$O$18</f>
        <v>0.379694746099816</v>
      </c>
      <c r="P97" s="8" t="s">
        <v>247</v>
      </c>
    </row>
    <row r="98" customFormat="false" ht="15" hidden="false" customHeight="false" outlineLevel="0" collapsed="false">
      <c r="A98" s="8" t="s">
        <v>366</v>
      </c>
      <c r="F98" s="39" t="n">
        <f aca="false">PnL!$O$21</f>
        <v>378.401964824475</v>
      </c>
      <c r="P98" s="8" t="s">
        <v>247</v>
      </c>
    </row>
    <row r="99" customFormat="false" ht="15" hidden="false" customHeight="false" outlineLevel="0" collapsed="false">
      <c r="A99" s="8" t="s">
        <v>367</v>
      </c>
      <c r="F99" s="39" t="n">
        <f aca="false">FCF!$O$25</f>
        <v>379.284921858853</v>
      </c>
      <c r="P99" s="8" t="s">
        <v>247</v>
      </c>
    </row>
    <row r="100" customFormat="false" ht="15" hidden="false" customHeight="false" outlineLevel="0" collapsed="false">
      <c r="A100" s="8" t="s">
        <v>368</v>
      </c>
      <c r="F100" s="25" t="n">
        <f aca="false">FCF!$O$26</f>
        <v>0.331105226129557</v>
      </c>
      <c r="P100" s="8" t="s">
        <v>247</v>
      </c>
    </row>
  </sheetData>
  <dataValidations count="1">
    <dataValidation allowBlank="false" error="Choose Downside, Base or Upside" errorStyle="stop" errorTitle="Scenario" operator="between" showDropDown="false" showErrorMessage="true" showInputMessage="false" sqref="C6" type="list">
      <formula1>"Downside,Base,Upside"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4472C4"/>
    <pageSetUpPr fitToPage="true"/>
  </sheetPr>
  <dimension ref="A1:K7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5" topLeftCell="C6" activePane="bottomRight" state="frozen"/>
      <selection pane="topLeft" activeCell="A1" activeCellId="0" sqref="A1"/>
      <selection pane="topRight" activeCell="C1" activeCellId="0" sqref="C1"/>
      <selection pane="bottomLeft" activeCell="A6" activeCellId="0" sqref="A6"/>
      <selection pane="bottomRight" activeCell="A1" activeCellId="0" sqref="A1"/>
    </sheetView>
  </sheetViews>
  <sheetFormatPr defaultColWidth="8.54296875" defaultRowHeight="15" customHeight="false" zeroHeight="false" outlineLevelRow="0" outlineLevelCol="0"/>
  <cols>
    <col collapsed="false" customWidth="true" hidden="false" outlineLevel="0" max="1" min="1" style="0" width="52"/>
    <col collapsed="false" customWidth="true" hidden="false" outlineLevel="0" max="2" min="2" style="0" width="9"/>
    <col collapsed="false" customWidth="true" hidden="false" outlineLevel="0" max="7" min="3" style="0" width="11"/>
    <col collapsed="false" customWidth="true" hidden="false" outlineLevel="0" max="8" min="8" style="0" width="20"/>
    <col collapsed="false" customWidth="true" hidden="false" outlineLevel="0" max="9" min="9" style="0" width="58"/>
    <col collapsed="false" customWidth="true" hidden="false" outlineLevel="0" max="10" min="10" style="0" width="60"/>
    <col collapsed="false" customWidth="true" hidden="false" outlineLevel="0" max="11" min="11" style="0" width="30"/>
  </cols>
  <sheetData>
    <row r="1" customFormat="false" ht="19.7" hidden="false" customHeight="false" outlineLevel="0" collapsed="false">
      <c r="A1" s="14" t="s">
        <v>369</v>
      </c>
    </row>
    <row r="2" customFormat="false" ht="15" hidden="false" customHeight="false" outlineLevel="0" collapsed="false">
      <c r="A2" s="4" t="s">
        <v>370</v>
      </c>
    </row>
    <row r="3" customFormat="false" ht="15" hidden="false" customHeight="false" outlineLevel="0" collapsed="false">
      <c r="A3" s="15" t="s">
        <v>371</v>
      </c>
    </row>
    <row r="5" customFormat="false" ht="15" hidden="false" customHeight="false" outlineLevel="0" collapsed="false">
      <c r="A5" s="18" t="s">
        <v>372</v>
      </c>
      <c r="B5" s="19" t="s">
        <v>220</v>
      </c>
      <c r="C5" s="19" t="s">
        <v>373</v>
      </c>
      <c r="D5" s="19" t="s">
        <v>374</v>
      </c>
      <c r="E5" s="19" t="s">
        <v>375</v>
      </c>
      <c r="F5" s="19" t="s">
        <v>376</v>
      </c>
      <c r="G5" s="19" t="s">
        <v>377</v>
      </c>
      <c r="H5" s="19" t="s">
        <v>99</v>
      </c>
      <c r="I5" s="19" t="s">
        <v>378</v>
      </c>
      <c r="J5" s="19" t="s">
        <v>271</v>
      </c>
      <c r="K5" s="19" t="s">
        <v>379</v>
      </c>
    </row>
    <row r="6" customFormat="false" ht="15" hidden="false" customHeight="false" outlineLevel="0" collapsed="false">
      <c r="A6" s="16" t="s">
        <v>380</v>
      </c>
      <c r="B6" s="17"/>
      <c r="C6" s="17"/>
      <c r="D6" s="17"/>
      <c r="E6" s="17"/>
      <c r="F6" s="17"/>
      <c r="G6" s="17"/>
      <c r="H6" s="17"/>
      <c r="I6" s="17"/>
      <c r="J6" s="17"/>
      <c r="K6" s="17"/>
    </row>
    <row r="7" customFormat="false" ht="15" hidden="false" customHeight="false" outlineLevel="0" collapsed="false">
      <c r="A7" s="8" t="s">
        <v>22</v>
      </c>
      <c r="B7" s="8" t="s">
        <v>259</v>
      </c>
      <c r="C7" s="27" t="n">
        <v>18344</v>
      </c>
      <c r="D7" s="27" t="n">
        <v>20028</v>
      </c>
      <c r="E7" s="27" t="n">
        <v>17519</v>
      </c>
      <c r="F7" s="27" t="n">
        <v>15641</v>
      </c>
      <c r="G7" s="27" t="n">
        <v>17682</v>
      </c>
      <c r="H7" s="8" t="s">
        <v>381</v>
      </c>
      <c r="I7" s="8" t="s">
        <v>382</v>
      </c>
      <c r="J7" s="8"/>
      <c r="K7" s="43" t="s">
        <v>383</v>
      </c>
    </row>
    <row r="8" customFormat="false" ht="15" hidden="false" customHeight="false" outlineLevel="0" collapsed="false">
      <c r="A8" s="8" t="s">
        <v>384</v>
      </c>
      <c r="B8" s="8" t="s">
        <v>259</v>
      </c>
      <c r="C8" s="27" t="n">
        <v>5968</v>
      </c>
      <c r="D8" s="27" t="n">
        <v>6257</v>
      </c>
      <c r="E8" s="27" t="n">
        <v>6500</v>
      </c>
      <c r="F8" s="27" t="n">
        <v>6547</v>
      </c>
      <c r="G8" s="27" t="n">
        <v>7599</v>
      </c>
      <c r="H8" s="8" t="s">
        <v>381</v>
      </c>
      <c r="I8" s="8" t="s">
        <v>382</v>
      </c>
      <c r="J8" s="8"/>
      <c r="K8" s="43" t="s">
        <v>385</v>
      </c>
    </row>
    <row r="9" customFormat="false" ht="15" hidden="false" customHeight="false" outlineLevel="0" collapsed="false">
      <c r="A9" s="44" t="s">
        <v>312</v>
      </c>
      <c r="B9" s="45" t="s">
        <v>259</v>
      </c>
      <c r="C9" s="46" t="n">
        <v>12376</v>
      </c>
      <c r="D9" s="46" t="n">
        <v>13771</v>
      </c>
      <c r="E9" s="46" t="n">
        <v>11019</v>
      </c>
      <c r="F9" s="46" t="n">
        <v>9094</v>
      </c>
      <c r="G9" s="46" t="n">
        <v>10083</v>
      </c>
      <c r="H9" s="8" t="s">
        <v>381</v>
      </c>
      <c r="I9" s="8" t="s">
        <v>382</v>
      </c>
      <c r="J9" s="8"/>
      <c r="K9" s="43" t="s">
        <v>386</v>
      </c>
    </row>
    <row r="10" customFormat="false" ht="15" hidden="false" customHeight="false" outlineLevel="0" collapsed="false">
      <c r="A10" s="8" t="s">
        <v>387</v>
      </c>
      <c r="B10" s="8" t="s">
        <v>259</v>
      </c>
      <c r="C10" s="27" t="n">
        <v>1554</v>
      </c>
      <c r="D10" s="27" t="n">
        <v>1670</v>
      </c>
      <c r="E10" s="27" t="n">
        <v>1863</v>
      </c>
      <c r="F10" s="27" t="n">
        <v>1959</v>
      </c>
      <c r="G10" s="27" t="n">
        <v>2083</v>
      </c>
      <c r="H10" s="8" t="s">
        <v>381</v>
      </c>
      <c r="I10" s="8" t="s">
        <v>382</v>
      </c>
      <c r="J10" s="8"/>
      <c r="K10" s="43" t="s">
        <v>388</v>
      </c>
    </row>
    <row r="11" customFormat="false" ht="15" hidden="false" customHeight="false" outlineLevel="0" collapsed="false">
      <c r="A11" s="8" t="s">
        <v>389</v>
      </c>
      <c r="B11" s="8" t="s">
        <v>259</v>
      </c>
      <c r="C11" s="27" t="n">
        <v>1666</v>
      </c>
      <c r="D11" s="27" t="n">
        <v>1704</v>
      </c>
      <c r="E11" s="27" t="n">
        <v>1825</v>
      </c>
      <c r="F11" s="27" t="n">
        <v>1794</v>
      </c>
      <c r="G11" s="27" t="n">
        <v>1860</v>
      </c>
      <c r="H11" s="8" t="s">
        <v>381</v>
      </c>
      <c r="I11" s="8" t="s">
        <v>382</v>
      </c>
      <c r="J11" s="8"/>
      <c r="K11" s="43" t="s">
        <v>390</v>
      </c>
    </row>
    <row r="12" customFormat="false" ht="15" hidden="false" customHeight="false" outlineLevel="0" collapsed="false">
      <c r="A12" s="8" t="s">
        <v>391</v>
      </c>
      <c r="B12" s="8" t="s">
        <v>259</v>
      </c>
      <c r="C12" s="27" t="n">
        <v>54</v>
      </c>
      <c r="D12" s="27" t="n">
        <v>257</v>
      </c>
      <c r="E12" s="27" t="n">
        <v>0</v>
      </c>
      <c r="F12" s="27" t="n">
        <v>-124</v>
      </c>
      <c r="G12" s="27" t="n">
        <v>117</v>
      </c>
      <c r="H12" s="8" t="s">
        <v>381</v>
      </c>
      <c r="I12" s="8" t="s">
        <v>382</v>
      </c>
      <c r="J12" s="8"/>
      <c r="K12" s="43" t="s">
        <v>392</v>
      </c>
    </row>
    <row r="13" customFormat="false" ht="15" hidden="false" customHeight="false" outlineLevel="0" collapsed="false">
      <c r="A13" s="8" t="s">
        <v>393</v>
      </c>
      <c r="B13" s="8" t="s">
        <v>259</v>
      </c>
      <c r="C13" s="27" t="n">
        <v>142</v>
      </c>
      <c r="D13" s="27" t="n">
        <v>0</v>
      </c>
      <c r="E13" s="47"/>
      <c r="F13" s="47"/>
      <c r="G13" s="47"/>
      <c r="H13" s="8" t="s">
        <v>381</v>
      </c>
      <c r="I13" s="8" t="s">
        <v>394</v>
      </c>
      <c r="J13" s="8" t="s">
        <v>395</v>
      </c>
      <c r="K13" s="43" t="s">
        <v>396</v>
      </c>
    </row>
    <row r="14" customFormat="false" ht="15" hidden="false" customHeight="false" outlineLevel="0" collapsed="false">
      <c r="A14" s="44" t="s">
        <v>364</v>
      </c>
      <c r="B14" s="45" t="s">
        <v>259</v>
      </c>
      <c r="C14" s="46" t="n">
        <v>8960</v>
      </c>
      <c r="D14" s="46" t="n">
        <v>10140</v>
      </c>
      <c r="E14" s="46" t="n">
        <v>7331</v>
      </c>
      <c r="F14" s="46" t="n">
        <v>5465</v>
      </c>
      <c r="G14" s="46" t="n">
        <v>6023</v>
      </c>
      <c r="H14" s="8" t="s">
        <v>381</v>
      </c>
      <c r="I14" s="8" t="s">
        <v>382</v>
      </c>
      <c r="J14" s="8"/>
      <c r="K14" s="43" t="s">
        <v>397</v>
      </c>
    </row>
    <row r="15" customFormat="false" ht="15" hidden="false" customHeight="false" outlineLevel="0" collapsed="false">
      <c r="A15" s="8" t="s">
        <v>398</v>
      </c>
      <c r="B15" s="8" t="s">
        <v>259</v>
      </c>
      <c r="C15" s="27" t="n">
        <v>143</v>
      </c>
      <c r="D15" s="27" t="n">
        <v>106</v>
      </c>
      <c r="E15" s="27" t="n">
        <v>440</v>
      </c>
      <c r="F15" s="27" t="n">
        <v>496</v>
      </c>
      <c r="G15" s="27" t="n">
        <v>230</v>
      </c>
      <c r="H15" s="8" t="s">
        <v>381</v>
      </c>
      <c r="I15" s="8" t="s">
        <v>382</v>
      </c>
      <c r="J15" s="8"/>
      <c r="K15" s="43" t="s">
        <v>399</v>
      </c>
    </row>
    <row r="16" customFormat="false" ht="15" hidden="false" customHeight="false" outlineLevel="0" collapsed="false">
      <c r="A16" s="8" t="s">
        <v>400</v>
      </c>
      <c r="B16" s="8" t="s">
        <v>259</v>
      </c>
      <c r="C16" s="27" t="n">
        <v>-184</v>
      </c>
      <c r="D16" s="27" t="n">
        <v>-214</v>
      </c>
      <c r="E16" s="27" t="n">
        <v>-353</v>
      </c>
      <c r="F16" s="27" t="n">
        <v>-508</v>
      </c>
      <c r="G16" s="27" t="n">
        <v>-543</v>
      </c>
      <c r="H16" s="8" t="s">
        <v>381</v>
      </c>
      <c r="I16" s="8" t="s">
        <v>382</v>
      </c>
      <c r="J16" s="8" t="s">
        <v>401</v>
      </c>
      <c r="K16" s="43" t="s">
        <v>402</v>
      </c>
    </row>
    <row r="17" customFormat="false" ht="15" hidden="false" customHeight="false" outlineLevel="0" collapsed="false">
      <c r="A17" s="8" t="s">
        <v>403</v>
      </c>
      <c r="B17" s="8" t="s">
        <v>259</v>
      </c>
      <c r="C17" s="27" t="n">
        <v>8919</v>
      </c>
      <c r="D17" s="27" t="n">
        <v>10032</v>
      </c>
      <c r="E17" s="27" t="n">
        <v>7418</v>
      </c>
      <c r="F17" s="27" t="n">
        <v>5453</v>
      </c>
      <c r="G17" s="27" t="n">
        <v>5710</v>
      </c>
      <c r="H17" s="8" t="s">
        <v>381</v>
      </c>
      <c r="I17" s="8" t="s">
        <v>382</v>
      </c>
      <c r="J17" s="8"/>
      <c r="K17" s="43" t="s">
        <v>404</v>
      </c>
    </row>
    <row r="18" customFormat="false" ht="15" hidden="false" customHeight="false" outlineLevel="0" collapsed="false">
      <c r="A18" s="8" t="s">
        <v>405</v>
      </c>
      <c r="B18" s="8" t="s">
        <v>259</v>
      </c>
      <c r="C18" s="27" t="n">
        <v>1150</v>
      </c>
      <c r="D18" s="27" t="n">
        <v>1283</v>
      </c>
      <c r="E18" s="27" t="n">
        <v>908</v>
      </c>
      <c r="F18" s="27" t="n">
        <v>654</v>
      </c>
      <c r="G18" s="27" t="n">
        <v>709</v>
      </c>
      <c r="H18" s="8" t="s">
        <v>381</v>
      </c>
      <c r="I18" s="8" t="s">
        <v>382</v>
      </c>
      <c r="J18" s="8"/>
      <c r="K18" s="43" t="s">
        <v>406</v>
      </c>
    </row>
    <row r="19" customFormat="false" ht="15" hidden="false" customHeight="false" outlineLevel="0" collapsed="false">
      <c r="A19" s="44" t="s">
        <v>366</v>
      </c>
      <c r="B19" s="45" t="s">
        <v>259</v>
      </c>
      <c r="C19" s="46" t="n">
        <v>7769</v>
      </c>
      <c r="D19" s="46" t="n">
        <v>8749</v>
      </c>
      <c r="E19" s="46" t="n">
        <v>6510</v>
      </c>
      <c r="F19" s="46" t="n">
        <v>4799</v>
      </c>
      <c r="G19" s="46" t="n">
        <v>5001</v>
      </c>
      <c r="H19" s="8" t="s">
        <v>381</v>
      </c>
      <c r="I19" s="8" t="s">
        <v>382</v>
      </c>
      <c r="J19" s="8"/>
      <c r="K19" s="43" t="s">
        <v>407</v>
      </c>
    </row>
    <row r="20" customFormat="false" ht="15" hidden="false" customHeight="false" outlineLevel="0" collapsed="false">
      <c r="A20" s="16" t="s">
        <v>408</v>
      </c>
      <c r="B20" s="17"/>
      <c r="C20" s="17"/>
      <c r="D20" s="17"/>
      <c r="E20" s="17"/>
      <c r="F20" s="17"/>
      <c r="G20" s="17"/>
      <c r="H20" s="17"/>
      <c r="I20" s="17"/>
      <c r="J20" s="17"/>
      <c r="K20" s="17"/>
    </row>
    <row r="21" customFormat="false" ht="15" hidden="false" customHeight="false" outlineLevel="0" collapsed="false">
      <c r="A21" s="8" t="s">
        <v>409</v>
      </c>
      <c r="B21" s="8" t="s">
        <v>259</v>
      </c>
      <c r="C21" s="27" t="n">
        <v>14050</v>
      </c>
      <c r="D21" s="27" t="n">
        <v>15359</v>
      </c>
      <c r="E21" s="27" t="n">
        <v>13040</v>
      </c>
      <c r="F21" s="27" t="n">
        <v>12161</v>
      </c>
      <c r="G21" s="27" t="n">
        <v>14006</v>
      </c>
      <c r="H21" s="8" t="s">
        <v>381</v>
      </c>
      <c r="I21" s="8" t="s">
        <v>410</v>
      </c>
      <c r="J21" s="8" t="s">
        <v>411</v>
      </c>
      <c r="K21" s="43" t="s">
        <v>412</v>
      </c>
    </row>
    <row r="22" customFormat="false" ht="15" hidden="false" customHeight="false" outlineLevel="0" collapsed="false">
      <c r="A22" s="8" t="s">
        <v>413</v>
      </c>
      <c r="B22" s="8" t="s">
        <v>259</v>
      </c>
      <c r="C22" s="27" t="n">
        <v>3049</v>
      </c>
      <c r="D22" s="27" t="n">
        <v>3261</v>
      </c>
      <c r="E22" s="27" t="n">
        <v>3368</v>
      </c>
      <c r="F22" s="27" t="n">
        <v>2533</v>
      </c>
      <c r="G22" s="27" t="n">
        <v>2697</v>
      </c>
      <c r="H22" s="8" t="s">
        <v>381</v>
      </c>
      <c r="I22" s="8" t="s">
        <v>410</v>
      </c>
      <c r="J22" s="8"/>
      <c r="K22" s="43" t="s">
        <v>414</v>
      </c>
    </row>
    <row r="23" customFormat="false" ht="15" hidden="false" customHeight="false" outlineLevel="0" collapsed="false">
      <c r="A23" s="8" t="s">
        <v>415</v>
      </c>
      <c r="B23" s="8" t="s">
        <v>259</v>
      </c>
      <c r="C23" s="27" t="n">
        <v>1245</v>
      </c>
      <c r="D23" s="27" t="n">
        <v>1408</v>
      </c>
      <c r="E23" s="27" t="n">
        <v>1111</v>
      </c>
      <c r="F23" s="27" t="n">
        <v>947</v>
      </c>
      <c r="G23" s="27" t="n">
        <v>979</v>
      </c>
      <c r="H23" s="8" t="s">
        <v>381</v>
      </c>
      <c r="I23" s="8" t="s">
        <v>410</v>
      </c>
      <c r="J23" s="8" t="s">
        <v>416</v>
      </c>
      <c r="K23" s="43" t="s">
        <v>417</v>
      </c>
    </row>
    <row r="24" customFormat="false" ht="15" hidden="false" customHeight="false" outlineLevel="0" collapsed="false">
      <c r="A24" s="16" t="s">
        <v>418</v>
      </c>
      <c r="B24" s="17"/>
      <c r="C24" s="17"/>
      <c r="D24" s="17"/>
      <c r="E24" s="17"/>
      <c r="F24" s="17"/>
      <c r="G24" s="17"/>
      <c r="H24" s="17"/>
      <c r="I24" s="17"/>
      <c r="J24" s="17"/>
      <c r="K24" s="17"/>
    </row>
    <row r="25" customFormat="false" ht="15" hidden="false" customHeight="false" outlineLevel="0" collapsed="false">
      <c r="A25" s="8" t="s">
        <v>419</v>
      </c>
      <c r="B25" s="8" t="s">
        <v>259</v>
      </c>
      <c r="C25" s="47"/>
      <c r="D25" s="47"/>
      <c r="E25" s="27" t="n">
        <v>8425</v>
      </c>
      <c r="F25" s="27" t="n">
        <v>7292</v>
      </c>
      <c r="G25" s="27" t="n">
        <v>8242</v>
      </c>
      <c r="H25" s="8" t="s">
        <v>381</v>
      </c>
      <c r="I25" s="8" t="s">
        <v>420</v>
      </c>
      <c r="J25" s="8"/>
      <c r="K25" s="43" t="s">
        <v>421</v>
      </c>
    </row>
    <row r="26" customFormat="false" ht="15" hidden="false" customHeight="false" outlineLevel="0" collapsed="false">
      <c r="A26" s="8" t="s">
        <v>422</v>
      </c>
      <c r="B26" s="8" t="s">
        <v>259</v>
      </c>
      <c r="C26" s="47"/>
      <c r="D26" s="47"/>
      <c r="E26" s="27" t="n">
        <v>1875</v>
      </c>
      <c r="F26" s="27" t="n">
        <v>1218</v>
      </c>
      <c r="G26" s="27" t="n">
        <v>1226</v>
      </c>
      <c r="H26" s="8" t="s">
        <v>381</v>
      </c>
      <c r="I26" s="8" t="s">
        <v>420</v>
      </c>
      <c r="J26" s="8"/>
      <c r="K26" s="43" t="s">
        <v>423</v>
      </c>
    </row>
    <row r="27" customFormat="false" ht="15" hidden="false" customHeight="false" outlineLevel="0" collapsed="false">
      <c r="A27" s="8" t="s">
        <v>424</v>
      </c>
      <c r="B27" s="8" t="s">
        <v>259</v>
      </c>
      <c r="C27" s="47"/>
      <c r="D27" s="47"/>
      <c r="E27" s="27" t="n">
        <v>719</v>
      </c>
      <c r="F27" s="27" t="n">
        <v>584</v>
      </c>
      <c r="G27" s="27" t="n">
        <v>615</v>
      </c>
      <c r="H27" s="8" t="s">
        <v>381</v>
      </c>
      <c r="I27" s="8" t="s">
        <v>420</v>
      </c>
      <c r="J27" s="8"/>
      <c r="K27" s="43" t="s">
        <v>425</v>
      </c>
    </row>
    <row r="28" customFormat="false" ht="15" hidden="false" customHeight="false" outlineLevel="0" collapsed="false">
      <c r="A28" s="16" t="s">
        <v>426</v>
      </c>
      <c r="B28" s="17"/>
      <c r="C28" s="17"/>
      <c r="D28" s="17"/>
      <c r="E28" s="17"/>
      <c r="F28" s="17"/>
      <c r="G28" s="17"/>
      <c r="H28" s="17"/>
      <c r="I28" s="17"/>
      <c r="J28" s="17"/>
      <c r="K28" s="17"/>
    </row>
    <row r="29" customFormat="false" ht="15" hidden="false" customHeight="false" outlineLevel="0" collapsed="false">
      <c r="A29" s="8" t="s">
        <v>366</v>
      </c>
      <c r="B29" s="8" t="s">
        <v>259</v>
      </c>
      <c r="C29" s="27" t="n">
        <v>7769</v>
      </c>
      <c r="D29" s="27" t="n">
        <v>8749</v>
      </c>
      <c r="E29" s="27" t="n">
        <v>6510</v>
      </c>
      <c r="F29" s="27" t="n">
        <v>4799</v>
      </c>
      <c r="G29" s="27" t="n">
        <v>5001</v>
      </c>
      <c r="H29" s="8" t="s">
        <v>381</v>
      </c>
      <c r="I29" s="8" t="s">
        <v>427</v>
      </c>
      <c r="J29" s="8"/>
      <c r="K29" s="43" t="s">
        <v>428</v>
      </c>
    </row>
    <row r="30" customFormat="false" ht="15" hidden="false" customHeight="false" outlineLevel="0" collapsed="false">
      <c r="A30" s="8" t="s">
        <v>184</v>
      </c>
      <c r="B30" s="8" t="s">
        <v>259</v>
      </c>
      <c r="C30" s="27" t="n">
        <v>755</v>
      </c>
      <c r="D30" s="27" t="n">
        <v>925</v>
      </c>
      <c r="E30" s="27" t="n">
        <v>1175</v>
      </c>
      <c r="F30" s="27" t="n">
        <v>1508</v>
      </c>
      <c r="G30" s="27" t="n">
        <v>1918</v>
      </c>
      <c r="H30" s="8" t="s">
        <v>381</v>
      </c>
      <c r="I30" s="8" t="s">
        <v>427</v>
      </c>
      <c r="J30" s="8" t="s">
        <v>429</v>
      </c>
      <c r="K30" s="43" t="s">
        <v>430</v>
      </c>
    </row>
    <row r="31" customFormat="false" ht="15" hidden="false" customHeight="false" outlineLevel="0" collapsed="false">
      <c r="A31" s="8" t="s">
        <v>431</v>
      </c>
      <c r="B31" s="8" t="s">
        <v>259</v>
      </c>
      <c r="C31" s="27" t="n">
        <v>230</v>
      </c>
      <c r="D31" s="27" t="n">
        <v>289</v>
      </c>
      <c r="E31" s="27" t="n">
        <v>362</v>
      </c>
      <c r="F31" s="27" t="n">
        <v>387</v>
      </c>
      <c r="G31" s="27" t="n">
        <v>419</v>
      </c>
      <c r="H31" s="8" t="s">
        <v>381</v>
      </c>
      <c r="I31" s="8" t="s">
        <v>427</v>
      </c>
      <c r="J31" s="8"/>
      <c r="K31" s="43" t="s">
        <v>432</v>
      </c>
    </row>
    <row r="32" customFormat="false" ht="15" hidden="false" customHeight="false" outlineLevel="0" collapsed="false">
      <c r="A32" s="8" t="s">
        <v>433</v>
      </c>
      <c r="B32" s="8" t="s">
        <v>259</v>
      </c>
      <c r="C32" s="27" t="n">
        <v>-287</v>
      </c>
      <c r="D32" s="27" t="n">
        <v>-194</v>
      </c>
      <c r="E32" s="27" t="n">
        <v>108</v>
      </c>
      <c r="F32" s="27" t="n">
        <v>68</v>
      </c>
      <c r="G32" s="27" t="n">
        <v>-244</v>
      </c>
      <c r="H32" s="8" t="s">
        <v>381</v>
      </c>
      <c r="I32" s="8" t="s">
        <v>427</v>
      </c>
      <c r="J32" s="8"/>
      <c r="K32" s="43" t="s">
        <v>434</v>
      </c>
    </row>
    <row r="33" customFormat="false" ht="15" hidden="false" customHeight="false" outlineLevel="0" collapsed="false">
      <c r="A33" s="8" t="s">
        <v>435</v>
      </c>
      <c r="B33" s="8" t="s">
        <v>259</v>
      </c>
      <c r="C33" s="27" t="n">
        <v>45</v>
      </c>
      <c r="D33" s="27" t="n">
        <v>-847</v>
      </c>
      <c r="E33" s="27" t="n">
        <v>-1242</v>
      </c>
      <c r="F33" s="27" t="n">
        <v>-528</v>
      </c>
      <c r="G33" s="27" t="n">
        <v>-277</v>
      </c>
      <c r="H33" s="8" t="s">
        <v>381</v>
      </c>
      <c r="I33" s="8" t="s">
        <v>427</v>
      </c>
      <c r="J33" s="8"/>
      <c r="K33" s="43" t="s">
        <v>436</v>
      </c>
    </row>
    <row r="34" customFormat="false" ht="15" hidden="false" customHeight="false" outlineLevel="0" collapsed="false">
      <c r="A34" s="8" t="s">
        <v>437</v>
      </c>
      <c r="B34" s="8" t="s">
        <v>259</v>
      </c>
      <c r="C34" s="27" t="n">
        <v>57</v>
      </c>
      <c r="D34" s="27" t="n">
        <v>6</v>
      </c>
      <c r="E34" s="27" t="n">
        <v>46</v>
      </c>
      <c r="F34" s="27" t="n">
        <v>7</v>
      </c>
      <c r="G34" s="27" t="n">
        <v>10</v>
      </c>
      <c r="H34" s="8" t="s">
        <v>381</v>
      </c>
      <c r="I34" s="8" t="s">
        <v>427</v>
      </c>
      <c r="J34" s="8"/>
      <c r="K34" s="43" t="s">
        <v>438</v>
      </c>
    </row>
    <row r="35" customFormat="false" ht="15" hidden="false" customHeight="false" outlineLevel="0" collapsed="false">
      <c r="A35" s="8" t="s">
        <v>439</v>
      </c>
      <c r="B35" s="8" t="s">
        <v>259</v>
      </c>
      <c r="C35" s="27" t="n">
        <v>33</v>
      </c>
      <c r="D35" s="27" t="n">
        <v>106</v>
      </c>
      <c r="E35" s="27" t="n">
        <v>-33</v>
      </c>
      <c r="F35" s="27" t="n">
        <v>125</v>
      </c>
      <c r="G35" s="27" t="n">
        <v>77</v>
      </c>
      <c r="H35" s="8" t="s">
        <v>381</v>
      </c>
      <c r="I35" s="8" t="s">
        <v>427</v>
      </c>
      <c r="J35" s="8"/>
      <c r="K35" s="43" t="s">
        <v>440</v>
      </c>
    </row>
    <row r="36" customFormat="false" ht="15" hidden="false" customHeight="false" outlineLevel="0" collapsed="false">
      <c r="A36" s="8" t="s">
        <v>441</v>
      </c>
      <c r="B36" s="8" t="s">
        <v>259</v>
      </c>
      <c r="C36" s="27" t="n">
        <v>7</v>
      </c>
      <c r="D36" s="27" t="n">
        <v>22</v>
      </c>
      <c r="E36" s="27" t="n">
        <v>29</v>
      </c>
      <c r="F36" s="27" t="n">
        <v>-12</v>
      </c>
      <c r="G36" s="27" t="n">
        <v>-28</v>
      </c>
      <c r="H36" s="8" t="s">
        <v>381</v>
      </c>
      <c r="I36" s="8" t="s">
        <v>427</v>
      </c>
      <c r="J36" s="8"/>
      <c r="K36" s="43" t="s">
        <v>442</v>
      </c>
    </row>
    <row r="37" customFormat="false" ht="15" hidden="false" customHeight="false" outlineLevel="0" collapsed="false">
      <c r="A37" s="8" t="s">
        <v>443</v>
      </c>
      <c r="B37" s="8" t="s">
        <v>259</v>
      </c>
      <c r="C37" s="27" t="n">
        <v>-20</v>
      </c>
      <c r="D37" s="27" t="n">
        <v>94</v>
      </c>
      <c r="E37" s="27" t="n">
        <v>-7</v>
      </c>
      <c r="F37" s="27" t="n">
        <v>597</v>
      </c>
      <c r="G37" s="27" t="n">
        <v>191</v>
      </c>
      <c r="H37" s="8" t="s">
        <v>381</v>
      </c>
      <c r="I37" s="8" t="s">
        <v>427</v>
      </c>
      <c r="J37" s="8"/>
      <c r="K37" s="43" t="s">
        <v>444</v>
      </c>
    </row>
    <row r="38" customFormat="false" ht="15" hidden="false" customHeight="false" outlineLevel="0" collapsed="false">
      <c r="A38" s="44" t="s">
        <v>445</v>
      </c>
      <c r="B38" s="45" t="s">
        <v>259</v>
      </c>
      <c r="C38" s="46" t="n">
        <v>8756</v>
      </c>
      <c r="D38" s="46" t="n">
        <v>8720</v>
      </c>
      <c r="E38" s="46" t="n">
        <v>6420</v>
      </c>
      <c r="F38" s="46" t="n">
        <v>6318</v>
      </c>
      <c r="G38" s="46" t="n">
        <v>7153</v>
      </c>
      <c r="H38" s="8" t="s">
        <v>381</v>
      </c>
      <c r="I38" s="8" t="s">
        <v>427</v>
      </c>
      <c r="J38" s="8"/>
      <c r="K38" s="43" t="s">
        <v>446</v>
      </c>
    </row>
    <row r="39" customFormat="false" ht="15" hidden="false" customHeight="false" outlineLevel="0" collapsed="false">
      <c r="A39" s="8" t="s">
        <v>447</v>
      </c>
      <c r="B39" s="8" t="s">
        <v>259</v>
      </c>
      <c r="C39" s="27" t="n">
        <v>-2462</v>
      </c>
      <c r="D39" s="27" t="n">
        <v>-2797</v>
      </c>
      <c r="E39" s="27" t="n">
        <v>-5071</v>
      </c>
      <c r="F39" s="27" t="n">
        <v>-4820</v>
      </c>
      <c r="G39" s="27" t="n">
        <v>-4550</v>
      </c>
      <c r="H39" s="8" t="s">
        <v>381</v>
      </c>
      <c r="I39" s="8" t="s">
        <v>427</v>
      </c>
      <c r="J39" s="8" t="s">
        <v>448</v>
      </c>
      <c r="K39" s="43" t="s">
        <v>449</v>
      </c>
    </row>
    <row r="40" customFormat="false" ht="15" hidden="false" customHeight="false" outlineLevel="0" collapsed="false">
      <c r="A40" s="8" t="s">
        <v>450</v>
      </c>
      <c r="B40" s="8" t="s">
        <v>259</v>
      </c>
      <c r="C40" s="27" t="n">
        <v>-4095</v>
      </c>
      <c r="D40" s="27" t="n">
        <v>-3583</v>
      </c>
      <c r="E40" s="27" t="n">
        <v>-4362</v>
      </c>
      <c r="F40" s="27" t="n">
        <v>-3202</v>
      </c>
      <c r="G40" s="27" t="n">
        <v>-1439</v>
      </c>
      <c r="H40" s="8" t="s">
        <v>381</v>
      </c>
      <c r="I40" s="8" t="s">
        <v>427</v>
      </c>
      <c r="J40" s="8"/>
      <c r="K40" s="43" t="s">
        <v>451</v>
      </c>
    </row>
    <row r="41" customFormat="false" ht="15" hidden="false" customHeight="false" outlineLevel="0" collapsed="false">
      <c r="A41" s="8" t="s">
        <v>452</v>
      </c>
      <c r="B41" s="8" t="s">
        <v>259</v>
      </c>
      <c r="C41" s="27" t="n">
        <v>-3137</v>
      </c>
      <c r="D41" s="27" t="n">
        <v>-6718</v>
      </c>
      <c r="E41" s="27" t="n">
        <v>-2144</v>
      </c>
      <c r="F41" s="27" t="n">
        <v>-2880</v>
      </c>
      <c r="G41" s="27" t="n">
        <v>-5689</v>
      </c>
      <c r="H41" s="8" t="s">
        <v>381</v>
      </c>
      <c r="I41" s="8" t="s">
        <v>427</v>
      </c>
      <c r="J41" s="8"/>
      <c r="K41" s="43" t="s">
        <v>453</v>
      </c>
    </row>
    <row r="42" customFormat="false" ht="15" hidden="false" customHeight="false" outlineLevel="0" collapsed="false">
      <c r="A42" s="8" t="s">
        <v>454</v>
      </c>
      <c r="B42" s="8" t="s">
        <v>259</v>
      </c>
      <c r="C42" s="27" t="n">
        <v>-3886</v>
      </c>
      <c r="D42" s="27" t="n">
        <v>-4297</v>
      </c>
      <c r="E42" s="27" t="n">
        <v>-4557</v>
      </c>
      <c r="F42" s="27" t="n">
        <v>-4795</v>
      </c>
      <c r="G42" s="27" t="n">
        <v>-4999</v>
      </c>
      <c r="H42" s="8" t="s">
        <v>381</v>
      </c>
      <c r="I42" s="8" t="s">
        <v>427</v>
      </c>
      <c r="J42" s="8"/>
      <c r="K42" s="43" t="s">
        <v>455</v>
      </c>
    </row>
    <row r="43" customFormat="false" ht="15" hidden="false" customHeight="false" outlineLevel="0" collapsed="false">
      <c r="A43" s="8" t="s">
        <v>456</v>
      </c>
      <c r="B43" s="8" t="s">
        <v>259</v>
      </c>
      <c r="C43" s="27" t="n">
        <v>4631</v>
      </c>
      <c r="D43" s="27" t="n">
        <v>3050</v>
      </c>
      <c r="E43" s="27" t="n">
        <v>2964</v>
      </c>
      <c r="F43" s="27" t="n">
        <v>3200</v>
      </c>
      <c r="G43" s="27" t="n">
        <v>3225</v>
      </c>
      <c r="H43" s="8" t="s">
        <v>381</v>
      </c>
      <c r="I43" s="8" t="s">
        <v>427</v>
      </c>
      <c r="J43" s="8"/>
      <c r="K43" s="43" t="s">
        <v>457</v>
      </c>
    </row>
    <row r="44" customFormat="false" ht="15" hidden="false" customHeight="false" outlineLevel="0" collapsed="false">
      <c r="A44" s="16" t="s">
        <v>458</v>
      </c>
      <c r="B44" s="17"/>
      <c r="C44" s="17"/>
      <c r="D44" s="17"/>
      <c r="E44" s="17"/>
      <c r="F44" s="17"/>
      <c r="G44" s="17"/>
      <c r="H44" s="17"/>
      <c r="I44" s="17"/>
      <c r="J44" s="17"/>
      <c r="K44" s="17"/>
    </row>
    <row r="45" customFormat="false" ht="15" hidden="false" customHeight="false" outlineLevel="0" collapsed="false">
      <c r="A45" s="8" t="s">
        <v>459</v>
      </c>
      <c r="B45" s="8" t="s">
        <v>259</v>
      </c>
      <c r="C45" s="27" t="n">
        <v>4631</v>
      </c>
      <c r="D45" s="27" t="n">
        <v>3050</v>
      </c>
      <c r="E45" s="27" t="n">
        <v>2964</v>
      </c>
      <c r="F45" s="27" t="n">
        <v>3200</v>
      </c>
      <c r="G45" s="27" t="n">
        <v>3225</v>
      </c>
      <c r="H45" s="8" t="s">
        <v>381</v>
      </c>
      <c r="I45" s="8" t="s">
        <v>460</v>
      </c>
      <c r="J45" s="8"/>
      <c r="K45" s="43" t="s">
        <v>461</v>
      </c>
    </row>
    <row r="46" customFormat="false" ht="15" hidden="false" customHeight="false" outlineLevel="0" collapsed="false">
      <c r="A46" s="8" t="s">
        <v>462</v>
      </c>
      <c r="B46" s="8" t="s">
        <v>259</v>
      </c>
      <c r="C46" s="27" t="n">
        <v>5108</v>
      </c>
      <c r="D46" s="27" t="n">
        <v>6017</v>
      </c>
      <c r="E46" s="27" t="n">
        <v>5611</v>
      </c>
      <c r="F46" s="27" t="n">
        <v>4380</v>
      </c>
      <c r="G46" s="27" t="n">
        <v>1656</v>
      </c>
      <c r="H46" s="8" t="s">
        <v>381</v>
      </c>
      <c r="I46" s="8" t="s">
        <v>460</v>
      </c>
      <c r="J46" s="8"/>
      <c r="K46" s="43" t="s">
        <v>463</v>
      </c>
    </row>
    <row r="47" customFormat="false" ht="15" hidden="false" customHeight="false" outlineLevel="0" collapsed="false">
      <c r="A47" s="8" t="s">
        <v>464</v>
      </c>
      <c r="B47" s="8" t="s">
        <v>259</v>
      </c>
      <c r="C47" s="27" t="n">
        <v>1701</v>
      </c>
      <c r="D47" s="27" t="n">
        <v>1895</v>
      </c>
      <c r="E47" s="27" t="n">
        <v>1787</v>
      </c>
      <c r="F47" s="27" t="n">
        <v>1719</v>
      </c>
      <c r="G47" s="27" t="n">
        <v>1963</v>
      </c>
      <c r="H47" s="8" t="s">
        <v>381</v>
      </c>
      <c r="I47" s="8" t="s">
        <v>460</v>
      </c>
      <c r="J47" s="8"/>
      <c r="K47" s="43" t="s">
        <v>465</v>
      </c>
    </row>
    <row r="48" customFormat="false" ht="15" hidden="false" customHeight="false" outlineLevel="0" collapsed="false">
      <c r="A48" s="8" t="s">
        <v>435</v>
      </c>
      <c r="B48" s="8" t="s">
        <v>259</v>
      </c>
      <c r="C48" s="27" t="n">
        <v>1910</v>
      </c>
      <c r="D48" s="27" t="n">
        <v>2757</v>
      </c>
      <c r="E48" s="27" t="n">
        <v>3999</v>
      </c>
      <c r="F48" s="27" t="n">
        <v>4527</v>
      </c>
      <c r="G48" s="27" t="n">
        <v>4804</v>
      </c>
      <c r="H48" s="8" t="s">
        <v>381</v>
      </c>
      <c r="I48" s="8" t="s">
        <v>460</v>
      </c>
      <c r="J48" s="8"/>
      <c r="K48" s="43" t="s">
        <v>466</v>
      </c>
    </row>
    <row r="49" customFormat="false" ht="15" hidden="false" customHeight="false" outlineLevel="0" collapsed="false">
      <c r="A49" s="8" t="s">
        <v>437</v>
      </c>
      <c r="B49" s="8" t="s">
        <v>259</v>
      </c>
      <c r="C49" s="27" t="n">
        <v>335</v>
      </c>
      <c r="D49" s="27" t="n">
        <v>302</v>
      </c>
      <c r="E49" s="27" t="n">
        <v>761</v>
      </c>
      <c r="F49" s="27" t="n">
        <v>1200</v>
      </c>
      <c r="G49" s="27" t="n">
        <v>2102</v>
      </c>
      <c r="H49" s="8" t="s">
        <v>381</v>
      </c>
      <c r="I49" s="8" t="s">
        <v>460</v>
      </c>
      <c r="J49" s="8"/>
      <c r="K49" s="43" t="s">
        <v>467</v>
      </c>
    </row>
    <row r="50" customFormat="false" ht="15" hidden="false" customHeight="false" outlineLevel="0" collapsed="false">
      <c r="A50" s="44" t="s">
        <v>468</v>
      </c>
      <c r="B50" s="45" t="s">
        <v>259</v>
      </c>
      <c r="C50" s="46" t="n">
        <v>13685</v>
      </c>
      <c r="D50" s="46" t="n">
        <v>14021</v>
      </c>
      <c r="E50" s="46" t="n">
        <v>15122</v>
      </c>
      <c r="F50" s="46" t="n">
        <v>15026</v>
      </c>
      <c r="G50" s="46" t="n">
        <v>13750</v>
      </c>
      <c r="H50" s="8" t="s">
        <v>381</v>
      </c>
      <c r="I50" s="8" t="s">
        <v>460</v>
      </c>
      <c r="J50" s="8"/>
      <c r="K50" s="43" t="s">
        <v>469</v>
      </c>
    </row>
    <row r="51" customFormat="false" ht="15" hidden="false" customHeight="false" outlineLevel="0" collapsed="false">
      <c r="A51" s="8" t="s">
        <v>470</v>
      </c>
      <c r="B51" s="8" t="s">
        <v>259</v>
      </c>
      <c r="C51" s="27" t="n">
        <v>5141</v>
      </c>
      <c r="D51" s="27" t="n">
        <v>6876</v>
      </c>
      <c r="E51" s="27" t="n">
        <v>9999</v>
      </c>
      <c r="F51" s="27" t="n">
        <v>11347</v>
      </c>
      <c r="G51" s="27" t="n">
        <v>12320</v>
      </c>
      <c r="H51" s="8" t="s">
        <v>381</v>
      </c>
      <c r="I51" s="8" t="s">
        <v>460</v>
      </c>
      <c r="J51" s="8"/>
      <c r="K51" s="43" t="s">
        <v>471</v>
      </c>
    </row>
    <row r="52" customFormat="false" ht="15" hidden="false" customHeight="false" outlineLevel="0" collapsed="false">
      <c r="A52" s="44" t="s">
        <v>472</v>
      </c>
      <c r="B52" s="45" t="s">
        <v>259</v>
      </c>
      <c r="C52" s="46" t="n">
        <v>24676</v>
      </c>
      <c r="D52" s="46" t="n">
        <v>27207</v>
      </c>
      <c r="E52" s="46" t="n">
        <v>32348</v>
      </c>
      <c r="F52" s="46" t="n">
        <v>35509</v>
      </c>
      <c r="G52" s="46" t="n">
        <v>34585</v>
      </c>
      <c r="H52" s="8" t="s">
        <v>381</v>
      </c>
      <c r="I52" s="8" t="s">
        <v>460</v>
      </c>
      <c r="J52" s="8"/>
      <c r="K52" s="43" t="s">
        <v>473</v>
      </c>
    </row>
    <row r="53" customFormat="false" ht="15" hidden="false" customHeight="false" outlineLevel="0" collapsed="false">
      <c r="A53" s="8" t="s">
        <v>474</v>
      </c>
      <c r="B53" s="8" t="s">
        <v>259</v>
      </c>
      <c r="C53" s="27" t="n">
        <v>500</v>
      </c>
      <c r="D53" s="27" t="n">
        <v>500</v>
      </c>
      <c r="E53" s="27" t="n">
        <v>599</v>
      </c>
      <c r="F53" s="27" t="n">
        <v>750</v>
      </c>
      <c r="G53" s="27" t="n">
        <v>500</v>
      </c>
      <c r="H53" s="8" t="s">
        <v>381</v>
      </c>
      <c r="I53" s="8" t="s">
        <v>460</v>
      </c>
      <c r="J53" s="8"/>
      <c r="K53" s="43" t="s">
        <v>475</v>
      </c>
    </row>
    <row r="54" customFormat="false" ht="15" hidden="false" customHeight="false" outlineLevel="0" collapsed="false">
      <c r="A54" s="8" t="s">
        <v>476</v>
      </c>
      <c r="B54" s="8" t="s">
        <v>259</v>
      </c>
      <c r="C54" s="27" t="n">
        <v>571</v>
      </c>
      <c r="D54" s="27" t="n">
        <v>851</v>
      </c>
      <c r="E54" s="27" t="n">
        <v>802</v>
      </c>
      <c r="F54" s="27" t="n">
        <v>820</v>
      </c>
      <c r="G54" s="27" t="n">
        <v>756</v>
      </c>
      <c r="H54" s="8" t="s">
        <v>381</v>
      </c>
      <c r="I54" s="8" t="s">
        <v>460</v>
      </c>
      <c r="J54" s="8"/>
      <c r="K54" s="43" t="s">
        <v>477</v>
      </c>
    </row>
    <row r="55" customFormat="false" ht="15" hidden="false" customHeight="false" outlineLevel="0" collapsed="false">
      <c r="A55" s="8" t="s">
        <v>441</v>
      </c>
      <c r="B55" s="8" t="s">
        <v>259</v>
      </c>
      <c r="C55" s="27" t="n">
        <v>775</v>
      </c>
      <c r="D55" s="27" t="n">
        <v>799</v>
      </c>
      <c r="E55" s="27" t="n">
        <v>836</v>
      </c>
      <c r="F55" s="27" t="n">
        <v>839</v>
      </c>
      <c r="G55" s="27" t="n">
        <v>829</v>
      </c>
      <c r="H55" s="8" t="s">
        <v>381</v>
      </c>
      <c r="I55" s="8" t="s">
        <v>460</v>
      </c>
      <c r="J55" s="8"/>
      <c r="K55" s="43" t="s">
        <v>478</v>
      </c>
    </row>
    <row r="56" customFormat="false" ht="15" hidden="false" customHeight="false" outlineLevel="0" collapsed="false">
      <c r="A56" s="8" t="s">
        <v>443</v>
      </c>
      <c r="B56" s="8" t="s">
        <v>259</v>
      </c>
      <c r="C56" s="27" t="n">
        <v>121</v>
      </c>
      <c r="D56" s="27" t="n">
        <v>189</v>
      </c>
      <c r="E56" s="27" t="n">
        <v>172</v>
      </c>
      <c r="F56" s="27" t="n">
        <v>159</v>
      </c>
      <c r="G56" s="27" t="n">
        <v>67</v>
      </c>
      <c r="H56" s="8" t="s">
        <v>381</v>
      </c>
      <c r="I56" s="8" t="s">
        <v>460</v>
      </c>
      <c r="J56" s="8"/>
      <c r="K56" s="43" t="s">
        <v>479</v>
      </c>
    </row>
    <row r="57" customFormat="false" ht="15" hidden="false" customHeight="false" outlineLevel="0" collapsed="false">
      <c r="A57" s="8" t="s">
        <v>480</v>
      </c>
      <c r="B57" s="8" t="s">
        <v>259</v>
      </c>
      <c r="C57" s="27" t="n">
        <v>602</v>
      </c>
      <c r="D57" s="27" t="n">
        <v>646</v>
      </c>
      <c r="E57" s="27" t="n">
        <v>911</v>
      </c>
      <c r="F57" s="27" t="n">
        <v>1075</v>
      </c>
      <c r="G57" s="27" t="n">
        <v>1007</v>
      </c>
      <c r="H57" s="8" t="s">
        <v>381</v>
      </c>
      <c r="I57" s="8" t="s">
        <v>460</v>
      </c>
      <c r="J57" s="8"/>
      <c r="K57" s="43" t="s">
        <v>481</v>
      </c>
    </row>
    <row r="58" customFormat="false" ht="15" hidden="false" customHeight="false" outlineLevel="0" collapsed="false">
      <c r="A58" s="44" t="s">
        <v>482</v>
      </c>
      <c r="B58" s="45" t="s">
        <v>259</v>
      </c>
      <c r="C58" s="46" t="n">
        <v>2569</v>
      </c>
      <c r="D58" s="46" t="n">
        <v>2985</v>
      </c>
      <c r="E58" s="46" t="n">
        <v>3320</v>
      </c>
      <c r="F58" s="46" t="n">
        <v>3643</v>
      </c>
      <c r="G58" s="46" t="n">
        <v>3159</v>
      </c>
      <c r="H58" s="8" t="s">
        <v>381</v>
      </c>
      <c r="I58" s="8" t="s">
        <v>460</v>
      </c>
      <c r="J58" s="8"/>
      <c r="K58" s="43" t="s">
        <v>483</v>
      </c>
    </row>
    <row r="59" customFormat="false" ht="15" hidden="false" customHeight="false" outlineLevel="0" collapsed="false">
      <c r="A59" s="8" t="s">
        <v>484</v>
      </c>
      <c r="B59" s="8" t="s">
        <v>259</v>
      </c>
      <c r="C59" s="27" t="n">
        <v>7241</v>
      </c>
      <c r="D59" s="27" t="n">
        <v>8235</v>
      </c>
      <c r="E59" s="27" t="n">
        <v>10624</v>
      </c>
      <c r="F59" s="27" t="n">
        <v>12846</v>
      </c>
      <c r="G59" s="27" t="n">
        <v>13548</v>
      </c>
      <c r="H59" s="8" t="s">
        <v>381</v>
      </c>
      <c r="I59" s="8" t="s">
        <v>460</v>
      </c>
      <c r="J59" s="8"/>
      <c r="K59" s="43" t="s">
        <v>485</v>
      </c>
    </row>
    <row r="60" customFormat="false" ht="15" hidden="false" customHeight="false" outlineLevel="0" collapsed="false">
      <c r="A60" s="8" t="s">
        <v>486</v>
      </c>
      <c r="B60" s="8" t="s">
        <v>259</v>
      </c>
      <c r="C60" s="27" t="n">
        <v>13333</v>
      </c>
      <c r="D60" s="27" t="n">
        <v>14577</v>
      </c>
      <c r="E60" s="27" t="n">
        <v>16897</v>
      </c>
      <c r="F60" s="27" t="n">
        <v>16903</v>
      </c>
      <c r="G60" s="27" t="n">
        <v>16273</v>
      </c>
      <c r="H60" s="8" t="s">
        <v>381</v>
      </c>
      <c r="I60" s="8" t="s">
        <v>460</v>
      </c>
      <c r="J60" s="8"/>
      <c r="K60" s="43" t="s">
        <v>487</v>
      </c>
    </row>
    <row r="61" customFormat="false" ht="15" hidden="false" customHeight="false" outlineLevel="0" collapsed="false">
      <c r="A61" s="16" t="s">
        <v>488</v>
      </c>
      <c r="B61" s="17"/>
      <c r="C61" s="17"/>
      <c r="D61" s="17"/>
      <c r="E61" s="17"/>
      <c r="F61" s="17"/>
      <c r="G61" s="17"/>
      <c r="H61" s="17"/>
      <c r="I61" s="17"/>
      <c r="J61" s="17"/>
      <c r="K61" s="17"/>
    </row>
    <row r="62" customFormat="false" ht="15" hidden="false" customHeight="false" outlineLevel="0" collapsed="false">
      <c r="A62" s="8" t="s">
        <v>489</v>
      </c>
      <c r="B62" s="8" t="s">
        <v>259</v>
      </c>
      <c r="C62" s="27" t="n">
        <v>245</v>
      </c>
      <c r="D62" s="27" t="n">
        <v>353</v>
      </c>
      <c r="E62" s="27" t="n">
        <v>420</v>
      </c>
      <c r="F62" s="27" t="n">
        <v>395</v>
      </c>
      <c r="G62" s="27" t="n">
        <v>465</v>
      </c>
      <c r="H62" s="8" t="s">
        <v>381</v>
      </c>
      <c r="I62" s="8" t="s">
        <v>460</v>
      </c>
      <c r="J62" s="8"/>
      <c r="K62" s="43" t="s">
        <v>490</v>
      </c>
    </row>
    <row r="63" customFormat="false" ht="15" hidden="false" customHeight="false" outlineLevel="0" collapsed="false">
      <c r="A63" s="8" t="s">
        <v>491</v>
      </c>
      <c r="B63" s="8" t="s">
        <v>259</v>
      </c>
      <c r="C63" s="27" t="n">
        <v>1067</v>
      </c>
      <c r="D63" s="27" t="n">
        <v>1546</v>
      </c>
      <c r="E63" s="27" t="n">
        <v>2109</v>
      </c>
      <c r="F63" s="27" t="n">
        <v>2214</v>
      </c>
      <c r="G63" s="27" t="n">
        <v>2372</v>
      </c>
      <c r="H63" s="8" t="s">
        <v>381</v>
      </c>
      <c r="I63" s="8" t="s">
        <v>460</v>
      </c>
      <c r="J63" s="8"/>
      <c r="K63" s="43" t="s">
        <v>492</v>
      </c>
    </row>
    <row r="64" customFormat="false" ht="15" hidden="false" customHeight="false" outlineLevel="0" collapsed="false">
      <c r="A64" s="8" t="s">
        <v>493</v>
      </c>
      <c r="B64" s="8" t="s">
        <v>259</v>
      </c>
      <c r="C64" s="27" t="n">
        <v>598</v>
      </c>
      <c r="D64" s="27" t="n">
        <v>858</v>
      </c>
      <c r="E64" s="27" t="n">
        <v>1470</v>
      </c>
      <c r="F64" s="27" t="n">
        <v>1918</v>
      </c>
      <c r="G64" s="27" t="n">
        <v>1967</v>
      </c>
      <c r="H64" s="8" t="s">
        <v>381</v>
      </c>
      <c r="I64" s="8" t="s">
        <v>460</v>
      </c>
      <c r="J64" s="8"/>
      <c r="K64" s="43" t="s">
        <v>494</v>
      </c>
    </row>
    <row r="66" customFormat="false" ht="15" hidden="false" customHeight="false" outlineLevel="0" collapsed="false">
      <c r="A66" s="16" t="s">
        <v>495</v>
      </c>
      <c r="B66" s="17"/>
      <c r="C66" s="17"/>
      <c r="D66" s="17"/>
      <c r="E66" s="17"/>
      <c r="F66" s="17"/>
      <c r="G66" s="17"/>
      <c r="H66" s="17"/>
      <c r="I66" s="17"/>
      <c r="J66" s="17"/>
      <c r="K66" s="17"/>
    </row>
    <row r="67" customFormat="false" ht="15" hidden="false" customHeight="false" outlineLevel="0" collapsed="false">
      <c r="A67" s="18" t="s">
        <v>372</v>
      </c>
      <c r="B67" s="19" t="s">
        <v>220</v>
      </c>
      <c r="C67" s="19" t="s">
        <v>496</v>
      </c>
      <c r="D67" s="19" t="s">
        <v>497</v>
      </c>
      <c r="E67" s="19"/>
      <c r="F67" s="19"/>
      <c r="G67" s="19"/>
      <c r="H67" s="19" t="s">
        <v>99</v>
      </c>
      <c r="I67" s="19" t="s">
        <v>498</v>
      </c>
      <c r="J67" s="19" t="s">
        <v>271</v>
      </c>
      <c r="K67" s="19" t="s">
        <v>379</v>
      </c>
    </row>
    <row r="68" customFormat="false" ht="15" hidden="false" customHeight="false" outlineLevel="0" collapsed="false">
      <c r="A68" s="8" t="s">
        <v>22</v>
      </c>
      <c r="B68" s="8" t="s">
        <v>259</v>
      </c>
      <c r="C68" s="27" t="n">
        <v>4448</v>
      </c>
      <c r="D68" s="27" t="n">
        <v>5463</v>
      </c>
      <c r="H68" s="8" t="s">
        <v>381</v>
      </c>
      <c r="I68" s="8" t="s">
        <v>499</v>
      </c>
      <c r="J68" s="8" t="s">
        <v>500</v>
      </c>
      <c r="K68" s="43" t="s">
        <v>383</v>
      </c>
    </row>
    <row r="69" customFormat="false" ht="15" hidden="false" customHeight="false" outlineLevel="0" collapsed="false">
      <c r="A69" s="8" t="s">
        <v>409</v>
      </c>
      <c r="B69" s="8" t="s">
        <v>259</v>
      </c>
      <c r="C69" s="27" t="n">
        <v>3452</v>
      </c>
      <c r="D69" s="27" t="n">
        <v>4365</v>
      </c>
      <c r="H69" s="8" t="s">
        <v>381</v>
      </c>
      <c r="I69" s="8" t="s">
        <v>501</v>
      </c>
      <c r="J69" s="8"/>
      <c r="K69" s="43" t="s">
        <v>412</v>
      </c>
    </row>
    <row r="70" customFormat="false" ht="15" hidden="false" customHeight="false" outlineLevel="0" collapsed="false">
      <c r="A70" s="8" t="s">
        <v>413</v>
      </c>
      <c r="B70" s="8" t="s">
        <v>259</v>
      </c>
      <c r="C70" s="27" t="n">
        <v>679</v>
      </c>
      <c r="D70" s="27" t="n">
        <v>788</v>
      </c>
      <c r="H70" s="8" t="s">
        <v>381</v>
      </c>
      <c r="I70" s="8" t="s">
        <v>501</v>
      </c>
      <c r="J70" s="8"/>
      <c r="K70" s="43" t="s">
        <v>414</v>
      </c>
    </row>
    <row r="71" customFormat="false" ht="15" hidden="false" customHeight="false" outlineLevel="0" collapsed="false">
      <c r="A71" s="8" t="s">
        <v>415</v>
      </c>
      <c r="B71" s="8" t="s">
        <v>259</v>
      </c>
      <c r="C71" s="27" t="n">
        <v>317</v>
      </c>
      <c r="D71" s="27" t="n">
        <v>310</v>
      </c>
      <c r="H71" s="8" t="s">
        <v>381</v>
      </c>
      <c r="I71" s="8" t="s">
        <v>501</v>
      </c>
      <c r="J71" s="8"/>
      <c r="K71" s="43" t="s">
        <v>417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4472C4"/>
    <pageSetUpPr fitToPage="true"/>
  </sheetPr>
  <dimension ref="A1:I6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5" topLeftCell="C6" activePane="bottomRight" state="frozen"/>
      <selection pane="topLeft" activeCell="A1" activeCellId="0" sqref="A1"/>
      <selection pane="topRight" activeCell="C1" activeCellId="0" sqref="C1"/>
      <selection pane="bottomLeft" activeCell="A6" activeCellId="0" sqref="A6"/>
      <selection pane="bottomRight" activeCell="A1" activeCellId="0" sqref="A1"/>
    </sheetView>
  </sheetViews>
  <sheetFormatPr defaultColWidth="8.54296875" defaultRowHeight="15" customHeight="false" zeroHeight="false" outlineLevelRow="0" outlineLevelCol="0"/>
  <cols>
    <col collapsed="false" customWidth="true" hidden="false" outlineLevel="0" max="1" min="1" style="0" width="50"/>
    <col collapsed="false" customWidth="true" hidden="false" outlineLevel="0" max="2" min="2" style="0" width="9"/>
    <col collapsed="false" customWidth="true" hidden="false" outlineLevel="0" max="7" min="3" style="0" width="11"/>
    <col collapsed="false" customWidth="true" hidden="false" outlineLevel="0" max="8" min="8" style="0" width="18"/>
    <col collapsed="false" customWidth="true" hidden="false" outlineLevel="0" max="9" min="9" style="0" width="70"/>
  </cols>
  <sheetData>
    <row r="1" customFormat="false" ht="19.7" hidden="false" customHeight="false" outlineLevel="0" collapsed="false">
      <c r="A1" s="14" t="s">
        <v>502</v>
      </c>
    </row>
    <row r="2" customFormat="false" ht="15" hidden="false" customHeight="false" outlineLevel="0" collapsed="false">
      <c r="A2" s="4" t="s">
        <v>503</v>
      </c>
    </row>
    <row r="3" customFormat="false" ht="15" hidden="false" customHeight="false" outlineLevel="0" collapsed="false">
      <c r="A3" s="15" t="s">
        <v>371</v>
      </c>
    </row>
    <row r="5" customFormat="false" ht="15" hidden="false" customHeight="false" outlineLevel="0" collapsed="false">
      <c r="A5" s="18" t="s">
        <v>504</v>
      </c>
      <c r="B5" s="19" t="s">
        <v>220</v>
      </c>
      <c r="C5" s="19" t="s">
        <v>373</v>
      </c>
      <c r="D5" s="19" t="s">
        <v>374</v>
      </c>
      <c r="E5" s="19" t="s">
        <v>375</v>
      </c>
      <c r="F5" s="19" t="s">
        <v>376</v>
      </c>
      <c r="G5" s="19" t="s">
        <v>377</v>
      </c>
      <c r="H5" s="19" t="s">
        <v>99</v>
      </c>
      <c r="I5" s="19" t="s">
        <v>505</v>
      </c>
    </row>
    <row r="6" customFormat="false" ht="15" hidden="false" customHeight="false" outlineLevel="0" collapsed="false">
      <c r="A6" s="16" t="s">
        <v>506</v>
      </c>
      <c r="B6" s="17"/>
      <c r="C6" s="17"/>
      <c r="D6" s="17"/>
      <c r="E6" s="17"/>
      <c r="F6" s="17"/>
      <c r="G6" s="17"/>
      <c r="H6" s="17"/>
      <c r="I6" s="17"/>
    </row>
    <row r="7" customFormat="false" ht="15" hidden="false" customHeight="false" outlineLevel="0" collapsed="false">
      <c r="A7" s="8" t="s">
        <v>507</v>
      </c>
      <c r="B7" s="8" t="s">
        <v>259</v>
      </c>
      <c r="C7" s="39" t="n">
        <f aca="false">Hist_Data!$C$7</f>
        <v>18344</v>
      </c>
      <c r="D7" s="39" t="n">
        <f aca="false">Hist_Data!$D$7</f>
        <v>20028</v>
      </c>
      <c r="E7" s="39" t="n">
        <f aca="false">Hist_Data!$E$7</f>
        <v>17519</v>
      </c>
      <c r="F7" s="39" t="n">
        <f aca="false">Hist_Data!$F$7</f>
        <v>15641</v>
      </c>
      <c r="G7" s="39" t="n">
        <f aca="false">Hist_Data!$G$7</f>
        <v>17682</v>
      </c>
      <c r="H7" s="8" t="s">
        <v>247</v>
      </c>
      <c r="I7" s="8" t="s">
        <v>508</v>
      </c>
    </row>
    <row r="8" customFormat="false" ht="15" hidden="false" customHeight="false" outlineLevel="0" collapsed="false">
      <c r="A8" s="8" t="s">
        <v>509</v>
      </c>
      <c r="B8" s="8" t="s">
        <v>226</v>
      </c>
      <c r="C8" s="48" t="s">
        <v>510</v>
      </c>
      <c r="D8" s="35" t="n">
        <f aca="false">IFERROR(Hist_Data!$D$7/Hist_Data!$C$7-1,"")</f>
        <v>0.0918011338857392</v>
      </c>
      <c r="E8" s="35" t="n">
        <f aca="false">IFERROR(Hist_Data!$E$7/Hist_Data!$D$7-1,"")</f>
        <v>-0.125274615538246</v>
      </c>
      <c r="F8" s="35" t="n">
        <f aca="false">IFERROR(Hist_Data!$F$7/Hist_Data!$E$7-1,"")</f>
        <v>-0.107197899423483</v>
      </c>
      <c r="G8" s="35" t="n">
        <f aca="false">IFERROR(Hist_Data!$G$7/Hist_Data!$F$7-1,"")</f>
        <v>0.130490377853078</v>
      </c>
      <c r="H8" s="8" t="s">
        <v>247</v>
      </c>
      <c r="I8" s="8" t="s">
        <v>511</v>
      </c>
    </row>
    <row r="9" customFormat="false" ht="15" hidden="false" customHeight="false" outlineLevel="0" collapsed="false">
      <c r="A9" s="8" t="s">
        <v>314</v>
      </c>
      <c r="B9" s="8" t="s">
        <v>226</v>
      </c>
      <c r="C9" s="35" t="n">
        <f aca="false">IFERROR(Hist_Data!$C$9/Hist_Data!$C$7,"")</f>
        <v>0.674662014827737</v>
      </c>
      <c r="D9" s="35" t="n">
        <f aca="false">IFERROR(Hist_Data!$D$9/Hist_Data!$D$7,"")</f>
        <v>0.68758737767126</v>
      </c>
      <c r="E9" s="35" t="n">
        <f aca="false">IFERROR(Hist_Data!$E$9/Hist_Data!$E$7,"")</f>
        <v>0.628974256521491</v>
      </c>
      <c r="F9" s="35" t="n">
        <f aca="false">IFERROR(Hist_Data!$F$9/Hist_Data!$F$7,"")</f>
        <v>0.581420625279714</v>
      </c>
      <c r="G9" s="35" t="n">
        <f aca="false">IFERROR(Hist_Data!$G$9/Hist_Data!$G$7,"")</f>
        <v>0.570240922972514</v>
      </c>
      <c r="H9" s="8" t="s">
        <v>247</v>
      </c>
      <c r="I9" s="8" t="s">
        <v>512</v>
      </c>
    </row>
    <row r="10" customFormat="false" ht="15" hidden="false" customHeight="false" outlineLevel="0" collapsed="false">
      <c r="A10" s="8" t="s">
        <v>513</v>
      </c>
      <c r="B10" s="8" t="s">
        <v>226</v>
      </c>
      <c r="C10" s="35" t="n">
        <f aca="false">IFERROR(Hist_Data!$C$10/Hist_Data!$C$7,"")</f>
        <v>0.0847143480157</v>
      </c>
      <c r="D10" s="35" t="n">
        <f aca="false">IFERROR(Hist_Data!$D$10/Hist_Data!$D$7,"")</f>
        <v>0.0833832634311963</v>
      </c>
      <c r="E10" s="35" t="n">
        <f aca="false">IFERROR(Hist_Data!$E$10/Hist_Data!$E$7,"")</f>
        <v>0.106341686169302</v>
      </c>
      <c r="F10" s="35" t="n">
        <f aca="false">IFERROR(Hist_Data!$F$10/Hist_Data!$F$7,"")</f>
        <v>0.125247746307781</v>
      </c>
      <c r="G10" s="35" t="n">
        <f aca="false">IFERROR(Hist_Data!$G$10/Hist_Data!$G$7,"")</f>
        <v>0.117803415903178</v>
      </c>
      <c r="H10" s="8" t="s">
        <v>247</v>
      </c>
      <c r="I10" s="8" t="s">
        <v>514</v>
      </c>
    </row>
    <row r="11" customFormat="false" ht="15" hidden="false" customHeight="false" outlineLevel="0" collapsed="false">
      <c r="A11" s="8" t="s">
        <v>515</v>
      </c>
      <c r="B11" s="8" t="s">
        <v>226</v>
      </c>
      <c r="C11" s="35" t="n">
        <f aca="false">IFERROR(Hist_Data!$C$11/Hist_Data!$C$7,"")</f>
        <v>0.0908198866114261</v>
      </c>
      <c r="D11" s="35" t="n">
        <f aca="false">IFERROR(Hist_Data!$D$11/Hist_Data!$D$7,"")</f>
        <v>0.0850808867585381</v>
      </c>
      <c r="E11" s="35" t="n">
        <f aca="false">IFERROR(Hist_Data!$E$11/Hist_Data!$E$7,"")</f>
        <v>0.104172612592043</v>
      </c>
      <c r="F11" s="35" t="n">
        <f aca="false">IFERROR(Hist_Data!$F$11/Hist_Data!$F$7,"")</f>
        <v>0.114698548686145</v>
      </c>
      <c r="G11" s="35" t="n">
        <f aca="false">IFERROR(Hist_Data!$G$11/Hist_Data!$G$7,"")</f>
        <v>0.105191720393621</v>
      </c>
      <c r="H11" s="8" t="s">
        <v>247</v>
      </c>
      <c r="I11" s="8" t="s">
        <v>516</v>
      </c>
    </row>
    <row r="12" customFormat="false" ht="15" hidden="false" customHeight="false" outlineLevel="0" collapsed="false">
      <c r="A12" s="8" t="s">
        <v>517</v>
      </c>
      <c r="B12" s="8" t="s">
        <v>226</v>
      </c>
      <c r="C12" s="35" t="n">
        <f aca="false">IFERROR(Hist_Data!$C$14/Hist_Data!$C$7,"")</f>
        <v>0.48844308765809</v>
      </c>
      <c r="D12" s="35" t="n">
        <f aca="false">IFERROR(Hist_Data!$D$14/Hist_Data!$D$7,"")</f>
        <v>0.506291192330737</v>
      </c>
      <c r="E12" s="35" t="n">
        <f aca="false">IFERROR(Hist_Data!$E$14/Hist_Data!$E$7,"")</f>
        <v>0.418459957760146</v>
      </c>
      <c r="F12" s="35" t="n">
        <f aca="false">IFERROR(Hist_Data!$F$14/Hist_Data!$F$7,"")</f>
        <v>0.349402212134774</v>
      </c>
      <c r="G12" s="35" t="n">
        <f aca="false">IFERROR(Hist_Data!$G$14/Hist_Data!$G$7,"")</f>
        <v>0.340628888134826</v>
      </c>
      <c r="H12" s="8" t="s">
        <v>247</v>
      </c>
      <c r="I12" s="8" t="s">
        <v>518</v>
      </c>
    </row>
    <row r="13" customFormat="false" ht="15" hidden="false" customHeight="false" outlineLevel="0" collapsed="false">
      <c r="A13" s="8" t="s">
        <v>519</v>
      </c>
      <c r="B13" s="8" t="s">
        <v>259</v>
      </c>
      <c r="C13" s="30" t="n">
        <f aca="false">(N(Hist_Data!$C$12)+N(Hist_Data!$C$13))</f>
        <v>196</v>
      </c>
      <c r="D13" s="30" t="n">
        <f aca="false">(N(Hist_Data!$D$12)+N(Hist_Data!$D$13))</f>
        <v>257</v>
      </c>
      <c r="E13" s="30" t="n">
        <f aca="false">(N(Hist_Data!$E$12)+N(Hist_Data!$E$13))</f>
        <v>0</v>
      </c>
      <c r="F13" s="30" t="n">
        <f aca="false">(N(Hist_Data!$F$12)+N(Hist_Data!$F$13))</f>
        <v>-124</v>
      </c>
      <c r="G13" s="30" t="n">
        <f aca="false">(N(Hist_Data!$G$12)+N(Hist_Data!$G$13))</f>
        <v>117</v>
      </c>
      <c r="H13" s="8" t="s">
        <v>247</v>
      </c>
      <c r="I13" s="8" t="s">
        <v>520</v>
      </c>
    </row>
    <row r="14" customFormat="false" ht="15" hidden="false" customHeight="false" outlineLevel="0" collapsed="false">
      <c r="A14" s="8" t="s">
        <v>521</v>
      </c>
      <c r="B14" s="8" t="s">
        <v>259</v>
      </c>
      <c r="C14" s="30" t="n">
        <f aca="false">Hist_Data!$C$14+$C$13</f>
        <v>9156</v>
      </c>
      <c r="D14" s="30" t="n">
        <f aca="false">Hist_Data!$D$14+$D$13</f>
        <v>10397</v>
      </c>
      <c r="E14" s="30" t="n">
        <f aca="false">Hist_Data!$E$14+$E$13</f>
        <v>7331</v>
      </c>
      <c r="F14" s="30" t="n">
        <f aca="false">Hist_Data!$F$14+$F$13</f>
        <v>5341</v>
      </c>
      <c r="G14" s="30" t="n">
        <f aca="false">Hist_Data!$G$14+$G$13</f>
        <v>6140</v>
      </c>
      <c r="H14" s="8" t="s">
        <v>247</v>
      </c>
      <c r="I14" s="8" t="s">
        <v>522</v>
      </c>
    </row>
    <row r="15" customFormat="false" ht="15" hidden="false" customHeight="false" outlineLevel="0" collapsed="false">
      <c r="A15" s="8" t="s">
        <v>523</v>
      </c>
      <c r="B15" s="8" t="s">
        <v>226</v>
      </c>
      <c r="C15" s="35" t="n">
        <f aca="false">IFERROR($C$14/Hist_Data!$C$7,"")</f>
        <v>0.499127780200611</v>
      </c>
      <c r="D15" s="35" t="n">
        <f aca="false">IFERROR($D$14/Hist_Data!$D$7,"")</f>
        <v>0.519123227481526</v>
      </c>
      <c r="E15" s="35" t="n">
        <f aca="false">IFERROR($E$14/Hist_Data!$E$7,"")</f>
        <v>0.418459957760146</v>
      </c>
      <c r="F15" s="35" t="n">
        <f aca="false">IFERROR($F$14/Hist_Data!$F$7,"")</f>
        <v>0.341474330285787</v>
      </c>
      <c r="G15" s="35" t="n">
        <f aca="false">IFERROR($G$14/Hist_Data!$G$7,"")</f>
        <v>0.347245786675715</v>
      </c>
      <c r="H15" s="8" t="s">
        <v>247</v>
      </c>
      <c r="I15" s="8" t="s">
        <v>524</v>
      </c>
    </row>
    <row r="16" customFormat="false" ht="15" hidden="false" customHeight="false" outlineLevel="0" collapsed="false">
      <c r="A16" s="8" t="s">
        <v>525</v>
      </c>
      <c r="B16" s="8" t="s">
        <v>226</v>
      </c>
      <c r="C16" s="35" t="n">
        <f aca="false">IFERROR(Hist_Data!$C$19/Hist_Data!$C$7,"")</f>
        <v>0.423517226341038</v>
      </c>
      <c r="D16" s="35" t="n">
        <f aca="false">IFERROR(Hist_Data!$D$19/Hist_Data!$D$7,"")</f>
        <v>0.436838426203315</v>
      </c>
      <c r="E16" s="35" t="n">
        <f aca="false">IFERROR(Hist_Data!$E$19/Hist_Data!$E$7,"")</f>
        <v>0.37159655231463</v>
      </c>
      <c r="F16" s="35" t="n">
        <f aca="false">IFERROR(Hist_Data!$F$19/Hist_Data!$F$7,"")</f>
        <v>0.306821814461991</v>
      </c>
      <c r="G16" s="35" t="n">
        <f aca="false">IFERROR(Hist_Data!$G$19/Hist_Data!$G$7,"")</f>
        <v>0.282829996606719</v>
      </c>
      <c r="H16" s="8" t="s">
        <v>247</v>
      </c>
      <c r="I16" s="8" t="s">
        <v>526</v>
      </c>
    </row>
    <row r="17" customFormat="false" ht="15" hidden="false" customHeight="false" outlineLevel="0" collapsed="false">
      <c r="A17" s="8" t="s">
        <v>527</v>
      </c>
      <c r="B17" s="8" t="s">
        <v>226</v>
      </c>
      <c r="C17" s="35" t="n">
        <f aca="false">IF(ABS(Hist_Data!$C$17)&lt;0.02*Hist_Data!$C$7,"n.m.",IFERROR(Hist_Data!$C$18/Hist_Data!$C$17,""))</f>
        <v>0.128938221773741</v>
      </c>
      <c r="D17" s="35" t="n">
        <f aca="false">IF(ABS(Hist_Data!$D$17)&lt;0.02*Hist_Data!$D$7,"n.m.",IFERROR(Hist_Data!$D$18/Hist_Data!$D$17,""))</f>
        <v>0.127890749601276</v>
      </c>
      <c r="E17" s="35" t="n">
        <f aca="false">IF(ABS(Hist_Data!$E$17)&lt;0.02*Hist_Data!$E$7,"n.m.",IFERROR(Hist_Data!$E$18/Hist_Data!$E$17,""))</f>
        <v>0.122404960905905</v>
      </c>
      <c r="F17" s="35" t="n">
        <f aca="false">IF(ABS(Hist_Data!$F$17)&lt;0.02*Hist_Data!$F$7,"n.m.",IFERROR(Hist_Data!$F$18/Hist_Data!$F$17,""))</f>
        <v>0.1199339812947</v>
      </c>
      <c r="G17" s="35" t="n">
        <f aca="false">IF(ABS(Hist_Data!$G$17)&lt;0.02*Hist_Data!$G$7,"n.m.",IFERROR(Hist_Data!$G$18/Hist_Data!$G$17,""))</f>
        <v>0.124168126094571</v>
      </c>
      <c r="H17" s="8" t="s">
        <v>247</v>
      </c>
      <c r="I17" s="8" t="s">
        <v>528</v>
      </c>
    </row>
    <row r="18" customFormat="false" ht="15" hidden="false" customHeight="false" outlineLevel="0" collapsed="false">
      <c r="A18" s="8" t="s">
        <v>529</v>
      </c>
      <c r="B18" s="8" t="s">
        <v>226</v>
      </c>
      <c r="C18" s="48" t="s">
        <v>510</v>
      </c>
      <c r="D18" s="35" t="n">
        <f aca="false">IFERROR((Hist_Data!$D$9-Hist_Data!$C$9)/(Hist_Data!$D$7-Hist_Data!$C$7),"")</f>
        <v>0.828384798099763</v>
      </c>
      <c r="E18" s="35" t="n">
        <f aca="false">IFERROR((Hist_Data!$E$9-Hist_Data!$D$9)/(Hist_Data!$E$7-Hist_Data!$D$7),"")</f>
        <v>1.0968513351933</v>
      </c>
      <c r="F18" s="35" t="n">
        <f aca="false">IFERROR((Hist_Data!$F$9-Hist_Data!$E$9)/(Hist_Data!$F$7-Hist_Data!$E$7),"")</f>
        <v>1.02502662406816</v>
      </c>
      <c r="G18" s="35" t="n">
        <f aca="false">IFERROR((Hist_Data!$G$9-Hist_Data!$F$9)/(Hist_Data!$G$7-Hist_Data!$F$7),"")</f>
        <v>0.484566389024988</v>
      </c>
      <c r="H18" s="8" t="s">
        <v>247</v>
      </c>
      <c r="I18" s="8" t="s">
        <v>530</v>
      </c>
    </row>
    <row r="19" customFormat="false" ht="15" hidden="false" customHeight="false" outlineLevel="0" collapsed="false">
      <c r="A19" s="16" t="s">
        <v>531</v>
      </c>
      <c r="B19" s="17"/>
      <c r="C19" s="17"/>
      <c r="D19" s="17"/>
      <c r="E19" s="17"/>
      <c r="F19" s="17"/>
      <c r="G19" s="17"/>
      <c r="H19" s="17"/>
      <c r="I19" s="17"/>
    </row>
    <row r="20" customFormat="false" ht="15" hidden="false" customHeight="false" outlineLevel="0" collapsed="false">
      <c r="A20" s="8" t="s">
        <v>532</v>
      </c>
      <c r="B20" s="8" t="s">
        <v>226</v>
      </c>
      <c r="C20" s="35" t="n">
        <f aca="false">IFERROR(Hist_Data!$C$21/Hist_Data!$C$7,"")</f>
        <v>0.765918011338857</v>
      </c>
      <c r="D20" s="35" t="n">
        <f aca="false">IFERROR(Hist_Data!$D$21/Hist_Data!$D$7,"")</f>
        <v>0.766876373077691</v>
      </c>
      <c r="E20" s="35" t="n">
        <f aca="false">IFERROR(Hist_Data!$E$21/Hist_Data!$E$7,"")</f>
        <v>0.744334722301501</v>
      </c>
      <c r="F20" s="35" t="n">
        <f aca="false">IFERROR(Hist_Data!$F$21/Hist_Data!$F$7,"")</f>
        <v>0.777507831980053</v>
      </c>
      <c r="G20" s="35" t="n">
        <f aca="false">IFERROR(Hist_Data!$G$21/Hist_Data!$G$7,"")</f>
        <v>0.79210496550164</v>
      </c>
      <c r="H20" s="8" t="s">
        <v>247</v>
      </c>
      <c r="I20" s="8" t="s">
        <v>533</v>
      </c>
    </row>
    <row r="21" customFormat="false" ht="15" hidden="false" customHeight="false" outlineLevel="0" collapsed="false">
      <c r="A21" s="8" t="s">
        <v>534</v>
      </c>
      <c r="B21" s="8" t="s">
        <v>226</v>
      </c>
      <c r="C21" s="35" t="n">
        <f aca="false">IFERROR(Hist_Data!$C$22/Hist_Data!$C$7,"")</f>
        <v>0.166212385521151</v>
      </c>
      <c r="D21" s="35" t="n">
        <f aca="false">IFERROR(Hist_Data!$D$22/Hist_Data!$D$7,"")</f>
        <v>0.162822049131216</v>
      </c>
      <c r="E21" s="35" t="n">
        <f aca="false">IFERROR(Hist_Data!$E$22/Hist_Data!$E$7,"")</f>
        <v>0.19224841600548</v>
      </c>
      <c r="F21" s="35" t="n">
        <f aca="false">IFERROR(Hist_Data!$F$22/Hist_Data!$F$7,"")</f>
        <v>0.161946167124864</v>
      </c>
      <c r="G21" s="35" t="n">
        <f aca="false">IFERROR(Hist_Data!$G$22/Hist_Data!$G$7,"")</f>
        <v>0.15252799457075</v>
      </c>
      <c r="H21" s="8" t="s">
        <v>247</v>
      </c>
      <c r="I21" s="8" t="s">
        <v>535</v>
      </c>
    </row>
    <row r="22" customFormat="false" ht="15" hidden="false" customHeight="false" outlineLevel="0" collapsed="false">
      <c r="A22" s="8" t="s">
        <v>536</v>
      </c>
      <c r="B22" s="8" t="s">
        <v>226</v>
      </c>
      <c r="C22" s="35" t="n">
        <f aca="false">IFERROR(Hist_Data!$C$23/Hist_Data!$C$7,"")</f>
        <v>0.0678696031399913</v>
      </c>
      <c r="D22" s="35" t="n">
        <f aca="false">IFERROR(Hist_Data!$D$23/Hist_Data!$D$7,"")</f>
        <v>0.0703015777910925</v>
      </c>
      <c r="E22" s="35" t="n">
        <f aca="false">IFERROR(Hist_Data!$E$23/Hist_Data!$E$7,"")</f>
        <v>0.063416861693019</v>
      </c>
      <c r="F22" s="35" t="n">
        <f aca="false">IFERROR(Hist_Data!$F$23/Hist_Data!$F$7,"")</f>
        <v>0.0605460008950834</v>
      </c>
      <c r="G22" s="35" t="n">
        <f aca="false">IFERROR(Hist_Data!$G$23/Hist_Data!$G$7,"")</f>
        <v>0.05536703992761</v>
      </c>
      <c r="H22" s="8" t="s">
        <v>247</v>
      </c>
      <c r="I22" s="8" t="s">
        <v>537</v>
      </c>
    </row>
    <row r="23" customFormat="false" ht="15" hidden="false" customHeight="false" outlineLevel="0" collapsed="false">
      <c r="A23" s="7" t="s">
        <v>538</v>
      </c>
      <c r="B23" s="8" t="s">
        <v>226</v>
      </c>
      <c r="C23" s="35" t="n">
        <f aca="false">$C$20+$C$21+$C$22</f>
        <v>1</v>
      </c>
      <c r="D23" s="35" t="n">
        <f aca="false">$D$20+$D$21+$D$22</f>
        <v>1</v>
      </c>
      <c r="E23" s="35" t="n">
        <f aca="false">$E$20+$E$21+$E$22</f>
        <v>1</v>
      </c>
      <c r="F23" s="35" t="n">
        <f aca="false">$F$20+$F$21+$F$22</f>
        <v>1</v>
      </c>
      <c r="G23" s="35" t="n">
        <f aca="false">$G$20+$G$21+$G$22</f>
        <v>1</v>
      </c>
      <c r="H23" s="8" t="s">
        <v>247</v>
      </c>
      <c r="I23" s="8" t="s">
        <v>539</v>
      </c>
    </row>
    <row r="24" customFormat="false" ht="15" hidden="false" customHeight="false" outlineLevel="0" collapsed="false">
      <c r="A24" s="8" t="s">
        <v>540</v>
      </c>
      <c r="B24" s="8" t="s">
        <v>226</v>
      </c>
      <c r="C24" s="48" t="s">
        <v>510</v>
      </c>
      <c r="D24" s="35" t="n">
        <f aca="false">IFERROR(Hist_Data!$D$21/Hist_Data!$C$21-1,"")</f>
        <v>0.0931672597864768</v>
      </c>
      <c r="E24" s="35" t="n">
        <f aca="false">IFERROR(Hist_Data!$E$21/Hist_Data!$D$21-1,"")</f>
        <v>-0.150986392343252</v>
      </c>
      <c r="F24" s="35" t="n">
        <f aca="false">IFERROR(Hist_Data!$F$21/Hist_Data!$E$21-1,"")</f>
        <v>-0.0674079754601227</v>
      </c>
      <c r="G24" s="35" t="n">
        <f aca="false">IFERROR(Hist_Data!$G$21/Hist_Data!$F$21-1,"")</f>
        <v>0.151714497163062</v>
      </c>
      <c r="H24" s="8" t="s">
        <v>247</v>
      </c>
      <c r="I24" s="8" t="s">
        <v>541</v>
      </c>
    </row>
    <row r="25" customFormat="false" ht="15" hidden="false" customHeight="false" outlineLevel="0" collapsed="false">
      <c r="A25" s="8" t="s">
        <v>542</v>
      </c>
      <c r="B25" s="8" t="s">
        <v>226</v>
      </c>
      <c r="C25" s="48" t="s">
        <v>510</v>
      </c>
      <c r="D25" s="35" t="n">
        <f aca="false">IFERROR(Hist_Data!$D$22/Hist_Data!$C$22-1,"")</f>
        <v>0.0695309937684487</v>
      </c>
      <c r="E25" s="35" t="n">
        <f aca="false">IFERROR(Hist_Data!$E$22/Hist_Data!$D$22-1,"")</f>
        <v>0.0328120208524991</v>
      </c>
      <c r="F25" s="35" t="n">
        <f aca="false">IFERROR(Hist_Data!$F$22/Hist_Data!$E$22-1,"")</f>
        <v>-0.2479216152019</v>
      </c>
      <c r="G25" s="35" t="n">
        <f aca="false">IFERROR(Hist_Data!$G$22/Hist_Data!$F$22-1,"")</f>
        <v>0.064745361231741</v>
      </c>
      <c r="H25" s="8" t="s">
        <v>247</v>
      </c>
      <c r="I25" s="8" t="s">
        <v>543</v>
      </c>
    </row>
    <row r="26" customFormat="false" ht="15" hidden="false" customHeight="false" outlineLevel="0" collapsed="false">
      <c r="A26" s="8" t="s">
        <v>544</v>
      </c>
      <c r="B26" s="8" t="s">
        <v>226</v>
      </c>
      <c r="C26" s="48" t="s">
        <v>510</v>
      </c>
      <c r="D26" s="35" t="n">
        <f aca="false">IFERROR(Hist_Data!$D$23/Hist_Data!$C$23-1,"")</f>
        <v>0.130923694779116</v>
      </c>
      <c r="E26" s="35" t="n">
        <f aca="false">IFERROR(Hist_Data!$E$23/Hist_Data!$D$23-1,"")</f>
        <v>-0.2109375</v>
      </c>
      <c r="F26" s="35" t="n">
        <f aca="false">IFERROR(Hist_Data!$F$23/Hist_Data!$E$23-1,"")</f>
        <v>-0.147614761476148</v>
      </c>
      <c r="G26" s="35" t="n">
        <f aca="false">IFERROR(Hist_Data!$G$23/Hist_Data!$F$23-1,"")</f>
        <v>0.0337909186906018</v>
      </c>
      <c r="H26" s="8" t="s">
        <v>247</v>
      </c>
      <c r="I26" s="8" t="s">
        <v>545</v>
      </c>
    </row>
    <row r="27" customFormat="false" ht="15" hidden="false" customHeight="false" outlineLevel="0" collapsed="false">
      <c r="A27" s="16" t="s">
        <v>546</v>
      </c>
      <c r="B27" s="17"/>
      <c r="C27" s="17"/>
      <c r="D27" s="17"/>
      <c r="E27" s="17"/>
      <c r="F27" s="17"/>
      <c r="G27" s="17"/>
      <c r="H27" s="17"/>
      <c r="I27" s="17"/>
    </row>
    <row r="28" customFormat="false" ht="15" hidden="false" customHeight="false" outlineLevel="0" collapsed="false">
      <c r="A28" s="8" t="s">
        <v>366</v>
      </c>
      <c r="B28" s="8" t="s">
        <v>259</v>
      </c>
      <c r="C28" s="39" t="n">
        <f aca="false">Hist_Data!$C$19</f>
        <v>7769</v>
      </c>
      <c r="D28" s="39" t="n">
        <f aca="false">Hist_Data!$D$19</f>
        <v>8749</v>
      </c>
      <c r="E28" s="39" t="n">
        <f aca="false">Hist_Data!$E$19</f>
        <v>6510</v>
      </c>
      <c r="F28" s="39" t="n">
        <f aca="false">Hist_Data!$F$19</f>
        <v>4799</v>
      </c>
      <c r="G28" s="39" t="n">
        <f aca="false">Hist_Data!$G$19</f>
        <v>5001</v>
      </c>
      <c r="H28" s="8" t="s">
        <v>247</v>
      </c>
      <c r="I28" s="8" t="s">
        <v>547</v>
      </c>
    </row>
    <row r="29" customFormat="false" ht="15" hidden="false" customHeight="false" outlineLevel="0" collapsed="false">
      <c r="A29" s="8" t="s">
        <v>548</v>
      </c>
      <c r="B29" s="8" t="s">
        <v>259</v>
      </c>
      <c r="C29" s="39" t="n">
        <f aca="false">Hist_Data!$C$30</f>
        <v>755</v>
      </c>
      <c r="D29" s="39" t="n">
        <f aca="false">Hist_Data!$D$30</f>
        <v>925</v>
      </c>
      <c r="E29" s="39" t="n">
        <f aca="false">Hist_Data!$E$30</f>
        <v>1175</v>
      </c>
      <c r="F29" s="39" t="n">
        <f aca="false">Hist_Data!$F$30</f>
        <v>1508</v>
      </c>
      <c r="G29" s="39" t="n">
        <f aca="false">Hist_Data!$G$30</f>
        <v>1918</v>
      </c>
      <c r="H29" s="8" t="s">
        <v>247</v>
      </c>
      <c r="I29" s="8" t="s">
        <v>549</v>
      </c>
    </row>
    <row r="30" customFormat="false" ht="15" hidden="false" customHeight="false" outlineLevel="0" collapsed="false">
      <c r="A30" s="8" t="s">
        <v>550</v>
      </c>
      <c r="B30" s="8" t="s">
        <v>259</v>
      </c>
      <c r="C30" s="30" t="n">
        <f aca="false">-Hist_Data!$C$39</f>
        <v>2462</v>
      </c>
      <c r="D30" s="30" t="n">
        <f aca="false">-Hist_Data!$D$39</f>
        <v>2797</v>
      </c>
      <c r="E30" s="30" t="n">
        <f aca="false">-Hist_Data!$E$39</f>
        <v>5071</v>
      </c>
      <c r="F30" s="30" t="n">
        <f aca="false">-Hist_Data!$F$39</f>
        <v>4820</v>
      </c>
      <c r="G30" s="30" t="n">
        <f aca="false">-Hist_Data!$G$39</f>
        <v>4550</v>
      </c>
      <c r="H30" s="8" t="s">
        <v>247</v>
      </c>
      <c r="I30" s="8" t="s">
        <v>551</v>
      </c>
    </row>
    <row r="31" customFormat="false" ht="15" hidden="false" customHeight="false" outlineLevel="0" collapsed="false">
      <c r="A31" s="8" t="s">
        <v>552</v>
      </c>
      <c r="B31" s="8" t="s">
        <v>259</v>
      </c>
      <c r="C31" s="30" t="n">
        <f aca="false">-(N(Hist_Data!$C$32)+N(Hist_Data!$C$33)+N(Hist_Data!$C$34)+N(Hist_Data!$C$35)+N(Hist_Data!$C$36)+N(Hist_Data!$C$37))</f>
        <v>165</v>
      </c>
      <c r="D31" s="30" t="n">
        <f aca="false">-(N(Hist_Data!$D$32)+N(Hist_Data!$D$33)+N(Hist_Data!$D$34)+N(Hist_Data!$D$35)+N(Hist_Data!$D$36)+N(Hist_Data!$D$37))</f>
        <v>813</v>
      </c>
      <c r="E31" s="30" t="n">
        <f aca="false">-(N(Hist_Data!$E$32)+N(Hist_Data!$E$33)+N(Hist_Data!$E$34)+N(Hist_Data!$E$35)+N(Hist_Data!$E$36)+N(Hist_Data!$E$37))</f>
        <v>1099</v>
      </c>
      <c r="F31" s="30" t="n">
        <f aca="false">-(N(Hist_Data!$F$32)+N(Hist_Data!$F$33)+N(Hist_Data!$F$34)+N(Hist_Data!$F$35)+N(Hist_Data!$F$36)+N(Hist_Data!$F$37))</f>
        <v>-257</v>
      </c>
      <c r="G31" s="30" t="n">
        <f aca="false">-(N(Hist_Data!$G$32)+N(Hist_Data!$G$33)+N(Hist_Data!$G$34)+N(Hist_Data!$G$35)+N(Hist_Data!$G$36)+N(Hist_Data!$G$37))</f>
        <v>271</v>
      </c>
      <c r="H31" s="8" t="s">
        <v>247</v>
      </c>
      <c r="I31" s="8" t="s">
        <v>553</v>
      </c>
    </row>
    <row r="32" customFormat="false" ht="15" hidden="false" customHeight="false" outlineLevel="0" collapsed="false">
      <c r="A32" s="7" t="s">
        <v>554</v>
      </c>
      <c r="B32" s="8" t="s">
        <v>259</v>
      </c>
      <c r="C32" s="30" t="n">
        <f aca="false">$C$28+$C$29-$C$30-$C$31</f>
        <v>5897</v>
      </c>
      <c r="D32" s="30" t="n">
        <f aca="false">$D$28+$D$29-$D$30-$D$31</f>
        <v>6064</v>
      </c>
      <c r="E32" s="30" t="n">
        <f aca="false">$E$28+$E$29-$E$30-$E$31</f>
        <v>1515</v>
      </c>
      <c r="F32" s="30" t="n">
        <f aca="false">$F$28+$F$29-$F$30-$F$31</f>
        <v>1744</v>
      </c>
      <c r="G32" s="30" t="n">
        <f aca="false">$G$28+$G$29-$G$30-$G$31</f>
        <v>2098</v>
      </c>
      <c r="H32" s="8" t="s">
        <v>247</v>
      </c>
      <c r="I32" s="8" t="s">
        <v>555</v>
      </c>
    </row>
    <row r="33" customFormat="false" ht="15" hidden="false" customHeight="false" outlineLevel="0" collapsed="false">
      <c r="A33" s="8" t="s">
        <v>556</v>
      </c>
      <c r="B33" s="8" t="s">
        <v>259</v>
      </c>
      <c r="C33" s="30" t="n">
        <f aca="false">Hist_Data!$C$38-$C$28-$C$29+$C$31</f>
        <v>397</v>
      </c>
      <c r="D33" s="30" t="n">
        <f aca="false">Hist_Data!$D$38-$D$28-$D$29+$D$31</f>
        <v>-141</v>
      </c>
      <c r="E33" s="30" t="n">
        <f aca="false">Hist_Data!$E$38-$E$28-$E$29+$E$31</f>
        <v>-166</v>
      </c>
      <c r="F33" s="30" t="n">
        <f aca="false">Hist_Data!$F$38-$F$28-$F$29+$F$31</f>
        <v>-246</v>
      </c>
      <c r="G33" s="30" t="n">
        <f aca="false">Hist_Data!$G$38-$G$28-$G$29+$G$31</f>
        <v>505</v>
      </c>
      <c r="H33" s="8" t="s">
        <v>247</v>
      </c>
      <c r="I33" s="8" t="s">
        <v>557</v>
      </c>
    </row>
    <row r="34" customFormat="false" ht="15" hidden="false" customHeight="false" outlineLevel="0" collapsed="false">
      <c r="A34" s="8" t="s">
        <v>558</v>
      </c>
      <c r="B34" s="8" t="s">
        <v>259</v>
      </c>
      <c r="C34" s="30" t="n">
        <f aca="false">Hist_Data!$C$38-$C$30</f>
        <v>6294</v>
      </c>
      <c r="D34" s="30" t="n">
        <f aca="false">Hist_Data!$D$38-$D$30</f>
        <v>5923</v>
      </c>
      <c r="E34" s="30" t="n">
        <f aca="false">Hist_Data!$E$38-$E$30</f>
        <v>1349</v>
      </c>
      <c r="F34" s="30" t="n">
        <f aca="false">Hist_Data!$F$38-$F$30</f>
        <v>1498</v>
      </c>
      <c r="G34" s="30" t="n">
        <f aca="false">Hist_Data!$G$38-$G$30</f>
        <v>2603</v>
      </c>
      <c r="H34" s="8" t="s">
        <v>247</v>
      </c>
      <c r="I34" s="8" t="s">
        <v>559</v>
      </c>
    </row>
    <row r="35" customFormat="false" ht="15" hidden="false" customHeight="false" outlineLevel="0" collapsed="false">
      <c r="A35" s="8" t="s">
        <v>560</v>
      </c>
      <c r="B35" s="8" t="s">
        <v>226</v>
      </c>
      <c r="C35" s="35" t="n">
        <f aca="false">IFERROR($C$32/Hist_Data!$C$7,"")</f>
        <v>0.321467509812473</v>
      </c>
      <c r="D35" s="35" t="n">
        <f aca="false">IFERROR($D$32/Hist_Data!$D$7,"")</f>
        <v>0.302776113441182</v>
      </c>
      <c r="E35" s="35" t="n">
        <f aca="false">IFERROR($E$32/Hist_Data!$E$7,"")</f>
        <v>0.0864775386722987</v>
      </c>
      <c r="F35" s="35" t="n">
        <f aca="false">IFERROR($F$32/Hist_Data!$F$7,"")</f>
        <v>0.111501822134135</v>
      </c>
      <c r="G35" s="35" t="n">
        <f aca="false">IFERROR($G$32/Hist_Data!$G$7,"")</f>
        <v>0.118651736228933</v>
      </c>
      <c r="H35" s="8" t="s">
        <v>247</v>
      </c>
      <c r="I35" s="8" t="s">
        <v>561</v>
      </c>
    </row>
    <row r="36" customFormat="false" ht="15" hidden="false" customHeight="false" outlineLevel="0" collapsed="false">
      <c r="A36" s="8" t="s">
        <v>562</v>
      </c>
      <c r="B36" s="8" t="s">
        <v>563</v>
      </c>
      <c r="C36" s="49" t="n">
        <f aca="false">IF(ABS($C$28)&lt;0.02*Hist_Data!$C$7,"n.m.",IFERROR($C$32/$C$28,""))</f>
        <v>0.759042347792509</v>
      </c>
      <c r="D36" s="49" t="n">
        <f aca="false">IF(ABS($D$28)&lt;0.02*Hist_Data!$D$7,"n.m.",IFERROR($D$32/$D$28,""))</f>
        <v>0.693107783746714</v>
      </c>
      <c r="E36" s="49" t="n">
        <f aca="false">IF(ABS($E$28)&lt;0.02*Hist_Data!$E$7,"n.m.",IFERROR($E$32/$E$28,""))</f>
        <v>0.232718894009217</v>
      </c>
      <c r="F36" s="49" t="n">
        <f aca="false">IF(ABS($F$28)&lt;0.02*Hist_Data!$F$7,"n.m.",IFERROR($F$32/$F$28,""))</f>
        <v>0.36340904355074</v>
      </c>
      <c r="G36" s="49" t="n">
        <f aca="false">IF(ABS($G$28)&lt;0.02*Hist_Data!$G$7,"n.m.",IFERROR($G$32/$G$28,""))</f>
        <v>0.419516096780644</v>
      </c>
      <c r="H36" s="8" t="s">
        <v>247</v>
      </c>
      <c r="I36" s="8" t="s">
        <v>564</v>
      </c>
    </row>
    <row r="37" customFormat="false" ht="15" hidden="false" customHeight="false" outlineLevel="0" collapsed="false">
      <c r="A37" s="8" t="s">
        <v>565</v>
      </c>
      <c r="B37" s="8" t="s">
        <v>226</v>
      </c>
      <c r="C37" s="35" t="n">
        <f aca="false">IFERROR($C$30/Hist_Data!$C$7,"")</f>
        <v>0.134212821631051</v>
      </c>
      <c r="D37" s="35" t="n">
        <f aca="false">IFERROR($D$30/Hist_Data!$D$7,"")</f>
        <v>0.139654483722788</v>
      </c>
      <c r="E37" s="35" t="n">
        <f aca="false">IFERROR($E$30/Hist_Data!$E$7,"")</f>
        <v>0.289457160796849</v>
      </c>
      <c r="F37" s="35" t="n">
        <f aca="false">IFERROR($F$30/Hist_Data!$F$7,"")</f>
        <v>0.308164439613835</v>
      </c>
      <c r="G37" s="35" t="n">
        <f aca="false">IFERROR($G$30/Hist_Data!$G$7,"")</f>
        <v>0.257323832145685</v>
      </c>
      <c r="H37" s="8" t="s">
        <v>247</v>
      </c>
      <c r="I37" s="8" t="s">
        <v>566</v>
      </c>
    </row>
    <row r="38" customFormat="false" ht="15" hidden="false" customHeight="false" outlineLevel="0" collapsed="false">
      <c r="A38" s="8" t="s">
        <v>567</v>
      </c>
      <c r="B38" s="8" t="s">
        <v>226</v>
      </c>
      <c r="C38" s="35" t="n">
        <f aca="false">IFERROR(Hist_Data!$C$30/Hist_Data!$C$7,"")</f>
        <v>0.0411578717836895</v>
      </c>
      <c r="D38" s="35" t="n">
        <f aca="false">IFERROR(Hist_Data!$D$30/Hist_Data!$D$7,"")</f>
        <v>0.0461853405232674</v>
      </c>
      <c r="E38" s="35" t="n">
        <f aca="false">IFERROR(Hist_Data!$E$30/Hist_Data!$E$7,"")</f>
        <v>0.067070038244192</v>
      </c>
      <c r="F38" s="35" t="n">
        <f aca="false">IFERROR(Hist_Data!$F$30/Hist_Data!$F$7,"")</f>
        <v>0.096413272808644</v>
      </c>
      <c r="G38" s="35" t="n">
        <f aca="false">IFERROR(Hist_Data!$G$30/Hist_Data!$G$7,"")</f>
        <v>0.108471892319873</v>
      </c>
      <c r="H38" s="8" t="s">
        <v>247</v>
      </c>
      <c r="I38" s="8" t="s">
        <v>568</v>
      </c>
    </row>
    <row r="39" customFormat="false" ht="15" hidden="false" customHeight="false" outlineLevel="0" collapsed="false">
      <c r="A39" s="8" t="s">
        <v>569</v>
      </c>
      <c r="B39" s="8" t="s">
        <v>226</v>
      </c>
      <c r="C39" s="35" t="n">
        <f aca="false">IFERROR(Hist_Data!$C$31/Hist_Data!$C$7,"")</f>
        <v>0.0125381596162233</v>
      </c>
      <c r="D39" s="35" t="n">
        <f aca="false">IFERROR(Hist_Data!$D$31/Hist_Data!$D$7,"")</f>
        <v>0.0144297982824046</v>
      </c>
      <c r="E39" s="35" t="n">
        <f aca="false">IFERROR(Hist_Data!$E$31/Hist_Data!$E$7,"")</f>
        <v>0.0206632798675724</v>
      </c>
      <c r="F39" s="35" t="n">
        <f aca="false">IFERROR(Hist_Data!$F$31/Hist_Data!$F$7,"")</f>
        <v>0.0247426635125631</v>
      </c>
      <c r="G39" s="35" t="n">
        <f aca="false">IFERROR(Hist_Data!$G$31/Hist_Data!$G$7,"")</f>
        <v>0.0236964144327565</v>
      </c>
      <c r="H39" s="8" t="s">
        <v>247</v>
      </c>
      <c r="I39" s="8" t="s">
        <v>570</v>
      </c>
    </row>
    <row r="40" customFormat="false" ht="15" hidden="false" customHeight="false" outlineLevel="0" collapsed="false">
      <c r="A40" s="8" t="s">
        <v>571</v>
      </c>
      <c r="B40" s="8" t="s">
        <v>563</v>
      </c>
      <c r="C40" s="49" t="n">
        <f aca="false">IFERROR($C$30/Hist_Data!$C$30,"")</f>
        <v>3.26092715231788</v>
      </c>
      <c r="D40" s="49" t="n">
        <f aca="false">IFERROR($D$30/Hist_Data!$D$30,"")</f>
        <v>3.02378378378378</v>
      </c>
      <c r="E40" s="49" t="n">
        <f aca="false">IFERROR($E$30/Hist_Data!$E$30,"")</f>
        <v>4.31574468085106</v>
      </c>
      <c r="F40" s="49" t="n">
        <f aca="false">IFERROR($F$30/Hist_Data!$F$30,"")</f>
        <v>3.19628647214854</v>
      </c>
      <c r="G40" s="49" t="n">
        <f aca="false">IFERROR($G$30/Hist_Data!$G$30,"")</f>
        <v>2.37226277372263</v>
      </c>
      <c r="H40" s="8" t="s">
        <v>247</v>
      </c>
      <c r="I40" s="8" t="s">
        <v>572</v>
      </c>
    </row>
    <row r="41" customFormat="false" ht="15" hidden="false" customHeight="false" outlineLevel="0" collapsed="false">
      <c r="A41" s="16" t="s">
        <v>573</v>
      </c>
      <c r="B41" s="17"/>
      <c r="C41" s="17"/>
      <c r="D41" s="17"/>
      <c r="E41" s="17"/>
      <c r="F41" s="17"/>
      <c r="G41" s="17"/>
      <c r="H41" s="17"/>
      <c r="I41" s="17"/>
    </row>
    <row r="42" customFormat="false" ht="15" hidden="false" customHeight="false" outlineLevel="0" collapsed="false">
      <c r="A42" s="8" t="s">
        <v>343</v>
      </c>
      <c r="B42" s="8" t="s">
        <v>344</v>
      </c>
      <c r="C42" s="50" t="n">
        <f aca="false">IFERROR(Hist_Data!$C$47/Hist_Data!$C$7*365,"")</f>
        <v>33.8456716092455</v>
      </c>
      <c r="D42" s="50" t="n">
        <f aca="false">IFERROR(Hist_Data!$D$47/Hist_Data!$D$7*365,"")</f>
        <v>34.5354004393849</v>
      </c>
      <c r="E42" s="50" t="n">
        <f aca="false">IFERROR(Hist_Data!$E$47/Hist_Data!$E$7*365,"")</f>
        <v>37.2312917403961</v>
      </c>
      <c r="F42" s="50" t="n">
        <f aca="false">IFERROR(Hist_Data!$F$47/Hist_Data!$F$7*365,"")</f>
        <v>40.1147624832172</v>
      </c>
      <c r="G42" s="50" t="n">
        <f aca="false">IFERROR(Hist_Data!$G$47/Hist_Data!$G$7*365,"")</f>
        <v>40.5211514534555</v>
      </c>
      <c r="H42" s="8" t="s">
        <v>247</v>
      </c>
      <c r="I42" s="8" t="s">
        <v>574</v>
      </c>
    </row>
    <row r="43" customFormat="false" ht="15" hidden="false" customHeight="false" outlineLevel="0" collapsed="false">
      <c r="A43" s="8" t="s">
        <v>575</v>
      </c>
      <c r="B43" s="8" t="s">
        <v>344</v>
      </c>
      <c r="C43" s="50" t="n">
        <f aca="false">IFERROR(Hist_Data!$C$48/Hist_Data!$C$8*365,"")</f>
        <v>116.814678284182</v>
      </c>
      <c r="D43" s="50" t="n">
        <f aca="false">IFERROR(Hist_Data!$D$48/Hist_Data!$D$8*365,"")</f>
        <v>160.828671887486</v>
      </c>
      <c r="E43" s="50" t="n">
        <f aca="false">IFERROR(Hist_Data!$E$48/Hist_Data!$E$8*365,"")</f>
        <v>224.559230769231</v>
      </c>
      <c r="F43" s="50" t="n">
        <f aca="false">IFERROR(Hist_Data!$F$48/Hist_Data!$F$8*365,"")</f>
        <v>252.383534443256</v>
      </c>
      <c r="G43" s="50" t="n">
        <f aca="false">IFERROR(Hist_Data!$G$48/Hist_Data!$G$8*365,"")</f>
        <v>230.74878273457</v>
      </c>
      <c r="H43" s="8" t="s">
        <v>247</v>
      </c>
      <c r="I43" s="8" t="s">
        <v>576</v>
      </c>
    </row>
    <row r="44" customFormat="false" ht="15" hidden="false" customHeight="false" outlineLevel="0" collapsed="false">
      <c r="A44" s="8" t="s">
        <v>577</v>
      </c>
      <c r="B44" s="8" t="s">
        <v>344</v>
      </c>
      <c r="C44" s="50" t="n">
        <f aca="false">IFERROR(Hist_Data!$C$54/Hist_Data!$C$8*365,"")</f>
        <v>34.9220844504021</v>
      </c>
      <c r="D44" s="50" t="n">
        <f aca="false">IFERROR(Hist_Data!$D$54/Hist_Data!$D$8*365,"")</f>
        <v>49.6428000639284</v>
      </c>
      <c r="E44" s="50" t="n">
        <f aca="false">IFERROR(Hist_Data!$E$54/Hist_Data!$E$8*365,"")</f>
        <v>45.0353846153846</v>
      </c>
      <c r="F44" s="50" t="n">
        <f aca="false">IFERROR(Hist_Data!$F$54/Hist_Data!$F$8*365,"")</f>
        <v>45.7155949289751</v>
      </c>
      <c r="G44" s="50" t="n">
        <f aca="false">IFERROR(Hist_Data!$G$54/Hist_Data!$G$8*365,"")</f>
        <v>36.3126727200947</v>
      </c>
      <c r="H44" s="8" t="s">
        <v>247</v>
      </c>
      <c r="I44" s="8" t="s">
        <v>578</v>
      </c>
    </row>
    <row r="45" customFormat="false" ht="15" hidden="false" customHeight="false" outlineLevel="0" collapsed="false">
      <c r="A45" s="7" t="s">
        <v>579</v>
      </c>
      <c r="B45" s="8" t="s">
        <v>344</v>
      </c>
      <c r="C45" s="50" t="n">
        <f aca="false">$C$42+$C$43-$C$44</f>
        <v>115.738265443026</v>
      </c>
      <c r="D45" s="50" t="n">
        <f aca="false">$D$42+$D$43-$D$44</f>
        <v>145.721272262942</v>
      </c>
      <c r="E45" s="50" t="n">
        <f aca="false">$E$42+$E$43-$E$44</f>
        <v>216.755137894242</v>
      </c>
      <c r="F45" s="50" t="n">
        <f aca="false">$F$42+$F$43-$F$44</f>
        <v>246.782701997498</v>
      </c>
      <c r="G45" s="50" t="n">
        <f aca="false">$G$42+$G$43-$G$44</f>
        <v>234.957261467931</v>
      </c>
      <c r="H45" s="8" t="s">
        <v>247</v>
      </c>
      <c r="I45" s="8" t="s">
        <v>580</v>
      </c>
    </row>
    <row r="46" customFormat="false" ht="15" hidden="false" customHeight="false" outlineLevel="0" collapsed="false">
      <c r="A46" s="8" t="s">
        <v>581</v>
      </c>
      <c r="B46" s="8" t="s">
        <v>259</v>
      </c>
      <c r="C46" s="30" t="n">
        <f aca="false">Hist_Data!$C$47+Hist_Data!$C$48+N(Hist_Data!$C$49)-Hist_Data!$C$54-N(Hist_Data!$C$57)</f>
        <v>2773</v>
      </c>
      <c r="D46" s="30" t="n">
        <f aca="false">Hist_Data!$D$47+Hist_Data!$D$48+N(Hist_Data!$D$49)-Hist_Data!$D$54-N(Hist_Data!$D$57)</f>
        <v>3457</v>
      </c>
      <c r="E46" s="30" t="n">
        <f aca="false">Hist_Data!$E$47+Hist_Data!$E$48+N(Hist_Data!$E$49)-Hist_Data!$E$54-N(Hist_Data!$E$57)</f>
        <v>4834</v>
      </c>
      <c r="F46" s="30" t="n">
        <f aca="false">Hist_Data!$F$47+Hist_Data!$F$48+N(Hist_Data!$F$49)-Hist_Data!$F$54-N(Hist_Data!$F$57)</f>
        <v>5551</v>
      </c>
      <c r="G46" s="30" t="n">
        <f aca="false">Hist_Data!$G$47+Hist_Data!$G$48+N(Hist_Data!$G$49)-Hist_Data!$G$54-N(Hist_Data!$G$57)</f>
        <v>7106</v>
      </c>
      <c r="H46" s="8" t="s">
        <v>247</v>
      </c>
      <c r="I46" s="8" t="s">
        <v>582</v>
      </c>
    </row>
    <row r="47" customFormat="false" ht="15" hidden="false" customHeight="false" outlineLevel="0" collapsed="false">
      <c r="A47" s="8" t="s">
        <v>583</v>
      </c>
      <c r="B47" s="8" t="s">
        <v>226</v>
      </c>
      <c r="C47" s="35" t="n">
        <f aca="false">IFERROR($C$46/Hist_Data!$C$7,"")</f>
        <v>0.151166593981683</v>
      </c>
      <c r="D47" s="35" t="n">
        <f aca="false">IFERROR($D$46/Hist_Data!$D$7,"")</f>
        <v>0.172608348312363</v>
      </c>
      <c r="E47" s="35" t="n">
        <f aca="false">IFERROR($E$46/Hist_Data!$E$7,"")</f>
        <v>0.275928991380787</v>
      </c>
      <c r="F47" s="35" t="n">
        <f aca="false">IFERROR($F$46/Hist_Data!$F$7,"")</f>
        <v>0.354900581804232</v>
      </c>
      <c r="G47" s="35" t="n">
        <f aca="false">IFERROR($G$46/Hist_Data!$G$7,"")</f>
        <v>0.401877615654338</v>
      </c>
      <c r="H47" s="8" t="s">
        <v>247</v>
      </c>
      <c r="I47" s="8" t="s">
        <v>584</v>
      </c>
    </row>
    <row r="48" customFormat="false" ht="15" hidden="false" customHeight="false" outlineLevel="0" collapsed="false">
      <c r="A48" s="8" t="s">
        <v>585</v>
      </c>
      <c r="B48" s="8" t="s">
        <v>563</v>
      </c>
      <c r="C48" s="49" t="n">
        <f aca="false">IFERROR(Hist_Data!$C$7/Hist_Data!$C$51,"")</f>
        <v>3.5681773973935</v>
      </c>
      <c r="D48" s="49" t="n">
        <f aca="false">IFERROR(Hist_Data!$D$7/Hist_Data!$D$51,"")</f>
        <v>2.91273996509599</v>
      </c>
      <c r="E48" s="49" t="n">
        <f aca="false">IFERROR(Hist_Data!$E$7/Hist_Data!$E$51,"")</f>
        <v>1.75207520752075</v>
      </c>
      <c r="F48" s="49" t="n">
        <f aca="false">IFERROR(Hist_Data!$F$7/Hist_Data!$F$51,"")</f>
        <v>1.37842601568697</v>
      </c>
      <c r="G48" s="49" t="n">
        <f aca="false">IFERROR(Hist_Data!$G$7/Hist_Data!$G$51,"")</f>
        <v>1.43522727272727</v>
      </c>
      <c r="H48" s="8" t="s">
        <v>247</v>
      </c>
      <c r="I48" s="8" t="s">
        <v>586</v>
      </c>
    </row>
    <row r="49" customFormat="false" ht="15" hidden="false" customHeight="false" outlineLevel="0" collapsed="false">
      <c r="A49" s="16" t="s">
        <v>587</v>
      </c>
      <c r="B49" s="17"/>
      <c r="C49" s="17"/>
      <c r="D49" s="17"/>
      <c r="E49" s="17"/>
      <c r="F49" s="17"/>
      <c r="G49" s="17"/>
      <c r="H49" s="17"/>
      <c r="I49" s="17"/>
    </row>
    <row r="50" customFormat="false" ht="15" hidden="false" customHeight="false" outlineLevel="0" collapsed="false">
      <c r="C50" s="51" t="s">
        <v>496</v>
      </c>
      <c r="D50" s="51" t="s">
        <v>497</v>
      </c>
      <c r="E50" s="51" t="s">
        <v>588</v>
      </c>
    </row>
    <row r="51" customFormat="false" ht="15" hidden="false" customHeight="false" outlineLevel="0" collapsed="false">
      <c r="A51" s="8" t="s">
        <v>22</v>
      </c>
      <c r="B51" s="8" t="s">
        <v>259</v>
      </c>
      <c r="C51" s="39" t="n">
        <f aca="false">Hist_Data!$C$68</f>
        <v>4448</v>
      </c>
      <c r="D51" s="39" t="n">
        <f aca="false">Hist_Data!$D$68</f>
        <v>5463</v>
      </c>
      <c r="E51" s="35" t="n">
        <f aca="false">IFERROR(D51/C51-1,"")</f>
        <v>0.228192446043165</v>
      </c>
      <c r="H51" s="8" t="s">
        <v>247</v>
      </c>
      <c r="I51" s="8" t="s">
        <v>589</v>
      </c>
    </row>
    <row r="52" customFormat="false" ht="15" hidden="false" customHeight="false" outlineLevel="0" collapsed="false">
      <c r="A52" s="8" t="s">
        <v>409</v>
      </c>
      <c r="B52" s="8" t="s">
        <v>259</v>
      </c>
      <c r="C52" s="39" t="n">
        <f aca="false">Hist_Data!$C$69</f>
        <v>3452</v>
      </c>
      <c r="D52" s="39" t="n">
        <f aca="false">Hist_Data!$D$69</f>
        <v>4365</v>
      </c>
      <c r="E52" s="35" t="n">
        <f aca="false">IFERROR(D52/C52-1,"")</f>
        <v>0.264484356894554</v>
      </c>
      <c r="H52" s="8" t="s">
        <v>247</v>
      </c>
      <c r="I52" s="8" t="s">
        <v>589</v>
      </c>
    </row>
    <row r="53" customFormat="false" ht="15" hidden="false" customHeight="false" outlineLevel="0" collapsed="false">
      <c r="A53" s="8" t="s">
        <v>413</v>
      </c>
      <c r="B53" s="8" t="s">
        <v>259</v>
      </c>
      <c r="C53" s="39" t="n">
        <f aca="false">Hist_Data!$C$70</f>
        <v>679</v>
      </c>
      <c r="D53" s="39" t="n">
        <f aca="false">Hist_Data!$D$70</f>
        <v>788</v>
      </c>
      <c r="E53" s="35" t="n">
        <f aca="false">IFERROR(D53/C53-1,"")</f>
        <v>0.160530191458027</v>
      </c>
      <c r="H53" s="8" t="s">
        <v>247</v>
      </c>
      <c r="I53" s="8" t="s">
        <v>589</v>
      </c>
    </row>
    <row r="54" customFormat="false" ht="15" hidden="false" customHeight="false" outlineLevel="0" collapsed="false">
      <c r="A54" s="8" t="s">
        <v>415</v>
      </c>
      <c r="B54" s="8" t="s">
        <v>259</v>
      </c>
      <c r="C54" s="39" t="n">
        <f aca="false">Hist_Data!$C$71</f>
        <v>317</v>
      </c>
      <c r="D54" s="39" t="n">
        <f aca="false">Hist_Data!$D$71</f>
        <v>310</v>
      </c>
      <c r="E54" s="35" t="n">
        <f aca="false">IFERROR(D54/C54-1,"")</f>
        <v>-0.0220820189274448</v>
      </c>
      <c r="H54" s="8" t="s">
        <v>247</v>
      </c>
      <c r="I54" s="8" t="s">
        <v>589</v>
      </c>
    </row>
    <row r="56" customFormat="false" ht="15" hidden="false" customHeight="false" outlineLevel="0" collapsed="false">
      <c r="A56" s="16" t="s">
        <v>590</v>
      </c>
      <c r="B56" s="17"/>
      <c r="C56" s="17"/>
      <c r="D56" s="17"/>
      <c r="E56" s="17"/>
      <c r="F56" s="17"/>
      <c r="G56" s="17"/>
      <c r="H56" s="17"/>
      <c r="I56" s="17"/>
    </row>
    <row r="57" customFormat="false" ht="15" hidden="false" customHeight="false" outlineLevel="0" collapsed="false">
      <c r="A57" s="7" t="s">
        <v>591</v>
      </c>
      <c r="C57" s="11" t="str">
        <f aca="false">"Net sales peaked in FY2022 at $"&amp;TEXT(Hist_Data!$D$7,"#,##0")&amp;"m and fell "&amp;TEXT(-(Hist_Data!$F$7/Hist_Data!$D$7-1),"0%")&amp;" by FY2024"&amp;", then grew "&amp;TEXT($G$8,"0.0%")&amp;" in FY2025."</f>
        <v>Net sales peaked in FY2022 at $20,028m and fell 22% by FY2024, then grew 13.0% in FY2025.</v>
      </c>
    </row>
    <row r="58" customFormat="false" ht="15" hidden="false" customHeight="false" outlineLevel="0" collapsed="false">
      <c r="A58" s="7" t="s">
        <v>592</v>
      </c>
      <c r="C58" s="11" t="str">
        <f aca="false">"Gross margin moved from "&amp;TEXT($D$9,"0.0%")&amp;" (FY2022) to "&amp;TEXT($F$9,"0.0%")&amp;" (FY2024): consistent with fixed factory cost spread over fewer units. The operating model simulates this effect."</f>
        <v>Gross margin moved from 68.8% (FY2022) to 58.1% (FY2024): consistent with fixed factory cost spread over fewer units. The operating model simulates this effect.</v>
      </c>
    </row>
    <row r="59" customFormat="false" ht="15" hidden="false" customHeight="false" outlineLevel="0" collapsed="false">
      <c r="A59" s="7" t="s">
        <v>593</v>
      </c>
      <c r="C59" s="11" t="str">
        <f aca="false">"Days of inventory were "&amp;TEXT($C$43,"0")&amp;" in FY2021 and "&amp;TEXT($G$43,"0")&amp;" in FY2025."</f>
        <v>Days of inventory were 117 in FY2021 and 231 in FY2025.</v>
      </c>
    </row>
    <row r="60" customFormat="false" ht="15" hidden="false" customHeight="false" outlineLevel="0" collapsed="false">
      <c r="A60" s="7" t="s">
        <v>34</v>
      </c>
      <c r="C60" s="11" t="str">
        <f aca="false">"Capex was "&amp;TEXT($C$37,"0.0%")&amp;" of sales in FY2021 and "&amp;TEXT($G$37,"0.0%")&amp;" in FY2025; capex / D&amp;A was "&amp;TEXT($G$40,"0.00x")&amp;" in FY2025."</f>
        <v>Capex was 13.4% of sales in FY2021 and 25.7% in FY2025; capex / D&amp;A was 2.37x in FY2025.</v>
      </c>
    </row>
    <row r="61" customFormat="false" ht="15" hidden="false" customHeight="false" outlineLevel="0" collapsed="false">
      <c r="A61" s="7" t="s">
        <v>594</v>
      </c>
      <c r="C61" s="11" t="str">
        <f aca="false">"Q2 FY2026 net sales changed "&amp;TEXT(E51,"+0%;-0%")&amp;" year over year."</f>
        <v>Q2 FY2026 net sales changed +23% year over year.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ED7D31"/>
    <pageSetUpPr fitToPage="true"/>
  </sheetPr>
  <dimension ref="A1:Q10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6" topLeftCell="C7" activePane="bottomRight" state="frozen"/>
      <selection pane="topLeft" activeCell="A1" activeCellId="0" sqref="A1"/>
      <selection pane="topRight" activeCell="C1" activeCellId="0" sqref="C1"/>
      <selection pane="bottomLeft" activeCell="A7" activeCellId="0" sqref="A7"/>
      <selection pane="bottomRight" activeCell="A1" activeCellId="0" sqref="A1"/>
    </sheetView>
  </sheetViews>
  <sheetFormatPr defaultColWidth="8.54296875" defaultRowHeight="15" customHeight="false" zeroHeight="false" outlineLevelRow="0" outlineLevelCol="0"/>
  <cols>
    <col collapsed="false" customWidth="true" hidden="false" outlineLevel="0" max="1" min="1" style="0" width="50"/>
    <col collapsed="false" customWidth="true" hidden="false" outlineLevel="0" max="2" min="2" style="0" width="12"/>
    <col collapsed="false" customWidth="true" hidden="false" outlineLevel="0" max="14" min="3" style="0" width="10"/>
    <col collapsed="false" customWidth="true" hidden="false" outlineLevel="0" max="15" min="15" style="0" width="12"/>
    <col collapsed="false" customWidth="true" hidden="false" outlineLevel="0" max="16" min="16" style="0" width="24"/>
    <col collapsed="false" customWidth="true" hidden="false" outlineLevel="0" max="17" min="17" style="0" width="66"/>
  </cols>
  <sheetData>
    <row r="1" customFormat="false" ht="19.7" hidden="false" customHeight="false" outlineLevel="0" collapsed="false">
      <c r="A1" s="14" t="s">
        <v>595</v>
      </c>
    </row>
    <row r="2" customFormat="false" ht="15" hidden="false" customHeight="false" outlineLevel="0" collapsed="false">
      <c r="A2" s="4" t="s">
        <v>596</v>
      </c>
    </row>
    <row r="3" customFormat="false" ht="15" hidden="false" customHeight="false" outlineLevel="0" collapsed="false">
      <c r="A3" s="15" t="s">
        <v>2</v>
      </c>
    </row>
    <row r="4" customFormat="false" ht="15" hidden="false" customHeight="false" outlineLevel="0" collapsed="false">
      <c r="A4" s="7" t="s">
        <v>597</v>
      </c>
      <c r="B4" s="52" t="str">
        <f aca="false">Assumptions!$C$6</f>
        <v>Base</v>
      </c>
    </row>
    <row r="6" customFormat="false" ht="15" hidden="false" customHeight="false" outlineLevel="0" collapsed="false">
      <c r="A6" s="18" t="s">
        <v>372</v>
      </c>
      <c r="B6" s="19" t="s">
        <v>220</v>
      </c>
      <c r="C6" s="53" t="n">
        <f aca="false">Assumptions!C$72</f>
        <v>46023</v>
      </c>
      <c r="D6" s="53" t="n">
        <f aca="false">Assumptions!D$72</f>
        <v>46054</v>
      </c>
      <c r="E6" s="53" t="n">
        <f aca="false">Assumptions!E$72</f>
        <v>46082</v>
      </c>
      <c r="F6" s="53" t="n">
        <f aca="false">Assumptions!F$72</f>
        <v>46113</v>
      </c>
      <c r="G6" s="53" t="n">
        <f aca="false">Assumptions!G$72</f>
        <v>46143</v>
      </c>
      <c r="H6" s="53" t="n">
        <f aca="false">Assumptions!H$72</f>
        <v>46174</v>
      </c>
      <c r="I6" s="53" t="n">
        <f aca="false">Assumptions!I$72</f>
        <v>46204</v>
      </c>
      <c r="J6" s="53" t="n">
        <f aca="false">Assumptions!J$72</f>
        <v>46235</v>
      </c>
      <c r="K6" s="53" t="n">
        <f aca="false">Assumptions!K$72</f>
        <v>46266</v>
      </c>
      <c r="L6" s="53" t="n">
        <f aca="false">Assumptions!L$72</f>
        <v>46296</v>
      </c>
      <c r="M6" s="53" t="n">
        <f aca="false">Assumptions!M$72</f>
        <v>46327</v>
      </c>
      <c r="N6" s="53" t="n">
        <f aca="false">Assumptions!N$72</f>
        <v>46357</v>
      </c>
      <c r="O6" s="19" t="s">
        <v>598</v>
      </c>
      <c r="P6" s="19" t="s">
        <v>99</v>
      </c>
      <c r="Q6" s="19" t="s">
        <v>599</v>
      </c>
    </row>
    <row r="7" customFormat="false" ht="15" hidden="false" customHeight="false" outlineLevel="0" collapsed="false">
      <c r="A7" s="16" t="s">
        <v>600</v>
      </c>
      <c r="B7" s="17"/>
      <c r="C7" s="17"/>
      <c r="D7" s="17"/>
      <c r="E7" s="17"/>
      <c r="F7" s="17"/>
      <c r="G7" s="17"/>
      <c r="H7" s="17"/>
      <c r="I7" s="17"/>
      <c r="J7" s="17"/>
      <c r="K7" s="17"/>
      <c r="L7" s="17"/>
      <c r="M7" s="17"/>
      <c r="N7" s="17"/>
      <c r="O7" s="17"/>
      <c r="P7" s="17"/>
      <c r="Q7" s="17"/>
    </row>
    <row r="8" customFormat="false" ht="15" hidden="false" customHeight="false" outlineLevel="0" collapsed="false">
      <c r="A8" s="8" t="s">
        <v>601</v>
      </c>
      <c r="B8" s="8" t="s">
        <v>563</v>
      </c>
      <c r="C8" s="54" t="n">
        <f aca="false">Assumptions!C$73</f>
        <v>0.94</v>
      </c>
      <c r="D8" s="54" t="n">
        <f aca="false">Assumptions!D$73</f>
        <v>0.96</v>
      </c>
      <c r="E8" s="54" t="n">
        <f aca="false">Assumptions!E$73</f>
        <v>1.02</v>
      </c>
      <c r="F8" s="54" t="n">
        <f aca="false">Assumptions!F$73</f>
        <v>0.99</v>
      </c>
      <c r="G8" s="54" t="n">
        <f aca="false">Assumptions!G$73</f>
        <v>1</v>
      </c>
      <c r="H8" s="54" t="n">
        <f aca="false">Assumptions!H$73</f>
        <v>1.03</v>
      </c>
      <c r="I8" s="54" t="n">
        <f aca="false">Assumptions!I$73</f>
        <v>1.02</v>
      </c>
      <c r="J8" s="54" t="n">
        <f aca="false">Assumptions!J$73</f>
        <v>1.03</v>
      </c>
      <c r="K8" s="54" t="n">
        <f aca="false">Assumptions!K$73</f>
        <v>1.05</v>
      </c>
      <c r="L8" s="54" t="n">
        <f aca="false">Assumptions!L$73</f>
        <v>1.02</v>
      </c>
      <c r="M8" s="54" t="n">
        <f aca="false">Assumptions!M$73</f>
        <v>0.98</v>
      </c>
      <c r="N8" s="54" t="n">
        <f aca="false">Assumptions!N$73</f>
        <v>0.96</v>
      </c>
      <c r="O8" s="55" t="n">
        <f aca="false">SUM(C8:N8)</f>
        <v>12</v>
      </c>
      <c r="P8" s="8" t="s">
        <v>602</v>
      </c>
      <c r="Q8" s="8" t="s">
        <v>603</v>
      </c>
    </row>
    <row r="9" customFormat="false" ht="15" hidden="false" customHeight="false" outlineLevel="0" collapsed="false">
      <c r="A9" s="8" t="s">
        <v>604</v>
      </c>
      <c r="B9" s="8" t="s">
        <v>300</v>
      </c>
      <c r="C9" s="34" t="n">
        <f aca="false">Assumptions!$C$63*C8/12</f>
        <v>64.0428815182901</v>
      </c>
      <c r="D9" s="34" t="n">
        <f aca="false">Assumptions!$C$63*D8/12</f>
        <v>65.4054960186793</v>
      </c>
      <c r="E9" s="34" t="n">
        <f aca="false">Assumptions!$C$63*E8/12</f>
        <v>69.4933395198467</v>
      </c>
      <c r="F9" s="34" t="n">
        <f aca="false">Assumptions!$C$63*F8/12</f>
        <v>67.449417769263</v>
      </c>
      <c r="G9" s="34" t="n">
        <f aca="false">Assumptions!$C$63*G8/12</f>
        <v>68.1307250194576</v>
      </c>
      <c r="H9" s="34" t="n">
        <f aca="false">Assumptions!$C$63*H8/12</f>
        <v>70.1746467700413</v>
      </c>
      <c r="I9" s="34" t="n">
        <f aca="false">Assumptions!$C$63*I8/12</f>
        <v>69.4933395198467</v>
      </c>
      <c r="J9" s="34" t="n">
        <f aca="false">Assumptions!$C$63*J8/12</f>
        <v>70.1746467700413</v>
      </c>
      <c r="K9" s="34" t="n">
        <f aca="false">Assumptions!$C$63*K8/12</f>
        <v>71.5372612704305</v>
      </c>
      <c r="L9" s="34" t="n">
        <f aca="false">Assumptions!$C$63*L8/12</f>
        <v>69.4933395198467</v>
      </c>
      <c r="M9" s="34" t="n">
        <f aca="false">Assumptions!$C$63*M8/12</f>
        <v>66.7681105190684</v>
      </c>
      <c r="N9" s="34" t="n">
        <f aca="false">Assumptions!$C$63*N8/12</f>
        <v>65.4054960186793</v>
      </c>
      <c r="O9" s="56" t="n">
        <f aca="false">SUM(C9:N9)</f>
        <v>817.568700233491</v>
      </c>
      <c r="P9" s="8" t="s">
        <v>602</v>
      </c>
      <c r="Q9" s="8" t="s">
        <v>605</v>
      </c>
    </row>
    <row r="10" customFormat="false" ht="15" hidden="false" customHeight="false" outlineLevel="0" collapsed="false">
      <c r="A10" s="8" t="s">
        <v>290</v>
      </c>
      <c r="B10" s="8" t="s">
        <v>300</v>
      </c>
      <c r="C10" s="34" t="n">
        <f aca="false">Assumptions!$C$47</f>
        <v>88</v>
      </c>
      <c r="D10" s="34" t="n">
        <f aca="false">Assumptions!$C$47</f>
        <v>88</v>
      </c>
      <c r="E10" s="34" t="n">
        <f aca="false">Assumptions!$C$47</f>
        <v>88</v>
      </c>
      <c r="F10" s="34" t="n">
        <f aca="false">Assumptions!$C$47</f>
        <v>88</v>
      </c>
      <c r="G10" s="34" t="n">
        <f aca="false">Assumptions!$C$47</f>
        <v>88</v>
      </c>
      <c r="H10" s="34" t="n">
        <f aca="false">Assumptions!$C$47</f>
        <v>88</v>
      </c>
      <c r="I10" s="34" t="n">
        <f aca="false">Assumptions!$C$47</f>
        <v>88</v>
      </c>
      <c r="J10" s="34" t="n">
        <f aca="false">Assumptions!$C$47</f>
        <v>88</v>
      </c>
      <c r="K10" s="34" t="n">
        <f aca="false">Assumptions!$C$47</f>
        <v>88</v>
      </c>
      <c r="L10" s="34" t="n">
        <f aca="false">Assumptions!$C$47</f>
        <v>88</v>
      </c>
      <c r="M10" s="34" t="n">
        <f aca="false">Assumptions!$C$47</f>
        <v>88</v>
      </c>
      <c r="N10" s="34" t="n">
        <f aca="false">Assumptions!$C$47</f>
        <v>88</v>
      </c>
      <c r="O10" s="56" t="n">
        <f aca="false">SUM(C10:N10)</f>
        <v>1056</v>
      </c>
      <c r="P10" s="8" t="s">
        <v>602</v>
      </c>
      <c r="Q10" s="8" t="s">
        <v>606</v>
      </c>
    </row>
    <row r="11" customFormat="false" ht="15" hidden="false" customHeight="false" outlineLevel="0" collapsed="false">
      <c r="A11" s="8" t="s">
        <v>607</v>
      </c>
      <c r="B11" s="8" t="s">
        <v>226</v>
      </c>
      <c r="C11" s="35" t="n">
        <f aca="false">Assumptions!$C$66</f>
        <v>0.78</v>
      </c>
      <c r="D11" s="35" t="n">
        <f aca="false">Assumptions!$C$66</f>
        <v>0.78</v>
      </c>
      <c r="E11" s="35" t="n">
        <f aca="false">Assumptions!$C$66</f>
        <v>0.78</v>
      </c>
      <c r="F11" s="35" t="n">
        <f aca="false">Assumptions!$C$66</f>
        <v>0.78</v>
      </c>
      <c r="G11" s="35" t="n">
        <f aca="false">Assumptions!$C$66</f>
        <v>0.78</v>
      </c>
      <c r="H11" s="35" t="n">
        <f aca="false">Assumptions!$C$66</f>
        <v>0.78</v>
      </c>
      <c r="I11" s="35" t="n">
        <f aca="false">Assumptions!$C$66</f>
        <v>0.78</v>
      </c>
      <c r="J11" s="35" t="n">
        <f aca="false">Assumptions!$C$66</f>
        <v>0.78</v>
      </c>
      <c r="K11" s="35" t="n">
        <f aca="false">Assumptions!$C$66</f>
        <v>0.78</v>
      </c>
      <c r="L11" s="35" t="n">
        <f aca="false">Assumptions!$C$66</f>
        <v>0.78</v>
      </c>
      <c r="M11" s="35" t="n">
        <f aca="false">Assumptions!$C$66</f>
        <v>0.78</v>
      </c>
      <c r="N11" s="35" t="n">
        <f aca="false">Assumptions!$C$66</f>
        <v>0.78</v>
      </c>
      <c r="O11" s="57" t="n">
        <f aca="false">IFERROR(O12/O10,0)</f>
        <v>0.78</v>
      </c>
      <c r="P11" s="8" t="s">
        <v>602</v>
      </c>
      <c r="Q11" s="8" t="s">
        <v>608</v>
      </c>
    </row>
    <row r="12" customFormat="false" ht="15" hidden="false" customHeight="false" outlineLevel="0" collapsed="false">
      <c r="A12" s="8" t="s">
        <v>302</v>
      </c>
      <c r="B12" s="8" t="s">
        <v>300</v>
      </c>
      <c r="C12" s="34" t="n">
        <f aca="false">C10*C11</f>
        <v>68.64</v>
      </c>
      <c r="D12" s="34" t="n">
        <f aca="false">D10*D11</f>
        <v>68.64</v>
      </c>
      <c r="E12" s="34" t="n">
        <f aca="false">E10*E11</f>
        <v>68.64</v>
      </c>
      <c r="F12" s="34" t="n">
        <f aca="false">F10*F11</f>
        <v>68.64</v>
      </c>
      <c r="G12" s="34" t="n">
        <f aca="false">G10*G11</f>
        <v>68.64</v>
      </c>
      <c r="H12" s="34" t="n">
        <f aca="false">H10*H11</f>
        <v>68.64</v>
      </c>
      <c r="I12" s="34" t="n">
        <f aca="false">I10*I11</f>
        <v>68.64</v>
      </c>
      <c r="J12" s="34" t="n">
        <f aca="false">J10*J11</f>
        <v>68.64</v>
      </c>
      <c r="K12" s="34" t="n">
        <f aca="false">K10*K11</f>
        <v>68.64</v>
      </c>
      <c r="L12" s="34" t="n">
        <f aca="false">L10*L11</f>
        <v>68.64</v>
      </c>
      <c r="M12" s="34" t="n">
        <f aca="false">M10*M11</f>
        <v>68.64</v>
      </c>
      <c r="N12" s="34" t="n">
        <f aca="false">N10*N11</f>
        <v>68.64</v>
      </c>
      <c r="O12" s="56" t="n">
        <f aca="false">SUM(C12:N12)</f>
        <v>823.68</v>
      </c>
      <c r="P12" s="8" t="s">
        <v>602</v>
      </c>
      <c r="Q12" s="8" t="s">
        <v>609</v>
      </c>
    </row>
    <row r="13" customFormat="false" ht="15" hidden="false" customHeight="false" outlineLevel="0" collapsed="false">
      <c r="A13" s="8" t="s">
        <v>610</v>
      </c>
      <c r="B13" s="8" t="s">
        <v>226</v>
      </c>
      <c r="C13" s="35" t="n">
        <f aca="false">Assumptions!$C$65</f>
        <v>0.95</v>
      </c>
      <c r="D13" s="35" t="n">
        <f aca="false">Assumptions!$C$65</f>
        <v>0.95</v>
      </c>
      <c r="E13" s="35" t="n">
        <f aca="false">Assumptions!$C$65</f>
        <v>0.95</v>
      </c>
      <c r="F13" s="35" t="n">
        <f aca="false">Assumptions!$C$65</f>
        <v>0.95</v>
      </c>
      <c r="G13" s="35" t="n">
        <f aca="false">Assumptions!$C$65</f>
        <v>0.95</v>
      </c>
      <c r="H13" s="35" t="n">
        <f aca="false">Assumptions!$C$65</f>
        <v>0.95</v>
      </c>
      <c r="I13" s="35" t="n">
        <f aca="false">Assumptions!$C$65</f>
        <v>0.95</v>
      </c>
      <c r="J13" s="35" t="n">
        <f aca="false">Assumptions!$C$65</f>
        <v>0.95</v>
      </c>
      <c r="K13" s="35" t="n">
        <f aca="false">Assumptions!$C$65</f>
        <v>0.95</v>
      </c>
      <c r="L13" s="35" t="n">
        <f aca="false">Assumptions!$C$65</f>
        <v>0.95</v>
      </c>
      <c r="M13" s="35" t="n">
        <f aca="false">Assumptions!$C$65</f>
        <v>0.95</v>
      </c>
      <c r="N13" s="35" t="n">
        <f aca="false">Assumptions!$C$65</f>
        <v>0.95</v>
      </c>
      <c r="O13" s="57" t="n">
        <f aca="false">IFERROR(O14/O12,0)</f>
        <v>0.95</v>
      </c>
      <c r="P13" s="8" t="s">
        <v>602</v>
      </c>
      <c r="Q13" s="8" t="s">
        <v>611</v>
      </c>
    </row>
    <row r="14" customFormat="false" ht="15" hidden="false" customHeight="false" outlineLevel="0" collapsed="false">
      <c r="A14" s="8" t="s">
        <v>612</v>
      </c>
      <c r="B14" s="8" t="s">
        <v>300</v>
      </c>
      <c r="C14" s="34" t="n">
        <f aca="false">C12*C13</f>
        <v>65.208</v>
      </c>
      <c r="D14" s="34" t="n">
        <f aca="false">D12*D13</f>
        <v>65.208</v>
      </c>
      <c r="E14" s="34" t="n">
        <f aca="false">E12*E13</f>
        <v>65.208</v>
      </c>
      <c r="F14" s="34" t="n">
        <f aca="false">F12*F13</f>
        <v>65.208</v>
      </c>
      <c r="G14" s="34" t="n">
        <f aca="false">G12*G13</f>
        <v>65.208</v>
      </c>
      <c r="H14" s="34" t="n">
        <f aca="false">H12*H13</f>
        <v>65.208</v>
      </c>
      <c r="I14" s="34" t="n">
        <f aca="false">I12*I13</f>
        <v>65.208</v>
      </c>
      <c r="J14" s="34" t="n">
        <f aca="false">J12*J13</f>
        <v>65.208</v>
      </c>
      <c r="K14" s="34" t="n">
        <f aca="false">K12*K13</f>
        <v>65.208</v>
      </c>
      <c r="L14" s="34" t="n">
        <f aca="false">L12*L13</f>
        <v>65.208</v>
      </c>
      <c r="M14" s="34" t="n">
        <f aca="false">M12*M13</f>
        <v>65.208</v>
      </c>
      <c r="N14" s="34" t="n">
        <f aca="false">N12*N13</f>
        <v>65.208</v>
      </c>
      <c r="O14" s="56" t="n">
        <f aca="false">SUM(C14:N14)</f>
        <v>782.496</v>
      </c>
      <c r="P14" s="8" t="s">
        <v>602</v>
      </c>
      <c r="Q14" s="8" t="s">
        <v>613</v>
      </c>
    </row>
    <row r="15" customFormat="false" ht="15" hidden="false" customHeight="false" outlineLevel="0" collapsed="false">
      <c r="A15" s="8" t="s">
        <v>357</v>
      </c>
      <c r="B15" s="8" t="s">
        <v>300</v>
      </c>
      <c r="C15" s="34" t="n">
        <f aca="false">Assumptions!$C$68</f>
        <v>58.2313889055193</v>
      </c>
      <c r="D15" s="34" t="n">
        <f aca="false">C18</f>
        <v>59.3965073872292</v>
      </c>
      <c r="E15" s="34" t="n">
        <f aca="false">D18</f>
        <v>59.1990113685499</v>
      </c>
      <c r="F15" s="34" t="n">
        <f aca="false">E18</f>
        <v>54.9136718487032</v>
      </c>
      <c r="G15" s="34" t="n">
        <f aca="false">F18</f>
        <v>52.6722540794402</v>
      </c>
      <c r="H15" s="34" t="n">
        <f aca="false">G18</f>
        <v>49.7495290599826</v>
      </c>
      <c r="I15" s="34" t="n">
        <f aca="false">H18</f>
        <v>44.7828822899413</v>
      </c>
      <c r="J15" s="34" t="n">
        <f aca="false">I18</f>
        <v>40.4975427700945</v>
      </c>
      <c r="K15" s="34" t="n">
        <f aca="false">J18</f>
        <v>35.5308960000532</v>
      </c>
      <c r="L15" s="34" t="n">
        <f aca="false">K18</f>
        <v>29.2016347296228</v>
      </c>
      <c r="M15" s="34" t="n">
        <f aca="false">L18</f>
        <v>24.916295209776</v>
      </c>
      <c r="N15" s="34" t="n">
        <f aca="false">M18</f>
        <v>23.3561846907076</v>
      </c>
      <c r="O15" s="56" t="n">
        <f aca="false">C15</f>
        <v>58.2313889055193</v>
      </c>
      <c r="P15" s="8" t="s">
        <v>602</v>
      </c>
      <c r="Q15" s="8" t="s">
        <v>614</v>
      </c>
    </row>
    <row r="16" customFormat="false" ht="15" hidden="false" customHeight="false" outlineLevel="0" collapsed="false">
      <c r="A16" s="8" t="s">
        <v>615</v>
      </c>
      <c r="B16" s="8" t="s">
        <v>300</v>
      </c>
      <c r="C16" s="34" t="n">
        <f aca="false">C15+C14</f>
        <v>123.439388905519</v>
      </c>
      <c r="D16" s="34" t="n">
        <f aca="false">D15+D14</f>
        <v>124.604507387229</v>
      </c>
      <c r="E16" s="34" t="n">
        <f aca="false">E15+E14</f>
        <v>124.40701136855</v>
      </c>
      <c r="F16" s="34" t="n">
        <f aca="false">F15+F14</f>
        <v>120.121671848703</v>
      </c>
      <c r="G16" s="34" t="n">
        <f aca="false">G15+G14</f>
        <v>117.88025407944</v>
      </c>
      <c r="H16" s="34" t="n">
        <f aca="false">H15+H14</f>
        <v>114.957529059983</v>
      </c>
      <c r="I16" s="34" t="n">
        <f aca="false">I15+I14</f>
        <v>109.990882289941</v>
      </c>
      <c r="J16" s="34" t="n">
        <f aca="false">J15+J14</f>
        <v>105.705542770095</v>
      </c>
      <c r="K16" s="34" t="n">
        <f aca="false">K15+K14</f>
        <v>100.738896000053</v>
      </c>
      <c r="L16" s="34" t="n">
        <f aca="false">L15+L14</f>
        <v>94.4096347296228</v>
      </c>
      <c r="M16" s="34" t="n">
        <f aca="false">M15+M14</f>
        <v>90.124295209776</v>
      </c>
      <c r="N16" s="34" t="n">
        <f aca="false">N15+N14</f>
        <v>88.5641846907076</v>
      </c>
      <c r="P16" s="8" t="s">
        <v>602</v>
      </c>
      <c r="Q16" s="8" t="s">
        <v>616</v>
      </c>
    </row>
    <row r="17" customFormat="false" ht="15" hidden="false" customHeight="false" outlineLevel="0" collapsed="false">
      <c r="A17" s="44" t="s">
        <v>299</v>
      </c>
      <c r="B17" s="45" t="s">
        <v>300</v>
      </c>
      <c r="C17" s="58" t="n">
        <f aca="false">MIN(C9,C16)</f>
        <v>64.0428815182901</v>
      </c>
      <c r="D17" s="58" t="n">
        <f aca="false">MIN(D9,D16)</f>
        <v>65.4054960186793</v>
      </c>
      <c r="E17" s="58" t="n">
        <f aca="false">MIN(E9,E16)</f>
        <v>69.4933395198467</v>
      </c>
      <c r="F17" s="58" t="n">
        <f aca="false">MIN(F9,F16)</f>
        <v>67.449417769263</v>
      </c>
      <c r="G17" s="58" t="n">
        <f aca="false">MIN(G9,G16)</f>
        <v>68.1307250194576</v>
      </c>
      <c r="H17" s="58" t="n">
        <f aca="false">MIN(H9,H16)</f>
        <v>70.1746467700413</v>
      </c>
      <c r="I17" s="58" t="n">
        <f aca="false">MIN(I9,I16)</f>
        <v>69.4933395198467</v>
      </c>
      <c r="J17" s="58" t="n">
        <f aca="false">MIN(J9,J16)</f>
        <v>70.1746467700413</v>
      </c>
      <c r="K17" s="58" t="n">
        <f aca="false">MIN(K9,K16)</f>
        <v>71.5372612704305</v>
      </c>
      <c r="L17" s="58" t="n">
        <f aca="false">MIN(L9,L16)</f>
        <v>69.4933395198467</v>
      </c>
      <c r="M17" s="58" t="n">
        <f aca="false">MIN(M9,M16)</f>
        <v>66.7681105190684</v>
      </c>
      <c r="N17" s="58" t="n">
        <f aca="false">MIN(N9,N16)</f>
        <v>65.4054960186793</v>
      </c>
      <c r="O17" s="59" t="n">
        <f aca="false">SUM(C17:N17)</f>
        <v>817.568700233491</v>
      </c>
      <c r="P17" s="8" t="s">
        <v>602</v>
      </c>
      <c r="Q17" s="8" t="s">
        <v>617</v>
      </c>
    </row>
    <row r="18" customFormat="false" ht="15" hidden="false" customHeight="false" outlineLevel="0" collapsed="false">
      <c r="A18" s="8" t="s">
        <v>618</v>
      </c>
      <c r="B18" s="8" t="s">
        <v>300</v>
      </c>
      <c r="C18" s="34" t="n">
        <f aca="false">C16-C17</f>
        <v>59.3965073872292</v>
      </c>
      <c r="D18" s="34" t="n">
        <f aca="false">D16-D17</f>
        <v>59.1990113685499</v>
      </c>
      <c r="E18" s="34" t="n">
        <f aca="false">E16-E17</f>
        <v>54.9136718487032</v>
      </c>
      <c r="F18" s="34" t="n">
        <f aca="false">F16-F17</f>
        <v>52.6722540794402</v>
      </c>
      <c r="G18" s="34" t="n">
        <f aca="false">G16-G17</f>
        <v>49.7495290599826</v>
      </c>
      <c r="H18" s="34" t="n">
        <f aca="false">H16-H17</f>
        <v>44.7828822899413</v>
      </c>
      <c r="I18" s="34" t="n">
        <f aca="false">I16-I17</f>
        <v>40.4975427700945</v>
      </c>
      <c r="J18" s="34" t="n">
        <f aca="false">J16-J17</f>
        <v>35.5308960000532</v>
      </c>
      <c r="K18" s="34" t="n">
        <f aca="false">K16-K17</f>
        <v>29.2016347296228</v>
      </c>
      <c r="L18" s="34" t="n">
        <f aca="false">L16-L17</f>
        <v>24.916295209776</v>
      </c>
      <c r="M18" s="34" t="n">
        <f aca="false">M16-M17</f>
        <v>23.3561846907076</v>
      </c>
      <c r="N18" s="34" t="n">
        <f aca="false">N16-N17</f>
        <v>23.1586886720283</v>
      </c>
      <c r="O18" s="56" t="n">
        <f aca="false">N18</f>
        <v>23.1586886720283</v>
      </c>
      <c r="P18" s="8" t="s">
        <v>602</v>
      </c>
      <c r="Q18" s="8" t="s">
        <v>619</v>
      </c>
    </row>
    <row r="19" customFormat="false" ht="15" hidden="false" customHeight="false" outlineLevel="0" collapsed="false">
      <c r="A19" s="8" t="s">
        <v>620</v>
      </c>
      <c r="B19" s="8" t="s">
        <v>300</v>
      </c>
      <c r="C19" s="34" t="n">
        <f aca="false">C9-C17</f>
        <v>0</v>
      </c>
      <c r="D19" s="34" t="n">
        <f aca="false">D9-D17</f>
        <v>0</v>
      </c>
      <c r="E19" s="34" t="n">
        <f aca="false">E9-E17</f>
        <v>0</v>
      </c>
      <c r="F19" s="34" t="n">
        <f aca="false">F9-F17</f>
        <v>0</v>
      </c>
      <c r="G19" s="34" t="n">
        <f aca="false">G9-G17</f>
        <v>0</v>
      </c>
      <c r="H19" s="34" t="n">
        <f aca="false">H9-H17</f>
        <v>0</v>
      </c>
      <c r="I19" s="34" t="n">
        <f aca="false">I9-I17</f>
        <v>0</v>
      </c>
      <c r="J19" s="34" t="n">
        <f aca="false">J9-J17</f>
        <v>0</v>
      </c>
      <c r="K19" s="34" t="n">
        <f aca="false">K9-K17</f>
        <v>0</v>
      </c>
      <c r="L19" s="34" t="n">
        <f aca="false">L9-L17</f>
        <v>0</v>
      </c>
      <c r="M19" s="34" t="n">
        <f aca="false">M9-M17</f>
        <v>0</v>
      </c>
      <c r="N19" s="34" t="n">
        <f aca="false">N9-N17</f>
        <v>0</v>
      </c>
      <c r="O19" s="56" t="n">
        <f aca="false">SUM(C19:N19)</f>
        <v>0</v>
      </c>
      <c r="P19" s="8" t="s">
        <v>602</v>
      </c>
      <c r="Q19" s="8" t="s">
        <v>621</v>
      </c>
    </row>
    <row r="20" customFormat="false" ht="15" hidden="false" customHeight="false" outlineLevel="0" collapsed="false">
      <c r="A20" s="8" t="s">
        <v>622</v>
      </c>
      <c r="B20" s="8" t="s">
        <v>563</v>
      </c>
      <c r="C20" s="54" t="n">
        <f aca="false">IFERROR(C9/(C10*C13),0)</f>
        <v>0.766063176056102</v>
      </c>
      <c r="D20" s="54" t="n">
        <f aca="false">IFERROR(D9/(D10*D13),0)</f>
        <v>0.782362392567934</v>
      </c>
      <c r="E20" s="54" t="n">
        <f aca="false">IFERROR(E9/(E10*E13),0)</f>
        <v>0.83126004210343</v>
      </c>
      <c r="F20" s="54" t="n">
        <f aca="false">IFERROR(F9/(F10*F13),0)</f>
        <v>0.806811217335682</v>
      </c>
      <c r="G20" s="54" t="n">
        <f aca="false">IFERROR(G9/(G10*G13),0)</f>
        <v>0.814960825591598</v>
      </c>
      <c r="H20" s="54" t="n">
        <f aca="false">IFERROR(H9/(H10*H13),0)</f>
        <v>0.839409650359346</v>
      </c>
      <c r="I20" s="54" t="n">
        <f aca="false">IFERROR(I9/(I10*I13),0)</f>
        <v>0.83126004210343</v>
      </c>
      <c r="J20" s="54" t="n">
        <f aca="false">IFERROR(J9/(J10*J13),0)</f>
        <v>0.839409650359346</v>
      </c>
      <c r="K20" s="54" t="n">
        <f aca="false">IFERROR(K9/(K10*K13),0)</f>
        <v>0.855708866871178</v>
      </c>
      <c r="L20" s="54" t="n">
        <f aca="false">IFERROR(L9/(L10*L13),0)</f>
        <v>0.83126004210343</v>
      </c>
      <c r="M20" s="54" t="n">
        <f aca="false">IFERROR(M9/(M10*M13),0)</f>
        <v>0.798661609079766</v>
      </c>
      <c r="N20" s="54" t="n">
        <f aca="false">IFERROR(N9/(N10*N13),0)</f>
        <v>0.782362392567934</v>
      </c>
      <c r="O20" s="55" t="n">
        <f aca="false">IFERROR(O9/(O10*O13),0)</f>
        <v>0.814960825591598</v>
      </c>
      <c r="P20" s="8" t="s">
        <v>602</v>
      </c>
      <c r="Q20" s="8" t="s">
        <v>623</v>
      </c>
    </row>
    <row r="21" customFormat="false" ht="15" hidden="false" customHeight="false" outlineLevel="0" collapsed="false">
      <c r="A21" s="8" t="s">
        <v>624</v>
      </c>
      <c r="B21" s="8" t="s">
        <v>281</v>
      </c>
      <c r="C21" s="36" t="n">
        <f aca="false">Assumptions!$C$64</f>
        <v>0.594</v>
      </c>
      <c r="D21" s="36" t="n">
        <f aca="false">Assumptions!$C$64</f>
        <v>0.594</v>
      </c>
      <c r="E21" s="36" t="n">
        <f aca="false">Assumptions!$C$64</f>
        <v>0.594</v>
      </c>
      <c r="F21" s="36" t="n">
        <f aca="false">Assumptions!$C$64</f>
        <v>0.594</v>
      </c>
      <c r="G21" s="36" t="n">
        <f aca="false">Assumptions!$C$64</f>
        <v>0.594</v>
      </c>
      <c r="H21" s="36" t="n">
        <f aca="false">Assumptions!$C$64</f>
        <v>0.594</v>
      </c>
      <c r="I21" s="36" t="n">
        <f aca="false">Assumptions!$C$64</f>
        <v>0.594</v>
      </c>
      <c r="J21" s="36" t="n">
        <f aca="false">Assumptions!$C$64</f>
        <v>0.594</v>
      </c>
      <c r="K21" s="36" t="n">
        <f aca="false">Assumptions!$C$64</f>
        <v>0.594</v>
      </c>
      <c r="L21" s="36" t="n">
        <f aca="false">Assumptions!$C$64</f>
        <v>0.594</v>
      </c>
      <c r="M21" s="36" t="n">
        <f aca="false">Assumptions!$C$64</f>
        <v>0.594</v>
      </c>
      <c r="N21" s="36" t="n">
        <f aca="false">Assumptions!$C$64</f>
        <v>0.594</v>
      </c>
      <c r="O21" s="60" t="n">
        <f aca="false">IFERROR(O22/O17,0)</f>
        <v>0.594</v>
      </c>
      <c r="P21" s="8" t="s">
        <v>602</v>
      </c>
      <c r="Q21" s="8" t="s">
        <v>625</v>
      </c>
    </row>
    <row r="22" customFormat="false" ht="15" hidden="false" customHeight="false" outlineLevel="0" collapsed="false">
      <c r="A22" s="44" t="s">
        <v>22</v>
      </c>
      <c r="B22" s="45" t="s">
        <v>259</v>
      </c>
      <c r="C22" s="61" t="n">
        <f aca="false">C17*C21</f>
        <v>38.0414716218643</v>
      </c>
      <c r="D22" s="61" t="n">
        <f aca="false">D17*D21</f>
        <v>38.8508646350955</v>
      </c>
      <c r="E22" s="61" t="n">
        <f aca="false">E17*E21</f>
        <v>41.279043674789</v>
      </c>
      <c r="F22" s="61" t="n">
        <f aca="false">F17*F21</f>
        <v>40.0649541549422</v>
      </c>
      <c r="G22" s="61" t="n">
        <f aca="false">G17*G21</f>
        <v>40.4696506615578</v>
      </c>
      <c r="H22" s="61" t="n">
        <f aca="false">H17*H21</f>
        <v>41.6837401814045</v>
      </c>
      <c r="I22" s="61" t="n">
        <f aca="false">I17*I21</f>
        <v>41.279043674789</v>
      </c>
      <c r="J22" s="61" t="n">
        <f aca="false">J17*J21</f>
        <v>41.6837401814045</v>
      </c>
      <c r="K22" s="61" t="n">
        <f aca="false">K17*K21</f>
        <v>42.4931331946357</v>
      </c>
      <c r="L22" s="61" t="n">
        <f aca="false">L17*L21</f>
        <v>41.279043674789</v>
      </c>
      <c r="M22" s="61" t="n">
        <f aca="false">M17*M21</f>
        <v>39.6602576483266</v>
      </c>
      <c r="N22" s="61" t="n">
        <f aca="false">N17*N21</f>
        <v>38.8508646350955</v>
      </c>
      <c r="O22" s="62" t="n">
        <f aca="false">SUM(C22:N22)</f>
        <v>485.635807938694</v>
      </c>
      <c r="P22" s="8" t="s">
        <v>602</v>
      </c>
      <c r="Q22" s="8" t="s">
        <v>626</v>
      </c>
    </row>
    <row r="23" customFormat="false" ht="15" hidden="false" customHeight="false" outlineLevel="0" collapsed="false">
      <c r="A23" s="8" t="s">
        <v>627</v>
      </c>
      <c r="B23" s="8" t="s">
        <v>281</v>
      </c>
      <c r="C23" s="36" t="n">
        <f aca="false">Assumptions!$C$67</f>
        <v>0.1442</v>
      </c>
      <c r="D23" s="36" t="n">
        <f aca="false">Assumptions!$C$67</f>
        <v>0.1442</v>
      </c>
      <c r="E23" s="36" t="n">
        <f aca="false">Assumptions!$C$67</f>
        <v>0.1442</v>
      </c>
      <c r="F23" s="36" t="n">
        <f aca="false">Assumptions!$C$67</f>
        <v>0.1442</v>
      </c>
      <c r="G23" s="36" t="n">
        <f aca="false">Assumptions!$C$67</f>
        <v>0.1442</v>
      </c>
      <c r="H23" s="36" t="n">
        <f aca="false">Assumptions!$C$67</f>
        <v>0.1442</v>
      </c>
      <c r="I23" s="36" t="n">
        <f aca="false">Assumptions!$C$67</f>
        <v>0.1442</v>
      </c>
      <c r="J23" s="36" t="n">
        <f aca="false">Assumptions!$C$67</f>
        <v>0.1442</v>
      </c>
      <c r="K23" s="36" t="n">
        <f aca="false">Assumptions!$C$67</f>
        <v>0.1442</v>
      </c>
      <c r="L23" s="36" t="n">
        <f aca="false">Assumptions!$C$67</f>
        <v>0.1442</v>
      </c>
      <c r="M23" s="36" t="n">
        <f aca="false">Assumptions!$C$67</f>
        <v>0.1442</v>
      </c>
      <c r="N23" s="36" t="n">
        <f aca="false">Assumptions!$C$67</f>
        <v>0.1442</v>
      </c>
      <c r="O23" s="60" t="n">
        <f aca="false">IFERROR(O24/O12,0)</f>
        <v>0.1442</v>
      </c>
      <c r="P23" s="8" t="s">
        <v>602</v>
      </c>
      <c r="Q23" s="8" t="s">
        <v>628</v>
      </c>
    </row>
    <row r="24" customFormat="false" ht="15" hidden="false" customHeight="false" outlineLevel="0" collapsed="false">
      <c r="A24" s="8" t="s">
        <v>306</v>
      </c>
      <c r="B24" s="8" t="s">
        <v>259</v>
      </c>
      <c r="C24" s="30" t="n">
        <f aca="false">C12*C23</f>
        <v>9.897888</v>
      </c>
      <c r="D24" s="30" t="n">
        <f aca="false">D12*D23</f>
        <v>9.897888</v>
      </c>
      <c r="E24" s="30" t="n">
        <f aca="false">E12*E23</f>
        <v>9.897888</v>
      </c>
      <c r="F24" s="30" t="n">
        <f aca="false">F12*F23</f>
        <v>9.897888</v>
      </c>
      <c r="G24" s="30" t="n">
        <f aca="false">G12*G23</f>
        <v>9.897888</v>
      </c>
      <c r="H24" s="30" t="n">
        <f aca="false">H12*H23</f>
        <v>9.897888</v>
      </c>
      <c r="I24" s="30" t="n">
        <f aca="false">I12*I23</f>
        <v>9.897888</v>
      </c>
      <c r="J24" s="30" t="n">
        <f aca="false">J12*J23</f>
        <v>9.897888</v>
      </c>
      <c r="K24" s="30" t="n">
        <f aca="false">K12*K23</f>
        <v>9.897888</v>
      </c>
      <c r="L24" s="30" t="n">
        <f aca="false">L12*L23</f>
        <v>9.897888</v>
      </c>
      <c r="M24" s="30" t="n">
        <f aca="false">M12*M23</f>
        <v>9.897888</v>
      </c>
      <c r="N24" s="30" t="n">
        <f aca="false">N12*N23</f>
        <v>9.897888</v>
      </c>
      <c r="O24" s="42" t="n">
        <f aca="false">SUM(C24:N24)</f>
        <v>118.774656</v>
      </c>
      <c r="P24" s="8" t="s">
        <v>602</v>
      </c>
      <c r="Q24" s="8" t="s">
        <v>307</v>
      </c>
    </row>
    <row r="25" customFormat="false" ht="15" hidden="false" customHeight="false" outlineLevel="0" collapsed="false">
      <c r="A25" s="8" t="s">
        <v>308</v>
      </c>
      <c r="B25" s="8" t="s">
        <v>259</v>
      </c>
      <c r="C25" s="30" t="n">
        <f aca="false">Assumptions!$C$46</f>
        <v>5.8</v>
      </c>
      <c r="D25" s="30" t="n">
        <f aca="false">Assumptions!$C$46</f>
        <v>5.8</v>
      </c>
      <c r="E25" s="30" t="n">
        <f aca="false">Assumptions!$C$46</f>
        <v>5.8</v>
      </c>
      <c r="F25" s="30" t="n">
        <f aca="false">Assumptions!$C$46</f>
        <v>5.8</v>
      </c>
      <c r="G25" s="30" t="n">
        <f aca="false">Assumptions!$C$46</f>
        <v>5.8</v>
      </c>
      <c r="H25" s="30" t="n">
        <f aca="false">Assumptions!$C$46</f>
        <v>5.8</v>
      </c>
      <c r="I25" s="30" t="n">
        <f aca="false">Assumptions!$C$46</f>
        <v>5.8</v>
      </c>
      <c r="J25" s="30" t="n">
        <f aca="false">Assumptions!$C$46</f>
        <v>5.8</v>
      </c>
      <c r="K25" s="30" t="n">
        <f aca="false">Assumptions!$C$46</f>
        <v>5.8</v>
      </c>
      <c r="L25" s="30" t="n">
        <f aca="false">Assumptions!$C$46</f>
        <v>5.8</v>
      </c>
      <c r="M25" s="30" t="n">
        <f aca="false">Assumptions!$C$46</f>
        <v>5.8</v>
      </c>
      <c r="N25" s="30" t="n">
        <f aca="false">Assumptions!$C$46</f>
        <v>5.8</v>
      </c>
      <c r="O25" s="42" t="n">
        <f aca="false">SUM(C25:N25)</f>
        <v>69.6</v>
      </c>
      <c r="P25" s="8" t="s">
        <v>602</v>
      </c>
      <c r="Q25" s="8" t="s">
        <v>629</v>
      </c>
    </row>
    <row r="26" customFormat="false" ht="15" hidden="false" customHeight="false" outlineLevel="0" collapsed="false">
      <c r="A26" s="8" t="s">
        <v>630</v>
      </c>
      <c r="B26" s="8" t="s">
        <v>259</v>
      </c>
      <c r="C26" s="30" t="n">
        <f aca="false">C24+C25</f>
        <v>15.697888</v>
      </c>
      <c r="D26" s="30" t="n">
        <f aca="false">D24+D25</f>
        <v>15.697888</v>
      </c>
      <c r="E26" s="30" t="n">
        <f aca="false">E24+E25</f>
        <v>15.697888</v>
      </c>
      <c r="F26" s="30" t="n">
        <f aca="false">F24+F25</f>
        <v>15.697888</v>
      </c>
      <c r="G26" s="30" t="n">
        <f aca="false">G24+G25</f>
        <v>15.697888</v>
      </c>
      <c r="H26" s="30" t="n">
        <f aca="false">H24+H25</f>
        <v>15.697888</v>
      </c>
      <c r="I26" s="30" t="n">
        <f aca="false">I24+I25</f>
        <v>15.697888</v>
      </c>
      <c r="J26" s="30" t="n">
        <f aca="false">J24+J25</f>
        <v>15.697888</v>
      </c>
      <c r="K26" s="30" t="n">
        <f aca="false">K24+K25</f>
        <v>15.697888</v>
      </c>
      <c r="L26" s="30" t="n">
        <f aca="false">L24+L25</f>
        <v>15.697888</v>
      </c>
      <c r="M26" s="30" t="n">
        <f aca="false">M24+M25</f>
        <v>15.697888</v>
      </c>
      <c r="N26" s="30" t="n">
        <f aca="false">N24+N25</f>
        <v>15.697888</v>
      </c>
      <c r="O26" s="42" t="n">
        <f aca="false">SUM(C26:N26)</f>
        <v>188.374656</v>
      </c>
      <c r="P26" s="8" t="s">
        <v>602</v>
      </c>
      <c r="Q26" s="8" t="s">
        <v>311</v>
      </c>
    </row>
    <row r="27" customFormat="false" ht="15" hidden="false" customHeight="false" outlineLevel="0" collapsed="false">
      <c r="A27" s="8" t="s">
        <v>316</v>
      </c>
      <c r="B27" s="8" t="s">
        <v>281</v>
      </c>
      <c r="C27" s="36" t="n">
        <f aca="false">IFERROR(C26/C14,0)</f>
        <v>0.240735615261931</v>
      </c>
      <c r="D27" s="36" t="n">
        <f aca="false">IFERROR(D26/D14,0)</f>
        <v>0.240735615261931</v>
      </c>
      <c r="E27" s="36" t="n">
        <f aca="false">IFERROR(E26/E14,0)</f>
        <v>0.240735615261931</v>
      </c>
      <c r="F27" s="36" t="n">
        <f aca="false">IFERROR(F26/F14,0)</f>
        <v>0.240735615261931</v>
      </c>
      <c r="G27" s="36" t="n">
        <f aca="false">IFERROR(G26/G14,0)</f>
        <v>0.240735615261931</v>
      </c>
      <c r="H27" s="36" t="n">
        <f aca="false">IFERROR(H26/H14,0)</f>
        <v>0.240735615261931</v>
      </c>
      <c r="I27" s="36" t="n">
        <f aca="false">IFERROR(I26/I14,0)</f>
        <v>0.240735615261931</v>
      </c>
      <c r="J27" s="36" t="n">
        <f aca="false">IFERROR(J26/J14,0)</f>
        <v>0.240735615261931</v>
      </c>
      <c r="K27" s="36" t="n">
        <f aca="false">IFERROR(K26/K14,0)</f>
        <v>0.240735615261931</v>
      </c>
      <c r="L27" s="36" t="n">
        <f aca="false">IFERROR(L26/L14,0)</f>
        <v>0.240735615261931</v>
      </c>
      <c r="M27" s="36" t="n">
        <f aca="false">IFERROR(M26/M14,0)</f>
        <v>0.240735615261931</v>
      </c>
      <c r="N27" s="36" t="n">
        <f aca="false">IFERROR(N26/N14,0)</f>
        <v>0.240735615261931</v>
      </c>
      <c r="O27" s="60" t="n">
        <f aca="false">IFERROR(O26/O14,0)</f>
        <v>0.240735615261931</v>
      </c>
      <c r="P27" s="8" t="s">
        <v>602</v>
      </c>
      <c r="Q27" s="8" t="s">
        <v>631</v>
      </c>
    </row>
    <row r="28" customFormat="false" ht="15" hidden="false" customHeight="false" outlineLevel="0" collapsed="false">
      <c r="A28" s="8" t="s">
        <v>632</v>
      </c>
      <c r="B28" s="8" t="s">
        <v>259</v>
      </c>
      <c r="C28" s="30" t="n">
        <f aca="false">Assumptions!$C$69</f>
        <v>14.3814678387081</v>
      </c>
      <c r="D28" s="30" t="n">
        <f aca="false">C31</f>
        <v>14.4735703661365</v>
      </c>
      <c r="E28" s="30" t="n">
        <f aca="false">D31</f>
        <v>14.334316986399</v>
      </c>
      <c r="F28" s="30" t="n">
        <f aca="false">E31</f>
        <v>13.2563159533709</v>
      </c>
      <c r="G28" s="30" t="n">
        <f aca="false">F31</f>
        <v>12.6961535235771</v>
      </c>
      <c r="H28" s="30" t="n">
        <f aca="false">G31</f>
        <v>11.9832639057225</v>
      </c>
      <c r="I28" s="30" t="n">
        <f aca="false">H31</f>
        <v>10.7834761027017</v>
      </c>
      <c r="J28" s="30" t="n">
        <f aca="false">I31</f>
        <v>9.75017340557946</v>
      </c>
      <c r="K28" s="30" t="n">
        <f aca="false">J31</f>
        <v>8.55387900681042</v>
      </c>
      <c r="L28" s="30" t="n">
        <f aca="false">K31</f>
        <v>7.02996826251124</v>
      </c>
      <c r="M28" s="30" t="n">
        <f aca="false">L31</f>
        <v>5.99826466593034</v>
      </c>
      <c r="N28" s="30" t="n">
        <f aca="false">M31</f>
        <v>5.62267197278775</v>
      </c>
      <c r="O28" s="42" t="n">
        <f aca="false">C28</f>
        <v>14.3814678387081</v>
      </c>
      <c r="P28" s="8" t="s">
        <v>602</v>
      </c>
      <c r="Q28" s="8" t="s">
        <v>633</v>
      </c>
    </row>
    <row r="29" customFormat="false" ht="15" hidden="false" customHeight="false" outlineLevel="0" collapsed="false">
      <c r="A29" s="8" t="s">
        <v>634</v>
      </c>
      <c r="B29" s="8" t="s">
        <v>281</v>
      </c>
      <c r="C29" s="36" t="n">
        <f aca="false">IFERROR((C28+C26)/C16,0)</f>
        <v>0.24367712855198</v>
      </c>
      <c r="D29" s="36" t="n">
        <f aca="false">IFERROR((D28+D26)/D16,0)</f>
        <v>0.24213777654426</v>
      </c>
      <c r="E29" s="36" t="n">
        <f aca="false">IFERROR((E28+E26)/E16,0)</f>
        <v>0.241402832975627</v>
      </c>
      <c r="F29" s="36" t="n">
        <f aca="false">IFERROR((F28+F26)/F16,0)</f>
        <v>0.241040634115046</v>
      </c>
      <c r="G29" s="36" t="n">
        <f aca="false">IFERROR((G28+G26)/G16,0)</f>
        <v>0.240871906370699</v>
      </c>
      <c r="H29" s="36" t="n">
        <f aca="false">IFERROR((H28+H26)/H16,0)</f>
        <v>0.240794597205364</v>
      </c>
      <c r="I29" s="36" t="n">
        <f aca="false">IFERROR((I28+I26)/I16,0)</f>
        <v>0.24075962981091</v>
      </c>
      <c r="J29" s="36" t="n">
        <f aca="false">IFERROR((J28+J26)/J16,0)</f>
        <v>0.240744815633065</v>
      </c>
      <c r="K29" s="36" t="n">
        <f aca="false">IFERROR((K28+K26)/K16,0)</f>
        <v>0.240738860259076</v>
      </c>
      <c r="L29" s="36" t="n">
        <f aca="false">IFERROR((L28+L26)/L16,0)</f>
        <v>0.240736618964801</v>
      </c>
      <c r="M29" s="36" t="n">
        <f aca="false">IFERROR((M28+M26)/M16,0)</f>
        <v>0.240735892751558</v>
      </c>
      <c r="N29" s="36" t="n">
        <f aca="false">IFERROR((N28+N26)/N16,0)</f>
        <v>0.240735688441614</v>
      </c>
      <c r="P29" s="8" t="s">
        <v>602</v>
      </c>
      <c r="Q29" s="8" t="s">
        <v>635</v>
      </c>
    </row>
    <row r="30" customFormat="false" ht="15" hidden="false" customHeight="false" outlineLevel="0" collapsed="false">
      <c r="A30" s="8" t="s">
        <v>310</v>
      </c>
      <c r="B30" s="8" t="s">
        <v>259</v>
      </c>
      <c r="C30" s="30" t="n">
        <f aca="false">C17*C29</f>
        <v>15.6057854725716</v>
      </c>
      <c r="D30" s="30" t="n">
        <f aca="false">D17*D29</f>
        <v>15.8371413797374</v>
      </c>
      <c r="E30" s="30" t="n">
        <f aca="false">E17*E29</f>
        <v>16.7758890330281</v>
      </c>
      <c r="F30" s="30" t="n">
        <f aca="false">F17*F29</f>
        <v>16.2580504297938</v>
      </c>
      <c r="G30" s="30" t="n">
        <f aca="false">G17*G29</f>
        <v>16.4107776178546</v>
      </c>
      <c r="H30" s="30" t="n">
        <f aca="false">H17*H29</f>
        <v>16.8976758030208</v>
      </c>
      <c r="I30" s="30" t="n">
        <f aca="false">I17*I29</f>
        <v>16.7311906971222</v>
      </c>
      <c r="J30" s="30" t="n">
        <f aca="false">J17*J29</f>
        <v>16.894182398769</v>
      </c>
      <c r="K30" s="30" t="n">
        <f aca="false">K17*K29</f>
        <v>17.2217987442992</v>
      </c>
      <c r="L30" s="30" t="n">
        <f aca="false">L17*L29</f>
        <v>16.7295915965809</v>
      </c>
      <c r="M30" s="30" t="n">
        <f aca="false">M17*M29</f>
        <v>16.0734806931426</v>
      </c>
      <c r="N30" s="30" t="n">
        <f aca="false">N17*N29</f>
        <v>15.745437111922</v>
      </c>
      <c r="O30" s="42" t="n">
        <f aca="false">SUM(C30:N30)</f>
        <v>197.181000977842</v>
      </c>
      <c r="P30" s="8" t="s">
        <v>602</v>
      </c>
      <c r="Q30" s="8" t="s">
        <v>636</v>
      </c>
    </row>
    <row r="31" customFormat="false" ht="15" hidden="false" customHeight="false" outlineLevel="0" collapsed="false">
      <c r="A31" s="8" t="s">
        <v>637</v>
      </c>
      <c r="B31" s="8" t="s">
        <v>259</v>
      </c>
      <c r="C31" s="30" t="n">
        <f aca="false">C28+C26-C30</f>
        <v>14.4735703661365</v>
      </c>
      <c r="D31" s="30" t="n">
        <f aca="false">D28+D26-D30</f>
        <v>14.334316986399</v>
      </c>
      <c r="E31" s="30" t="n">
        <f aca="false">E28+E26-E30</f>
        <v>13.2563159533709</v>
      </c>
      <c r="F31" s="30" t="n">
        <f aca="false">F28+F26-F30</f>
        <v>12.6961535235771</v>
      </c>
      <c r="G31" s="30" t="n">
        <f aca="false">G28+G26-G30</f>
        <v>11.9832639057225</v>
      </c>
      <c r="H31" s="30" t="n">
        <f aca="false">H28+H26-H30</f>
        <v>10.7834761027017</v>
      </c>
      <c r="I31" s="30" t="n">
        <f aca="false">I28+I26-I30</f>
        <v>9.75017340557946</v>
      </c>
      <c r="J31" s="30" t="n">
        <f aca="false">J28+J26-J30</f>
        <v>8.55387900681042</v>
      </c>
      <c r="K31" s="30" t="n">
        <f aca="false">K28+K26-K30</f>
        <v>7.02996826251124</v>
      </c>
      <c r="L31" s="30" t="n">
        <f aca="false">L28+L26-L30</f>
        <v>5.99826466593034</v>
      </c>
      <c r="M31" s="30" t="n">
        <f aca="false">M28+M26-M30</f>
        <v>5.62267197278775</v>
      </c>
      <c r="N31" s="30" t="n">
        <f aca="false">N28+N26-N30</f>
        <v>5.57512286086575</v>
      </c>
      <c r="O31" s="42" t="n">
        <f aca="false">N31</f>
        <v>5.57512286086575</v>
      </c>
      <c r="P31" s="8" t="s">
        <v>602</v>
      </c>
      <c r="Q31" s="8" t="s">
        <v>638</v>
      </c>
    </row>
    <row r="32" customFormat="false" ht="15" hidden="false" customHeight="false" outlineLevel="0" collapsed="false">
      <c r="A32" s="8" t="s">
        <v>639</v>
      </c>
      <c r="B32" s="8" t="s">
        <v>259</v>
      </c>
      <c r="C32" s="30" t="n">
        <f aca="false">C22-C17*IFERROR(C23/C13,0)</f>
        <v>28.3204363429828</v>
      </c>
      <c r="D32" s="30" t="n">
        <f aca="false">D22-D17*IFERROR(D23/D13,0)</f>
        <v>28.9229988183654</v>
      </c>
      <c r="E32" s="30" t="n">
        <f aca="false">E22-E17*IFERROR(E23/E13,0)</f>
        <v>30.7306862445133</v>
      </c>
      <c r="F32" s="30" t="n">
        <f aca="false">F22-F17*IFERROR(F23/F13,0)</f>
        <v>29.8268425314394</v>
      </c>
      <c r="G32" s="30" t="n">
        <f aca="false">G22-G17*IFERROR(G23/G13,0)</f>
        <v>30.1281237691307</v>
      </c>
      <c r="H32" s="30" t="n">
        <f aca="false">H22-H17*IFERROR(H23/H13,0)</f>
        <v>31.0319674822046</v>
      </c>
      <c r="I32" s="30" t="n">
        <f aca="false">I22-I17*IFERROR(I23/I13,0)</f>
        <v>30.7306862445133</v>
      </c>
      <c r="J32" s="30" t="n">
        <f aca="false">J22-J17*IFERROR(J23/J13,0)</f>
        <v>31.0319674822046</v>
      </c>
      <c r="K32" s="30" t="n">
        <f aca="false">K22-K17*IFERROR(K23/K13,0)</f>
        <v>31.6345299575872</v>
      </c>
      <c r="L32" s="30" t="n">
        <f aca="false">L22-L17*IFERROR(L23/L13,0)</f>
        <v>30.7306862445133</v>
      </c>
      <c r="M32" s="30" t="n">
        <f aca="false">M22-M17*IFERROR(M23/M13,0)</f>
        <v>29.525561293748</v>
      </c>
      <c r="N32" s="30" t="n">
        <f aca="false">N22-N17*IFERROR(N23/N13,0)</f>
        <v>28.9229988183654</v>
      </c>
      <c r="O32" s="42" t="n">
        <f aca="false">SUM(C32:N32)</f>
        <v>361.537485229568</v>
      </c>
      <c r="P32" s="8" t="s">
        <v>602</v>
      </c>
      <c r="Q32" s="8" t="s">
        <v>640</v>
      </c>
    </row>
    <row r="33" customFormat="false" ht="15" hidden="false" customHeight="false" outlineLevel="0" collapsed="false">
      <c r="A33" s="8" t="s">
        <v>641</v>
      </c>
      <c r="B33" s="8" t="s">
        <v>226</v>
      </c>
      <c r="C33" s="35" t="n">
        <f aca="false">IFERROR(C32/C22,0)</f>
        <v>0.744462165514797</v>
      </c>
      <c r="D33" s="35" t="n">
        <f aca="false">IFERROR(D32/D22,0)</f>
        <v>0.744462165514797</v>
      </c>
      <c r="E33" s="35" t="n">
        <f aca="false">IFERROR(E32/E22,0)</f>
        <v>0.744462165514797</v>
      </c>
      <c r="F33" s="35" t="n">
        <f aca="false">IFERROR(F32/F22,0)</f>
        <v>0.744462165514797</v>
      </c>
      <c r="G33" s="35" t="n">
        <f aca="false">IFERROR(G32/G22,0)</f>
        <v>0.744462165514797</v>
      </c>
      <c r="H33" s="35" t="n">
        <f aca="false">IFERROR(H32/H22,0)</f>
        <v>0.744462165514797</v>
      </c>
      <c r="I33" s="35" t="n">
        <f aca="false">IFERROR(I32/I22,0)</f>
        <v>0.744462165514797</v>
      </c>
      <c r="J33" s="35" t="n">
        <f aca="false">IFERROR(J32/J22,0)</f>
        <v>0.744462165514797</v>
      </c>
      <c r="K33" s="35" t="n">
        <f aca="false">IFERROR(K32/K22,0)</f>
        <v>0.744462165514797</v>
      </c>
      <c r="L33" s="35" t="n">
        <f aca="false">IFERROR(L32/L22,0)</f>
        <v>0.744462165514797</v>
      </c>
      <c r="M33" s="35" t="n">
        <f aca="false">IFERROR(M32/M22,0)</f>
        <v>0.744462165514797</v>
      </c>
      <c r="N33" s="35" t="n">
        <f aca="false">IFERROR(N32/N22,0)</f>
        <v>0.744462165514797</v>
      </c>
      <c r="O33" s="57" t="n">
        <f aca="false">IFERROR(O32/O22,0)</f>
        <v>0.744462165514797</v>
      </c>
      <c r="P33" s="8" t="s">
        <v>602</v>
      </c>
      <c r="Q33" s="8" t="s">
        <v>642</v>
      </c>
    </row>
    <row r="34" customFormat="false" ht="15" hidden="false" customHeight="false" outlineLevel="0" collapsed="false">
      <c r="A34" s="44" t="s">
        <v>312</v>
      </c>
      <c r="B34" s="45" t="s">
        <v>259</v>
      </c>
      <c r="C34" s="61" t="n">
        <f aca="false">C22-C30</f>
        <v>22.4356861492927</v>
      </c>
      <c r="D34" s="61" t="n">
        <f aca="false">D22-D30</f>
        <v>23.013723255358</v>
      </c>
      <c r="E34" s="61" t="n">
        <f aca="false">E22-E30</f>
        <v>24.5031546417608</v>
      </c>
      <c r="F34" s="61" t="n">
        <f aca="false">F22-F30</f>
        <v>23.8069037251484</v>
      </c>
      <c r="G34" s="61" t="n">
        <f aca="false">G22-G30</f>
        <v>24.0588730437032</v>
      </c>
      <c r="H34" s="61" t="n">
        <f aca="false">H22-H30</f>
        <v>24.7860643783837</v>
      </c>
      <c r="I34" s="61" t="n">
        <f aca="false">I22-I30</f>
        <v>24.5478529776668</v>
      </c>
      <c r="J34" s="61" t="n">
        <f aca="false">J22-J30</f>
        <v>24.7895577826355</v>
      </c>
      <c r="K34" s="61" t="n">
        <f aca="false">K22-K30</f>
        <v>25.2713344503365</v>
      </c>
      <c r="L34" s="61" t="n">
        <f aca="false">L22-L30</f>
        <v>24.5494520782081</v>
      </c>
      <c r="M34" s="61" t="n">
        <f aca="false">M22-M30</f>
        <v>23.586776955184</v>
      </c>
      <c r="N34" s="61" t="n">
        <f aca="false">N22-N30</f>
        <v>23.1054275231735</v>
      </c>
      <c r="O34" s="62" t="n">
        <f aca="false">SUM(C34:N34)</f>
        <v>288.454806960851</v>
      </c>
      <c r="P34" s="8" t="s">
        <v>602</v>
      </c>
      <c r="Q34" s="8" t="s">
        <v>313</v>
      </c>
    </row>
    <row r="35" customFormat="false" ht="15" hidden="false" customHeight="false" outlineLevel="0" collapsed="false">
      <c r="A35" s="8" t="s">
        <v>643</v>
      </c>
      <c r="B35" s="8" t="s">
        <v>226</v>
      </c>
      <c r="C35" s="35" t="n">
        <f aca="false">IFERROR(C34/C22,0)</f>
        <v>0.589769143851885</v>
      </c>
      <c r="D35" s="35" t="n">
        <f aca="false">IFERROR(D34/D22,0)</f>
        <v>0.592360645548384</v>
      </c>
      <c r="E35" s="35" t="n">
        <f aca="false">IFERROR(E34/E22,0)</f>
        <v>0.593597924283455</v>
      </c>
      <c r="F35" s="35" t="n">
        <f aca="false">IFERROR(F34/F22,0)</f>
        <v>0.594207686675006</v>
      </c>
      <c r="G35" s="35" t="n">
        <f aca="false">IFERROR(G34/G22,0)</f>
        <v>0.594491740116669</v>
      </c>
      <c r="H35" s="35" t="n">
        <f aca="false">IFERROR(H34/H22,0)</f>
        <v>0.594621890226659</v>
      </c>
      <c r="I35" s="35" t="n">
        <f aca="false">IFERROR(I34/I22,0)</f>
        <v>0.594680757894091</v>
      </c>
      <c r="J35" s="35" t="n">
        <f aca="false">IFERROR(J34/J22,0)</f>
        <v>0.594705697587433</v>
      </c>
      <c r="K35" s="35" t="n">
        <f aca="false">IFERROR(K34/K22,0)</f>
        <v>0.594715723469569</v>
      </c>
      <c r="L35" s="35" t="n">
        <f aca="false">IFERROR(L34/L22,0)</f>
        <v>0.594719496692254</v>
      </c>
      <c r="M35" s="35" t="n">
        <f aca="false">IFERROR(M34/M22,0)</f>
        <v>0.594720719273472</v>
      </c>
      <c r="N35" s="35" t="n">
        <f aca="false">IFERROR(N34/N22,0)</f>
        <v>0.594721063229606</v>
      </c>
      <c r="O35" s="57" t="n">
        <f aca="false">IFERROR(O34/O22,0)</f>
        <v>0.593973513166611</v>
      </c>
      <c r="P35" s="8" t="s">
        <v>602</v>
      </c>
      <c r="Q35" s="8" t="s">
        <v>644</v>
      </c>
    </row>
    <row r="37" customFormat="false" ht="15" hidden="false" customHeight="false" outlineLevel="0" collapsed="false">
      <c r="A37" s="16" t="s">
        <v>645</v>
      </c>
      <c r="B37" s="17"/>
      <c r="C37" s="17"/>
      <c r="D37" s="17"/>
      <c r="E37" s="17"/>
      <c r="F37" s="17"/>
      <c r="G37" s="17"/>
      <c r="H37" s="17"/>
      <c r="I37" s="17"/>
      <c r="J37" s="17"/>
      <c r="K37" s="17"/>
      <c r="L37" s="17"/>
      <c r="M37" s="17"/>
      <c r="N37" s="17"/>
      <c r="O37" s="17"/>
      <c r="P37" s="17"/>
      <c r="Q37" s="17"/>
    </row>
    <row r="38" customFormat="false" ht="15" hidden="false" customHeight="false" outlineLevel="0" collapsed="false">
      <c r="A38" s="8" t="s">
        <v>601</v>
      </c>
      <c r="B38" s="8" t="s">
        <v>563</v>
      </c>
      <c r="C38" s="54" t="n">
        <f aca="false">Assumptions!C$73</f>
        <v>0.94</v>
      </c>
      <c r="D38" s="54" t="n">
        <f aca="false">Assumptions!D$73</f>
        <v>0.96</v>
      </c>
      <c r="E38" s="54" t="n">
        <f aca="false">Assumptions!E$73</f>
        <v>1.02</v>
      </c>
      <c r="F38" s="54" t="n">
        <f aca="false">Assumptions!F$73</f>
        <v>0.99</v>
      </c>
      <c r="G38" s="54" t="n">
        <f aca="false">Assumptions!G$73</f>
        <v>1</v>
      </c>
      <c r="H38" s="54" t="n">
        <f aca="false">Assumptions!H$73</f>
        <v>1.03</v>
      </c>
      <c r="I38" s="54" t="n">
        <f aca="false">Assumptions!I$73</f>
        <v>1.02</v>
      </c>
      <c r="J38" s="54" t="n">
        <f aca="false">Assumptions!J$73</f>
        <v>1.03</v>
      </c>
      <c r="K38" s="54" t="n">
        <f aca="false">Assumptions!K$73</f>
        <v>1.05</v>
      </c>
      <c r="L38" s="54" t="n">
        <f aca="false">Assumptions!L$73</f>
        <v>1.02</v>
      </c>
      <c r="M38" s="54" t="n">
        <f aca="false">Assumptions!M$73</f>
        <v>0.98</v>
      </c>
      <c r="N38" s="54" t="n">
        <f aca="false">Assumptions!N$73</f>
        <v>0.96</v>
      </c>
      <c r="O38" s="55" t="n">
        <f aca="false">SUM(C38:N38)</f>
        <v>12</v>
      </c>
      <c r="P38" s="8" t="s">
        <v>602</v>
      </c>
      <c r="Q38" s="8" t="s">
        <v>603</v>
      </c>
    </row>
    <row r="39" customFormat="false" ht="15" hidden="false" customHeight="false" outlineLevel="0" collapsed="false">
      <c r="A39" s="8" t="s">
        <v>604</v>
      </c>
      <c r="B39" s="8" t="s">
        <v>300</v>
      </c>
      <c r="C39" s="34" t="n">
        <f aca="false">Assumptions!$D$63*C38/12</f>
        <v>40.4481356957622</v>
      </c>
      <c r="D39" s="34" t="n">
        <f aca="false">Assumptions!$D$63*D38/12</f>
        <v>41.3087343275869</v>
      </c>
      <c r="E39" s="34" t="n">
        <f aca="false">Assumptions!$D$63*E38/12</f>
        <v>43.8905302230611</v>
      </c>
      <c r="F39" s="34" t="n">
        <f aca="false">Assumptions!$D$63*F38/12</f>
        <v>42.599632275324</v>
      </c>
      <c r="G39" s="34" t="n">
        <f aca="false">Assumptions!$D$63*G38/12</f>
        <v>43.0299315912364</v>
      </c>
      <c r="H39" s="34" t="n">
        <f aca="false">Assumptions!$D$63*H38/12</f>
        <v>44.3208295389735</v>
      </c>
      <c r="I39" s="34" t="n">
        <f aca="false">Assumptions!$D$63*I38/12</f>
        <v>43.8905302230611</v>
      </c>
      <c r="J39" s="34" t="n">
        <f aca="false">Assumptions!$D$63*J38/12</f>
        <v>44.3208295389735</v>
      </c>
      <c r="K39" s="34" t="n">
        <f aca="false">Assumptions!$D$63*K38/12</f>
        <v>45.1814281707982</v>
      </c>
      <c r="L39" s="34" t="n">
        <f aca="false">Assumptions!$D$63*L38/12</f>
        <v>43.8905302230611</v>
      </c>
      <c r="M39" s="34" t="n">
        <f aca="false">Assumptions!$D$63*M38/12</f>
        <v>42.1693329594116</v>
      </c>
      <c r="N39" s="34" t="n">
        <f aca="false">Assumptions!$D$63*N38/12</f>
        <v>41.3087343275869</v>
      </c>
      <c r="O39" s="56" t="n">
        <f aca="false">SUM(C39:N39)</f>
        <v>516.359179094837</v>
      </c>
      <c r="P39" s="8" t="s">
        <v>602</v>
      </c>
      <c r="Q39" s="8" t="s">
        <v>605</v>
      </c>
    </row>
    <row r="40" customFormat="false" ht="15" hidden="false" customHeight="false" outlineLevel="0" collapsed="false">
      <c r="A40" s="8" t="s">
        <v>290</v>
      </c>
      <c r="B40" s="8" t="s">
        <v>300</v>
      </c>
      <c r="C40" s="34" t="n">
        <f aca="false">Assumptions!$D$47</f>
        <v>60</v>
      </c>
      <c r="D40" s="34" t="n">
        <f aca="false">Assumptions!$D$47</f>
        <v>60</v>
      </c>
      <c r="E40" s="34" t="n">
        <f aca="false">Assumptions!$D$47</f>
        <v>60</v>
      </c>
      <c r="F40" s="34" t="n">
        <f aca="false">Assumptions!$D$47</f>
        <v>60</v>
      </c>
      <c r="G40" s="34" t="n">
        <f aca="false">Assumptions!$D$47</f>
        <v>60</v>
      </c>
      <c r="H40" s="34" t="n">
        <f aca="false">Assumptions!$D$47</f>
        <v>60</v>
      </c>
      <c r="I40" s="34" t="n">
        <f aca="false">Assumptions!$D$47</f>
        <v>60</v>
      </c>
      <c r="J40" s="34" t="n">
        <f aca="false">Assumptions!$D$47</f>
        <v>60</v>
      </c>
      <c r="K40" s="34" t="n">
        <f aca="false">Assumptions!$D$47</f>
        <v>60</v>
      </c>
      <c r="L40" s="34" t="n">
        <f aca="false">Assumptions!$D$47</f>
        <v>60</v>
      </c>
      <c r="M40" s="34" t="n">
        <f aca="false">Assumptions!$D$47</f>
        <v>60</v>
      </c>
      <c r="N40" s="34" t="n">
        <f aca="false">Assumptions!$D$47</f>
        <v>60</v>
      </c>
      <c r="O40" s="56" t="n">
        <f aca="false">SUM(C40:N40)</f>
        <v>720</v>
      </c>
      <c r="P40" s="8" t="s">
        <v>602</v>
      </c>
      <c r="Q40" s="8" t="s">
        <v>606</v>
      </c>
    </row>
    <row r="41" customFormat="false" ht="15" hidden="false" customHeight="false" outlineLevel="0" collapsed="false">
      <c r="A41" s="8" t="s">
        <v>607</v>
      </c>
      <c r="B41" s="8" t="s">
        <v>226</v>
      </c>
      <c r="C41" s="35" t="n">
        <f aca="false">Assumptions!$D$66</f>
        <v>0.78</v>
      </c>
      <c r="D41" s="35" t="n">
        <f aca="false">Assumptions!$D$66</f>
        <v>0.78</v>
      </c>
      <c r="E41" s="35" t="n">
        <f aca="false">Assumptions!$D$66</f>
        <v>0.78</v>
      </c>
      <c r="F41" s="35" t="n">
        <f aca="false">Assumptions!$D$66</f>
        <v>0.78</v>
      </c>
      <c r="G41" s="35" t="n">
        <f aca="false">Assumptions!$D$66</f>
        <v>0.78</v>
      </c>
      <c r="H41" s="35" t="n">
        <f aca="false">Assumptions!$D$66</f>
        <v>0.78</v>
      </c>
      <c r="I41" s="35" t="n">
        <f aca="false">Assumptions!$D$66</f>
        <v>0.78</v>
      </c>
      <c r="J41" s="35" t="n">
        <f aca="false">Assumptions!$D$66</f>
        <v>0.78</v>
      </c>
      <c r="K41" s="35" t="n">
        <f aca="false">Assumptions!$D$66</f>
        <v>0.78</v>
      </c>
      <c r="L41" s="35" t="n">
        <f aca="false">Assumptions!$D$66</f>
        <v>0.78</v>
      </c>
      <c r="M41" s="35" t="n">
        <f aca="false">Assumptions!$D$66</f>
        <v>0.78</v>
      </c>
      <c r="N41" s="35" t="n">
        <f aca="false">Assumptions!$D$66</f>
        <v>0.78</v>
      </c>
      <c r="O41" s="57" t="n">
        <f aca="false">IFERROR(O42/O40,0)</f>
        <v>0.78</v>
      </c>
      <c r="P41" s="8" t="s">
        <v>602</v>
      </c>
      <c r="Q41" s="8" t="s">
        <v>608</v>
      </c>
    </row>
    <row r="42" customFormat="false" ht="15" hidden="false" customHeight="false" outlineLevel="0" collapsed="false">
      <c r="A42" s="8" t="s">
        <v>302</v>
      </c>
      <c r="B42" s="8" t="s">
        <v>300</v>
      </c>
      <c r="C42" s="34" t="n">
        <f aca="false">C40*C41</f>
        <v>46.8</v>
      </c>
      <c r="D42" s="34" t="n">
        <f aca="false">D40*D41</f>
        <v>46.8</v>
      </c>
      <c r="E42" s="34" t="n">
        <f aca="false">E40*E41</f>
        <v>46.8</v>
      </c>
      <c r="F42" s="34" t="n">
        <f aca="false">F40*F41</f>
        <v>46.8</v>
      </c>
      <c r="G42" s="34" t="n">
        <f aca="false">G40*G41</f>
        <v>46.8</v>
      </c>
      <c r="H42" s="34" t="n">
        <f aca="false">H40*H41</f>
        <v>46.8</v>
      </c>
      <c r="I42" s="34" t="n">
        <f aca="false">I40*I41</f>
        <v>46.8</v>
      </c>
      <c r="J42" s="34" t="n">
        <f aca="false">J40*J41</f>
        <v>46.8</v>
      </c>
      <c r="K42" s="34" t="n">
        <f aca="false">K40*K41</f>
        <v>46.8</v>
      </c>
      <c r="L42" s="34" t="n">
        <f aca="false">L40*L41</f>
        <v>46.8</v>
      </c>
      <c r="M42" s="34" t="n">
        <f aca="false">M40*M41</f>
        <v>46.8</v>
      </c>
      <c r="N42" s="34" t="n">
        <f aca="false">N40*N41</f>
        <v>46.8</v>
      </c>
      <c r="O42" s="56" t="n">
        <f aca="false">SUM(C42:N42)</f>
        <v>561.6</v>
      </c>
      <c r="P42" s="8" t="s">
        <v>602</v>
      </c>
      <c r="Q42" s="8" t="s">
        <v>609</v>
      </c>
    </row>
    <row r="43" customFormat="false" ht="15" hidden="false" customHeight="false" outlineLevel="0" collapsed="false">
      <c r="A43" s="8" t="s">
        <v>610</v>
      </c>
      <c r="B43" s="8" t="s">
        <v>226</v>
      </c>
      <c r="C43" s="35" t="n">
        <f aca="false">Assumptions!$D$65</f>
        <v>0.93</v>
      </c>
      <c r="D43" s="35" t="n">
        <f aca="false">Assumptions!$D$65</f>
        <v>0.93</v>
      </c>
      <c r="E43" s="35" t="n">
        <f aca="false">Assumptions!$D$65</f>
        <v>0.93</v>
      </c>
      <c r="F43" s="35" t="n">
        <f aca="false">Assumptions!$D$65</f>
        <v>0.93</v>
      </c>
      <c r="G43" s="35" t="n">
        <f aca="false">Assumptions!$D$65</f>
        <v>0.93</v>
      </c>
      <c r="H43" s="35" t="n">
        <f aca="false">Assumptions!$D$65</f>
        <v>0.93</v>
      </c>
      <c r="I43" s="35" t="n">
        <f aca="false">Assumptions!$D$65</f>
        <v>0.93</v>
      </c>
      <c r="J43" s="35" t="n">
        <f aca="false">Assumptions!$D$65</f>
        <v>0.93</v>
      </c>
      <c r="K43" s="35" t="n">
        <f aca="false">Assumptions!$D$65</f>
        <v>0.93</v>
      </c>
      <c r="L43" s="35" t="n">
        <f aca="false">Assumptions!$D$65</f>
        <v>0.93</v>
      </c>
      <c r="M43" s="35" t="n">
        <f aca="false">Assumptions!$D$65</f>
        <v>0.93</v>
      </c>
      <c r="N43" s="35" t="n">
        <f aca="false">Assumptions!$D$65</f>
        <v>0.93</v>
      </c>
      <c r="O43" s="57" t="n">
        <f aca="false">IFERROR(O44/O42,0)</f>
        <v>0.93</v>
      </c>
      <c r="P43" s="8" t="s">
        <v>602</v>
      </c>
      <c r="Q43" s="8" t="s">
        <v>611</v>
      </c>
    </row>
    <row r="44" customFormat="false" ht="15" hidden="false" customHeight="false" outlineLevel="0" collapsed="false">
      <c r="A44" s="8" t="s">
        <v>612</v>
      </c>
      <c r="B44" s="8" t="s">
        <v>300</v>
      </c>
      <c r="C44" s="34" t="n">
        <f aca="false">C42*C43</f>
        <v>43.524</v>
      </c>
      <c r="D44" s="34" t="n">
        <f aca="false">D42*D43</f>
        <v>43.524</v>
      </c>
      <c r="E44" s="34" t="n">
        <f aca="false">E42*E43</f>
        <v>43.524</v>
      </c>
      <c r="F44" s="34" t="n">
        <f aca="false">F42*F43</f>
        <v>43.524</v>
      </c>
      <c r="G44" s="34" t="n">
        <f aca="false">G42*G43</f>
        <v>43.524</v>
      </c>
      <c r="H44" s="34" t="n">
        <f aca="false">H42*H43</f>
        <v>43.524</v>
      </c>
      <c r="I44" s="34" t="n">
        <f aca="false">I42*I43</f>
        <v>43.524</v>
      </c>
      <c r="J44" s="34" t="n">
        <f aca="false">J42*J43</f>
        <v>43.524</v>
      </c>
      <c r="K44" s="34" t="n">
        <f aca="false">K42*K43</f>
        <v>43.524</v>
      </c>
      <c r="L44" s="34" t="n">
        <f aca="false">L42*L43</f>
        <v>43.524</v>
      </c>
      <c r="M44" s="34" t="n">
        <f aca="false">M42*M43</f>
        <v>43.524</v>
      </c>
      <c r="N44" s="34" t="n">
        <f aca="false">N42*N43</f>
        <v>43.524</v>
      </c>
      <c r="O44" s="56" t="n">
        <f aca="false">SUM(C44:N44)</f>
        <v>522.288</v>
      </c>
      <c r="P44" s="8" t="s">
        <v>602</v>
      </c>
      <c r="Q44" s="8" t="s">
        <v>613</v>
      </c>
    </row>
    <row r="45" customFormat="false" ht="15" hidden="false" customHeight="false" outlineLevel="0" collapsed="false">
      <c r="A45" s="8" t="s">
        <v>357</v>
      </c>
      <c r="B45" s="8" t="s">
        <v>300</v>
      </c>
      <c r="C45" s="34" t="n">
        <f aca="false">Assumptions!$D$68</f>
        <v>36.777719308749</v>
      </c>
      <c r="D45" s="34" t="n">
        <f aca="false">C48</f>
        <v>39.8535836129869</v>
      </c>
      <c r="E45" s="34" t="n">
        <f aca="false">D48</f>
        <v>42.0688492854</v>
      </c>
      <c r="F45" s="34" t="n">
        <f aca="false">E48</f>
        <v>41.7023190623389</v>
      </c>
      <c r="G45" s="34" t="n">
        <f aca="false">F48</f>
        <v>42.6266867870149</v>
      </c>
      <c r="H45" s="34" t="n">
        <f aca="false">G48</f>
        <v>43.1207551957785</v>
      </c>
      <c r="I45" s="34" t="n">
        <f aca="false">H48</f>
        <v>42.3239256568051</v>
      </c>
      <c r="J45" s="34" t="n">
        <f aca="false">I48</f>
        <v>41.957395433744</v>
      </c>
      <c r="K45" s="34" t="n">
        <f aca="false">J48</f>
        <v>41.1605658947705</v>
      </c>
      <c r="L45" s="34" t="n">
        <f aca="false">K48</f>
        <v>39.5031377239723</v>
      </c>
      <c r="M45" s="34" t="n">
        <f aca="false">L48</f>
        <v>39.1366075009112</v>
      </c>
      <c r="N45" s="34" t="n">
        <f aca="false">M48</f>
        <v>40.4912745414996</v>
      </c>
      <c r="O45" s="56" t="n">
        <f aca="false">C45</f>
        <v>36.777719308749</v>
      </c>
      <c r="P45" s="8" t="s">
        <v>602</v>
      </c>
      <c r="Q45" s="8" t="s">
        <v>614</v>
      </c>
    </row>
    <row r="46" customFormat="false" ht="15" hidden="false" customHeight="false" outlineLevel="0" collapsed="false">
      <c r="A46" s="8" t="s">
        <v>615</v>
      </c>
      <c r="B46" s="8" t="s">
        <v>300</v>
      </c>
      <c r="C46" s="34" t="n">
        <f aca="false">C45+C44</f>
        <v>80.301719308749</v>
      </c>
      <c r="D46" s="34" t="n">
        <f aca="false">D45+D44</f>
        <v>83.3775836129869</v>
      </c>
      <c r="E46" s="34" t="n">
        <f aca="false">E45+E44</f>
        <v>85.5928492854</v>
      </c>
      <c r="F46" s="34" t="n">
        <f aca="false">F45+F44</f>
        <v>85.2263190623389</v>
      </c>
      <c r="G46" s="34" t="n">
        <f aca="false">G45+G44</f>
        <v>86.1506867870149</v>
      </c>
      <c r="H46" s="34" t="n">
        <f aca="false">H45+H44</f>
        <v>86.6447551957785</v>
      </c>
      <c r="I46" s="34" t="n">
        <f aca="false">I45+I44</f>
        <v>85.8479256568051</v>
      </c>
      <c r="J46" s="34" t="n">
        <f aca="false">J45+J44</f>
        <v>85.481395433744</v>
      </c>
      <c r="K46" s="34" t="n">
        <f aca="false">K45+K44</f>
        <v>84.6845658947705</v>
      </c>
      <c r="L46" s="34" t="n">
        <f aca="false">L45+L44</f>
        <v>83.0271377239723</v>
      </c>
      <c r="M46" s="34" t="n">
        <f aca="false">M45+M44</f>
        <v>82.6606075009112</v>
      </c>
      <c r="N46" s="34" t="n">
        <f aca="false">N45+N44</f>
        <v>84.0152745414996</v>
      </c>
      <c r="P46" s="8" t="s">
        <v>602</v>
      </c>
      <c r="Q46" s="8" t="s">
        <v>616</v>
      </c>
    </row>
    <row r="47" customFormat="false" ht="15" hidden="false" customHeight="false" outlineLevel="0" collapsed="false">
      <c r="A47" s="44" t="s">
        <v>299</v>
      </c>
      <c r="B47" s="45" t="s">
        <v>300</v>
      </c>
      <c r="C47" s="58" t="n">
        <f aca="false">MIN(C39,C46)</f>
        <v>40.4481356957622</v>
      </c>
      <c r="D47" s="58" t="n">
        <f aca="false">MIN(D39,D46)</f>
        <v>41.3087343275869</v>
      </c>
      <c r="E47" s="58" t="n">
        <f aca="false">MIN(E39,E46)</f>
        <v>43.8905302230611</v>
      </c>
      <c r="F47" s="58" t="n">
        <f aca="false">MIN(F39,F46)</f>
        <v>42.599632275324</v>
      </c>
      <c r="G47" s="58" t="n">
        <f aca="false">MIN(G39,G46)</f>
        <v>43.0299315912364</v>
      </c>
      <c r="H47" s="58" t="n">
        <f aca="false">MIN(H39,H46)</f>
        <v>44.3208295389735</v>
      </c>
      <c r="I47" s="58" t="n">
        <f aca="false">MIN(I39,I46)</f>
        <v>43.8905302230611</v>
      </c>
      <c r="J47" s="58" t="n">
        <f aca="false">MIN(J39,J46)</f>
        <v>44.3208295389735</v>
      </c>
      <c r="K47" s="58" t="n">
        <f aca="false">MIN(K39,K46)</f>
        <v>45.1814281707982</v>
      </c>
      <c r="L47" s="58" t="n">
        <f aca="false">MIN(L39,L46)</f>
        <v>43.8905302230611</v>
      </c>
      <c r="M47" s="58" t="n">
        <f aca="false">MIN(M39,M46)</f>
        <v>42.1693329594116</v>
      </c>
      <c r="N47" s="58" t="n">
        <f aca="false">MIN(N39,N46)</f>
        <v>41.3087343275869</v>
      </c>
      <c r="O47" s="59" t="n">
        <f aca="false">SUM(C47:N47)</f>
        <v>516.359179094837</v>
      </c>
      <c r="P47" s="8" t="s">
        <v>602</v>
      </c>
      <c r="Q47" s="8" t="s">
        <v>617</v>
      </c>
    </row>
    <row r="48" customFormat="false" ht="15" hidden="false" customHeight="false" outlineLevel="0" collapsed="false">
      <c r="A48" s="8" t="s">
        <v>618</v>
      </c>
      <c r="B48" s="8" t="s">
        <v>300</v>
      </c>
      <c r="C48" s="34" t="n">
        <f aca="false">C46-C47</f>
        <v>39.8535836129869</v>
      </c>
      <c r="D48" s="34" t="n">
        <f aca="false">D46-D47</f>
        <v>42.0688492854</v>
      </c>
      <c r="E48" s="34" t="n">
        <f aca="false">E46-E47</f>
        <v>41.7023190623389</v>
      </c>
      <c r="F48" s="34" t="n">
        <f aca="false">F46-F47</f>
        <v>42.6266867870149</v>
      </c>
      <c r="G48" s="34" t="n">
        <f aca="false">G46-G47</f>
        <v>43.1207551957785</v>
      </c>
      <c r="H48" s="34" t="n">
        <f aca="false">H46-H47</f>
        <v>42.3239256568051</v>
      </c>
      <c r="I48" s="34" t="n">
        <f aca="false">I46-I47</f>
        <v>41.957395433744</v>
      </c>
      <c r="J48" s="34" t="n">
        <f aca="false">J46-J47</f>
        <v>41.1605658947705</v>
      </c>
      <c r="K48" s="34" t="n">
        <f aca="false">K46-K47</f>
        <v>39.5031377239723</v>
      </c>
      <c r="L48" s="34" t="n">
        <f aca="false">L46-L47</f>
        <v>39.1366075009112</v>
      </c>
      <c r="M48" s="34" t="n">
        <f aca="false">M46-M47</f>
        <v>40.4912745414996</v>
      </c>
      <c r="N48" s="34" t="n">
        <f aca="false">N46-N47</f>
        <v>42.7065402139127</v>
      </c>
      <c r="O48" s="56" t="n">
        <f aca="false">N48</f>
        <v>42.7065402139127</v>
      </c>
      <c r="P48" s="8" t="s">
        <v>602</v>
      </c>
      <c r="Q48" s="8" t="s">
        <v>619</v>
      </c>
    </row>
    <row r="49" customFormat="false" ht="15" hidden="false" customHeight="false" outlineLevel="0" collapsed="false">
      <c r="A49" s="8" t="s">
        <v>620</v>
      </c>
      <c r="B49" s="8" t="s">
        <v>300</v>
      </c>
      <c r="C49" s="34" t="n">
        <f aca="false">C39-C47</f>
        <v>0</v>
      </c>
      <c r="D49" s="34" t="n">
        <f aca="false">D39-D47</f>
        <v>0</v>
      </c>
      <c r="E49" s="34" t="n">
        <f aca="false">E39-E47</f>
        <v>0</v>
      </c>
      <c r="F49" s="34" t="n">
        <f aca="false">F39-F47</f>
        <v>0</v>
      </c>
      <c r="G49" s="34" t="n">
        <f aca="false">G39-G47</f>
        <v>0</v>
      </c>
      <c r="H49" s="34" t="n">
        <f aca="false">H39-H47</f>
        <v>0</v>
      </c>
      <c r="I49" s="34" t="n">
        <f aca="false">I39-I47</f>
        <v>0</v>
      </c>
      <c r="J49" s="34" t="n">
        <f aca="false">J39-J47</f>
        <v>0</v>
      </c>
      <c r="K49" s="34" t="n">
        <f aca="false">K39-K47</f>
        <v>0</v>
      </c>
      <c r="L49" s="34" t="n">
        <f aca="false">L39-L47</f>
        <v>0</v>
      </c>
      <c r="M49" s="34" t="n">
        <f aca="false">M39-M47</f>
        <v>0</v>
      </c>
      <c r="N49" s="34" t="n">
        <f aca="false">N39-N47</f>
        <v>0</v>
      </c>
      <c r="O49" s="56" t="n">
        <f aca="false">SUM(C49:N49)</f>
        <v>0</v>
      </c>
      <c r="P49" s="8" t="s">
        <v>602</v>
      </c>
      <c r="Q49" s="8" t="s">
        <v>621</v>
      </c>
    </row>
    <row r="50" customFormat="false" ht="15" hidden="false" customHeight="false" outlineLevel="0" collapsed="false">
      <c r="A50" s="8" t="s">
        <v>622</v>
      </c>
      <c r="B50" s="8" t="s">
        <v>563</v>
      </c>
      <c r="C50" s="54" t="n">
        <f aca="false">IFERROR(C39/(C40*C43),0)</f>
        <v>0.724876983795021</v>
      </c>
      <c r="D50" s="54" t="n">
        <f aca="false">IFERROR(D39/(D40*D43),0)</f>
        <v>0.740299898343852</v>
      </c>
      <c r="E50" s="54" t="n">
        <f aca="false">IFERROR(E39/(E40*E43),0)</f>
        <v>0.786568641990342</v>
      </c>
      <c r="F50" s="54" t="n">
        <f aca="false">IFERROR(F39/(F40*F43),0)</f>
        <v>0.763434270167097</v>
      </c>
      <c r="G50" s="54" t="n">
        <f aca="false">IFERROR(G39/(G40*G43),0)</f>
        <v>0.771145727441512</v>
      </c>
      <c r="H50" s="54" t="n">
        <f aca="false">IFERROR(H39/(H40*H43),0)</f>
        <v>0.794280099264757</v>
      </c>
      <c r="I50" s="54" t="n">
        <f aca="false">IFERROR(I39/(I40*I43),0)</f>
        <v>0.786568641990342</v>
      </c>
      <c r="J50" s="54" t="n">
        <f aca="false">IFERROR(J39/(J40*J43),0)</f>
        <v>0.794280099264757</v>
      </c>
      <c r="K50" s="54" t="n">
        <f aca="false">IFERROR(K39/(K40*K43),0)</f>
        <v>0.809703013813588</v>
      </c>
      <c r="L50" s="54" t="n">
        <f aca="false">IFERROR(L39/(L40*L43),0)</f>
        <v>0.786568641990342</v>
      </c>
      <c r="M50" s="54" t="n">
        <f aca="false">IFERROR(M39/(M40*M43),0)</f>
        <v>0.755722812892682</v>
      </c>
      <c r="N50" s="54" t="n">
        <f aca="false">IFERROR(N39/(N40*N43),0)</f>
        <v>0.740299898343852</v>
      </c>
      <c r="O50" s="55" t="n">
        <f aca="false">IFERROR(O39/(O40*O43),0)</f>
        <v>0.771145727441512</v>
      </c>
      <c r="P50" s="8" t="s">
        <v>602</v>
      </c>
      <c r="Q50" s="8" t="s">
        <v>623</v>
      </c>
    </row>
    <row r="51" customFormat="false" ht="15" hidden="false" customHeight="false" outlineLevel="0" collapsed="false">
      <c r="A51" s="8" t="s">
        <v>624</v>
      </c>
      <c r="B51" s="8" t="s">
        <v>281</v>
      </c>
      <c r="C51" s="36" t="n">
        <f aca="false">Assumptions!$D$64</f>
        <v>0.9405</v>
      </c>
      <c r="D51" s="36" t="n">
        <f aca="false">Assumptions!$D$64</f>
        <v>0.9405</v>
      </c>
      <c r="E51" s="36" t="n">
        <f aca="false">Assumptions!$D$64</f>
        <v>0.9405</v>
      </c>
      <c r="F51" s="36" t="n">
        <f aca="false">Assumptions!$D$64</f>
        <v>0.9405</v>
      </c>
      <c r="G51" s="36" t="n">
        <f aca="false">Assumptions!$D$64</f>
        <v>0.9405</v>
      </c>
      <c r="H51" s="36" t="n">
        <f aca="false">Assumptions!$D$64</f>
        <v>0.9405</v>
      </c>
      <c r="I51" s="36" t="n">
        <f aca="false">Assumptions!$D$64</f>
        <v>0.9405</v>
      </c>
      <c r="J51" s="36" t="n">
        <f aca="false">Assumptions!$D$64</f>
        <v>0.9405</v>
      </c>
      <c r="K51" s="36" t="n">
        <f aca="false">Assumptions!$D$64</f>
        <v>0.9405</v>
      </c>
      <c r="L51" s="36" t="n">
        <f aca="false">Assumptions!$D$64</f>
        <v>0.9405</v>
      </c>
      <c r="M51" s="36" t="n">
        <f aca="false">Assumptions!$D$64</f>
        <v>0.9405</v>
      </c>
      <c r="N51" s="36" t="n">
        <f aca="false">Assumptions!$D$64</f>
        <v>0.9405</v>
      </c>
      <c r="O51" s="60" t="n">
        <f aca="false">IFERROR(O52/O47,0)</f>
        <v>0.9405</v>
      </c>
      <c r="P51" s="8" t="s">
        <v>602</v>
      </c>
      <c r="Q51" s="8" t="s">
        <v>625</v>
      </c>
    </row>
    <row r="52" customFormat="false" ht="15" hidden="false" customHeight="false" outlineLevel="0" collapsed="false">
      <c r="A52" s="44" t="s">
        <v>22</v>
      </c>
      <c r="B52" s="45" t="s">
        <v>259</v>
      </c>
      <c r="C52" s="61" t="n">
        <f aca="false">C47*C51</f>
        <v>38.0414716218643</v>
      </c>
      <c r="D52" s="61" t="n">
        <f aca="false">D47*D51</f>
        <v>38.8508646350955</v>
      </c>
      <c r="E52" s="61" t="n">
        <f aca="false">E47*E51</f>
        <v>41.279043674789</v>
      </c>
      <c r="F52" s="61" t="n">
        <f aca="false">F47*F51</f>
        <v>40.0649541549422</v>
      </c>
      <c r="G52" s="61" t="n">
        <f aca="false">G47*G51</f>
        <v>40.4696506615578</v>
      </c>
      <c r="H52" s="61" t="n">
        <f aca="false">H47*H51</f>
        <v>41.6837401814045</v>
      </c>
      <c r="I52" s="61" t="n">
        <f aca="false">I47*I51</f>
        <v>41.279043674789</v>
      </c>
      <c r="J52" s="61" t="n">
        <f aca="false">J47*J51</f>
        <v>41.6837401814045</v>
      </c>
      <c r="K52" s="61" t="n">
        <f aca="false">K47*K51</f>
        <v>42.4931331946357</v>
      </c>
      <c r="L52" s="61" t="n">
        <f aca="false">L47*L51</f>
        <v>41.279043674789</v>
      </c>
      <c r="M52" s="61" t="n">
        <f aca="false">M47*M51</f>
        <v>39.6602576483267</v>
      </c>
      <c r="N52" s="61" t="n">
        <f aca="false">N47*N51</f>
        <v>38.8508646350955</v>
      </c>
      <c r="O52" s="62" t="n">
        <f aca="false">SUM(C52:N52)</f>
        <v>485.635807938694</v>
      </c>
      <c r="P52" s="8" t="s">
        <v>602</v>
      </c>
      <c r="Q52" s="8" t="s">
        <v>626</v>
      </c>
    </row>
    <row r="53" customFormat="false" ht="15" hidden="false" customHeight="false" outlineLevel="0" collapsed="false">
      <c r="A53" s="8" t="s">
        <v>627</v>
      </c>
      <c r="B53" s="8" t="s">
        <v>281</v>
      </c>
      <c r="C53" s="36" t="n">
        <f aca="false">Assumptions!$D$67</f>
        <v>0.2163</v>
      </c>
      <c r="D53" s="36" t="n">
        <f aca="false">Assumptions!$D$67</f>
        <v>0.2163</v>
      </c>
      <c r="E53" s="36" t="n">
        <f aca="false">Assumptions!$D$67</f>
        <v>0.2163</v>
      </c>
      <c r="F53" s="36" t="n">
        <f aca="false">Assumptions!$D$67</f>
        <v>0.2163</v>
      </c>
      <c r="G53" s="36" t="n">
        <f aca="false">Assumptions!$D$67</f>
        <v>0.2163</v>
      </c>
      <c r="H53" s="36" t="n">
        <f aca="false">Assumptions!$D$67</f>
        <v>0.2163</v>
      </c>
      <c r="I53" s="36" t="n">
        <f aca="false">Assumptions!$D$67</f>
        <v>0.2163</v>
      </c>
      <c r="J53" s="36" t="n">
        <f aca="false">Assumptions!$D$67</f>
        <v>0.2163</v>
      </c>
      <c r="K53" s="36" t="n">
        <f aca="false">Assumptions!$D$67</f>
        <v>0.2163</v>
      </c>
      <c r="L53" s="36" t="n">
        <f aca="false">Assumptions!$D$67</f>
        <v>0.2163</v>
      </c>
      <c r="M53" s="36" t="n">
        <f aca="false">Assumptions!$D$67</f>
        <v>0.2163</v>
      </c>
      <c r="N53" s="36" t="n">
        <f aca="false">Assumptions!$D$67</f>
        <v>0.2163</v>
      </c>
      <c r="O53" s="60" t="n">
        <f aca="false">IFERROR(O54/O42,0)</f>
        <v>0.2163</v>
      </c>
      <c r="P53" s="8" t="s">
        <v>602</v>
      </c>
      <c r="Q53" s="8" t="s">
        <v>628</v>
      </c>
    </row>
    <row r="54" customFormat="false" ht="15" hidden="false" customHeight="false" outlineLevel="0" collapsed="false">
      <c r="A54" s="8" t="s">
        <v>306</v>
      </c>
      <c r="B54" s="8" t="s">
        <v>259</v>
      </c>
      <c r="C54" s="30" t="n">
        <f aca="false">C42*C53</f>
        <v>10.12284</v>
      </c>
      <c r="D54" s="30" t="n">
        <f aca="false">D42*D53</f>
        <v>10.12284</v>
      </c>
      <c r="E54" s="30" t="n">
        <f aca="false">E42*E53</f>
        <v>10.12284</v>
      </c>
      <c r="F54" s="30" t="n">
        <f aca="false">F42*F53</f>
        <v>10.12284</v>
      </c>
      <c r="G54" s="30" t="n">
        <f aca="false">G42*G53</f>
        <v>10.12284</v>
      </c>
      <c r="H54" s="30" t="n">
        <f aca="false">H42*H53</f>
        <v>10.12284</v>
      </c>
      <c r="I54" s="30" t="n">
        <f aca="false">I42*I53</f>
        <v>10.12284</v>
      </c>
      <c r="J54" s="30" t="n">
        <f aca="false">J42*J53</f>
        <v>10.12284</v>
      </c>
      <c r="K54" s="30" t="n">
        <f aca="false">K42*K53</f>
        <v>10.12284</v>
      </c>
      <c r="L54" s="30" t="n">
        <f aca="false">L42*L53</f>
        <v>10.12284</v>
      </c>
      <c r="M54" s="30" t="n">
        <f aca="false">M42*M53</f>
        <v>10.12284</v>
      </c>
      <c r="N54" s="30" t="n">
        <f aca="false">N42*N53</f>
        <v>10.12284</v>
      </c>
      <c r="O54" s="42" t="n">
        <f aca="false">SUM(C54:N54)</f>
        <v>121.47408</v>
      </c>
      <c r="P54" s="8" t="s">
        <v>602</v>
      </c>
      <c r="Q54" s="8" t="s">
        <v>307</v>
      </c>
    </row>
    <row r="55" customFormat="false" ht="15" hidden="false" customHeight="false" outlineLevel="0" collapsed="false">
      <c r="A55" s="8" t="s">
        <v>308</v>
      </c>
      <c r="B55" s="8" t="s">
        <v>259</v>
      </c>
      <c r="C55" s="30" t="n">
        <f aca="false">Assumptions!$D$46</f>
        <v>6.2</v>
      </c>
      <c r="D55" s="30" t="n">
        <f aca="false">Assumptions!$D$46</f>
        <v>6.2</v>
      </c>
      <c r="E55" s="30" t="n">
        <f aca="false">Assumptions!$D$46</f>
        <v>6.2</v>
      </c>
      <c r="F55" s="30" t="n">
        <f aca="false">Assumptions!$D$46</f>
        <v>6.2</v>
      </c>
      <c r="G55" s="30" t="n">
        <f aca="false">Assumptions!$D$46</f>
        <v>6.2</v>
      </c>
      <c r="H55" s="30" t="n">
        <f aca="false">Assumptions!$D$46</f>
        <v>6.2</v>
      </c>
      <c r="I55" s="30" t="n">
        <f aca="false">Assumptions!$D$46</f>
        <v>6.2</v>
      </c>
      <c r="J55" s="30" t="n">
        <f aca="false">Assumptions!$D$46</f>
        <v>6.2</v>
      </c>
      <c r="K55" s="30" t="n">
        <f aca="false">Assumptions!$D$46</f>
        <v>6.2</v>
      </c>
      <c r="L55" s="30" t="n">
        <f aca="false">Assumptions!$D$46</f>
        <v>6.2</v>
      </c>
      <c r="M55" s="30" t="n">
        <f aca="false">Assumptions!$D$46</f>
        <v>6.2</v>
      </c>
      <c r="N55" s="30" t="n">
        <f aca="false">Assumptions!$D$46</f>
        <v>6.2</v>
      </c>
      <c r="O55" s="42" t="n">
        <f aca="false">SUM(C55:N55)</f>
        <v>74.4</v>
      </c>
      <c r="P55" s="8" t="s">
        <v>602</v>
      </c>
      <c r="Q55" s="8" t="s">
        <v>629</v>
      </c>
    </row>
    <row r="56" customFormat="false" ht="15" hidden="false" customHeight="false" outlineLevel="0" collapsed="false">
      <c r="A56" s="8" t="s">
        <v>630</v>
      </c>
      <c r="B56" s="8" t="s">
        <v>259</v>
      </c>
      <c r="C56" s="30" t="n">
        <f aca="false">C54+C55</f>
        <v>16.32284</v>
      </c>
      <c r="D56" s="30" t="n">
        <f aca="false">D54+D55</f>
        <v>16.32284</v>
      </c>
      <c r="E56" s="30" t="n">
        <f aca="false">E54+E55</f>
        <v>16.32284</v>
      </c>
      <c r="F56" s="30" t="n">
        <f aca="false">F54+F55</f>
        <v>16.32284</v>
      </c>
      <c r="G56" s="30" t="n">
        <f aca="false">G54+G55</f>
        <v>16.32284</v>
      </c>
      <c r="H56" s="30" t="n">
        <f aca="false">H54+H55</f>
        <v>16.32284</v>
      </c>
      <c r="I56" s="30" t="n">
        <f aca="false">I54+I55</f>
        <v>16.32284</v>
      </c>
      <c r="J56" s="30" t="n">
        <f aca="false">J54+J55</f>
        <v>16.32284</v>
      </c>
      <c r="K56" s="30" t="n">
        <f aca="false">K54+K55</f>
        <v>16.32284</v>
      </c>
      <c r="L56" s="30" t="n">
        <f aca="false">L54+L55</f>
        <v>16.32284</v>
      </c>
      <c r="M56" s="30" t="n">
        <f aca="false">M54+M55</f>
        <v>16.32284</v>
      </c>
      <c r="N56" s="30" t="n">
        <f aca="false">N54+N55</f>
        <v>16.32284</v>
      </c>
      <c r="O56" s="42" t="n">
        <f aca="false">SUM(C56:N56)</f>
        <v>195.87408</v>
      </c>
      <c r="P56" s="8" t="s">
        <v>602</v>
      </c>
      <c r="Q56" s="8" t="s">
        <v>311</v>
      </c>
    </row>
    <row r="57" customFormat="false" ht="15" hidden="false" customHeight="false" outlineLevel="0" collapsed="false">
      <c r="A57" s="8" t="s">
        <v>316</v>
      </c>
      <c r="B57" s="8" t="s">
        <v>281</v>
      </c>
      <c r="C57" s="36" t="n">
        <f aca="false">IFERROR(C56/C44,0)</f>
        <v>0.375030787611433</v>
      </c>
      <c r="D57" s="36" t="n">
        <f aca="false">IFERROR(D56/D44,0)</f>
        <v>0.375030787611433</v>
      </c>
      <c r="E57" s="36" t="n">
        <f aca="false">IFERROR(E56/E44,0)</f>
        <v>0.375030787611433</v>
      </c>
      <c r="F57" s="36" t="n">
        <f aca="false">IFERROR(F56/F44,0)</f>
        <v>0.375030787611433</v>
      </c>
      <c r="G57" s="36" t="n">
        <f aca="false">IFERROR(G56/G44,0)</f>
        <v>0.375030787611433</v>
      </c>
      <c r="H57" s="36" t="n">
        <f aca="false">IFERROR(H56/H44,0)</f>
        <v>0.375030787611433</v>
      </c>
      <c r="I57" s="36" t="n">
        <f aca="false">IFERROR(I56/I44,0)</f>
        <v>0.375030787611433</v>
      </c>
      <c r="J57" s="36" t="n">
        <f aca="false">IFERROR(J56/J44,0)</f>
        <v>0.375030787611433</v>
      </c>
      <c r="K57" s="36" t="n">
        <f aca="false">IFERROR(K56/K44,0)</f>
        <v>0.375030787611433</v>
      </c>
      <c r="L57" s="36" t="n">
        <f aca="false">IFERROR(L56/L44,0)</f>
        <v>0.375030787611433</v>
      </c>
      <c r="M57" s="36" t="n">
        <f aca="false">IFERROR(M56/M44,0)</f>
        <v>0.375030787611433</v>
      </c>
      <c r="N57" s="36" t="n">
        <f aca="false">IFERROR(N56/N44,0)</f>
        <v>0.375030787611433</v>
      </c>
      <c r="O57" s="60" t="n">
        <f aca="false">IFERROR(O56/O44,0)</f>
        <v>0.375030787611433</v>
      </c>
      <c r="P57" s="8" t="s">
        <v>602</v>
      </c>
      <c r="Q57" s="8" t="s">
        <v>631</v>
      </c>
    </row>
    <row r="58" customFormat="false" ht="15" hidden="false" customHeight="false" outlineLevel="0" collapsed="false">
      <c r="A58" s="8" t="s">
        <v>632</v>
      </c>
      <c r="B58" s="8" t="s">
        <v>259</v>
      </c>
      <c r="C58" s="30" t="n">
        <f aca="false">Assumptions!$D$69</f>
        <v>14.504646295524</v>
      </c>
      <c r="D58" s="30" t="n">
        <f aca="false">C61</f>
        <v>15.2996201480211</v>
      </c>
      <c r="E58" s="30" t="n">
        <f aca="false">D61</f>
        <v>15.9553737629961</v>
      </c>
      <c r="F58" s="30" t="n">
        <f aca="false">E61</f>
        <v>15.7265049632651</v>
      </c>
      <c r="G58" s="30" t="n">
        <f aca="false">F61</f>
        <v>16.0297594042377</v>
      </c>
      <c r="H58" s="30" t="n">
        <f aca="false">G61</f>
        <v>16.1933534239392</v>
      </c>
      <c r="I58" s="30" t="n">
        <f aca="false">H61</f>
        <v>15.883395942518</v>
      </c>
      <c r="J58" s="30" t="n">
        <f aca="false">I61</f>
        <v>15.7405058600338</v>
      </c>
      <c r="K58" s="30" t="n">
        <f aca="false">J61</f>
        <v>15.4389788957255</v>
      </c>
      <c r="L58" s="30" t="n">
        <f aca="false">K61</f>
        <v>14.8160587817241</v>
      </c>
      <c r="M58" s="30" t="n">
        <f aca="false">L61</f>
        <v>14.6779823204609</v>
      </c>
      <c r="N58" s="30" t="n">
        <f aca="false">M61</f>
        <v>15.1857437967195</v>
      </c>
      <c r="O58" s="42" t="n">
        <f aca="false">C58</f>
        <v>14.504646295524</v>
      </c>
      <c r="P58" s="8" t="s">
        <v>602</v>
      </c>
      <c r="Q58" s="8" t="s">
        <v>633</v>
      </c>
    </row>
    <row r="59" customFormat="false" ht="15" hidden="false" customHeight="false" outlineLevel="0" collapsed="false">
      <c r="A59" s="8" t="s">
        <v>634</v>
      </c>
      <c r="B59" s="8" t="s">
        <v>281</v>
      </c>
      <c r="C59" s="36" t="n">
        <f aca="false">IFERROR((C58+C56)/C46,0)</f>
        <v>0.383895719305791</v>
      </c>
      <c r="D59" s="36" t="n">
        <f aca="false">IFERROR((D58+D56)/D46,0)</f>
        <v>0.379268129126923</v>
      </c>
      <c r="E59" s="36" t="n">
        <f aca="false">IFERROR((E58+E56)/E46,0)</f>
        <v>0.377113439177237</v>
      </c>
      <c r="F59" s="36" t="n">
        <f aca="false">IFERROR((F58+F56)/F46,0)</f>
        <v>0.37604985544222</v>
      </c>
      <c r="G59" s="36" t="n">
        <f aca="false">IFERROR((G58+G56)/G46,0)</f>
        <v>0.375535014412841</v>
      </c>
      <c r="H59" s="36" t="n">
        <f aca="false">IFERROR((H58+H56)/H46,0)</f>
        <v>0.375281727676039</v>
      </c>
      <c r="I59" s="36" t="n">
        <f aca="false">IFERROR((I58+I56)/I46,0)</f>
        <v>0.375154503689107</v>
      </c>
      <c r="J59" s="36" t="n">
        <f aca="false">IFERROR((J58+J56)/J46,0)</f>
        <v>0.375091511987376</v>
      </c>
      <c r="K59" s="36" t="n">
        <f aca="false">IFERROR((K58+K56)/K46,0)</f>
        <v>0.37506030243094</v>
      </c>
      <c r="L59" s="36" t="n">
        <f aca="false">IFERROR((L58+L56)/L46,0)</f>
        <v>0.375044830345072</v>
      </c>
      <c r="M59" s="36" t="n">
        <f aca="false">IFERROR((M58+M56)/M46,0)</f>
        <v>0.375037436303855</v>
      </c>
      <c r="N59" s="36" t="n">
        <f aca="false">IFERROR((N58+N56)/N46,0)</f>
        <v>0.375033991957686</v>
      </c>
      <c r="P59" s="8" t="s">
        <v>602</v>
      </c>
      <c r="Q59" s="8" t="s">
        <v>635</v>
      </c>
    </row>
    <row r="60" customFormat="false" ht="15" hidden="false" customHeight="false" outlineLevel="0" collapsed="false">
      <c r="A60" s="8" t="s">
        <v>310</v>
      </c>
      <c r="B60" s="8" t="s">
        <v>259</v>
      </c>
      <c r="C60" s="30" t="n">
        <f aca="false">C47*C59</f>
        <v>15.5278661475029</v>
      </c>
      <c r="D60" s="30" t="n">
        <f aca="false">D47*D59</f>
        <v>15.667086385025</v>
      </c>
      <c r="E60" s="30" t="n">
        <f aca="false">E47*E59</f>
        <v>16.551708799731</v>
      </c>
      <c r="F60" s="30" t="n">
        <f aca="false">F47*F59</f>
        <v>16.0195855590273</v>
      </c>
      <c r="G60" s="30" t="n">
        <f aca="false">G47*G59</f>
        <v>16.1592459802985</v>
      </c>
      <c r="H60" s="30" t="n">
        <f aca="false">H47*H59</f>
        <v>16.6327974814212</v>
      </c>
      <c r="I60" s="30" t="n">
        <f aca="false">I47*I59</f>
        <v>16.4657300824842</v>
      </c>
      <c r="J60" s="30" t="n">
        <f aca="false">J47*J59</f>
        <v>16.6243669643083</v>
      </c>
      <c r="K60" s="30" t="n">
        <f aca="false">K47*K59</f>
        <v>16.9457601140014</v>
      </c>
      <c r="L60" s="30" t="n">
        <f aca="false">L47*L59</f>
        <v>16.4609164612632</v>
      </c>
      <c r="M60" s="30" t="n">
        <f aca="false">M47*M59</f>
        <v>15.8150785237414</v>
      </c>
      <c r="N60" s="30" t="n">
        <f aca="false">N47*N59</f>
        <v>15.4921795375944</v>
      </c>
      <c r="O60" s="42" t="n">
        <f aca="false">SUM(C60:N60)</f>
        <v>194.362322036399</v>
      </c>
      <c r="P60" s="8" t="s">
        <v>602</v>
      </c>
      <c r="Q60" s="8" t="s">
        <v>636</v>
      </c>
    </row>
    <row r="61" customFormat="false" ht="15" hidden="false" customHeight="false" outlineLevel="0" collapsed="false">
      <c r="A61" s="8" t="s">
        <v>637</v>
      </c>
      <c r="B61" s="8" t="s">
        <v>259</v>
      </c>
      <c r="C61" s="30" t="n">
        <f aca="false">C58+C56-C60</f>
        <v>15.2996201480211</v>
      </c>
      <c r="D61" s="30" t="n">
        <f aca="false">D58+D56-D60</f>
        <v>15.9553737629961</v>
      </c>
      <c r="E61" s="30" t="n">
        <f aca="false">E58+E56-E60</f>
        <v>15.7265049632651</v>
      </c>
      <c r="F61" s="30" t="n">
        <f aca="false">F58+F56-F60</f>
        <v>16.0297594042377</v>
      </c>
      <c r="G61" s="30" t="n">
        <f aca="false">G58+G56-G60</f>
        <v>16.1933534239392</v>
      </c>
      <c r="H61" s="30" t="n">
        <f aca="false">H58+H56-H60</f>
        <v>15.883395942518</v>
      </c>
      <c r="I61" s="30" t="n">
        <f aca="false">I58+I56-I60</f>
        <v>15.7405058600338</v>
      </c>
      <c r="J61" s="30" t="n">
        <f aca="false">J58+J56-J60</f>
        <v>15.4389788957255</v>
      </c>
      <c r="K61" s="30" t="n">
        <f aca="false">K58+K56-K60</f>
        <v>14.8160587817241</v>
      </c>
      <c r="L61" s="30" t="n">
        <f aca="false">L58+L56-L60</f>
        <v>14.6779823204609</v>
      </c>
      <c r="M61" s="30" t="n">
        <f aca="false">M58+M56-M60</f>
        <v>15.1857437967195</v>
      </c>
      <c r="N61" s="30" t="n">
        <f aca="false">N58+N56-N60</f>
        <v>16.0164042591251</v>
      </c>
      <c r="O61" s="42" t="n">
        <f aca="false">N61</f>
        <v>16.0164042591251</v>
      </c>
      <c r="P61" s="8" t="s">
        <v>602</v>
      </c>
      <c r="Q61" s="8" t="s">
        <v>638</v>
      </c>
    </row>
    <row r="62" customFormat="false" ht="15" hidden="false" customHeight="false" outlineLevel="0" collapsed="false">
      <c r="A62" s="8" t="s">
        <v>639</v>
      </c>
      <c r="B62" s="8" t="s">
        <v>259</v>
      </c>
      <c r="C62" s="30" t="n">
        <f aca="false">C52-C47*IFERROR(C53/C43,0)</f>
        <v>28.6340181261726</v>
      </c>
      <c r="D62" s="30" t="n">
        <f aca="false">D52-D47*IFERROR(D53/D43,0)</f>
        <v>29.243252554389</v>
      </c>
      <c r="E62" s="30" t="n">
        <f aca="false">E52-E47*IFERROR(E53/E43,0)</f>
        <v>31.0709558390383</v>
      </c>
      <c r="F62" s="30" t="n">
        <f aca="false">F52-F47*IFERROR(F53/F43,0)</f>
        <v>30.1571041967136</v>
      </c>
      <c r="G62" s="30" t="n">
        <f aca="false">G52-G47*IFERROR(G53/G43,0)</f>
        <v>30.4617214108219</v>
      </c>
      <c r="H62" s="30" t="n">
        <f aca="false">H52-H47*IFERROR(H53/H43,0)</f>
        <v>31.3755730531465</v>
      </c>
      <c r="I62" s="30" t="n">
        <f aca="false">I52-I47*IFERROR(I53/I43,0)</f>
        <v>31.0709558390383</v>
      </c>
      <c r="J62" s="30" t="n">
        <f aca="false">J52-J47*IFERROR(J53/J43,0)</f>
        <v>31.3755730531465</v>
      </c>
      <c r="K62" s="30" t="n">
        <f aca="false">K52-K47*IFERROR(K53/K43,0)</f>
        <v>31.984807481363</v>
      </c>
      <c r="L62" s="30" t="n">
        <f aca="false">L52-L47*IFERROR(L53/L43,0)</f>
        <v>31.0709558390383</v>
      </c>
      <c r="M62" s="30" t="n">
        <f aca="false">M52-M47*IFERROR(M53/M43,0)</f>
        <v>29.8524869826054</v>
      </c>
      <c r="N62" s="30" t="n">
        <f aca="false">N52-N47*IFERROR(N53/N43,0)</f>
        <v>29.243252554389</v>
      </c>
      <c r="O62" s="42" t="n">
        <f aca="false">SUM(C62:N62)</f>
        <v>365.540656929862</v>
      </c>
      <c r="P62" s="8" t="s">
        <v>602</v>
      </c>
      <c r="Q62" s="8" t="s">
        <v>640</v>
      </c>
    </row>
    <row r="63" customFormat="false" ht="15" hidden="false" customHeight="false" outlineLevel="0" collapsed="false">
      <c r="A63" s="8" t="s">
        <v>641</v>
      </c>
      <c r="B63" s="8" t="s">
        <v>226</v>
      </c>
      <c r="C63" s="35" t="n">
        <f aca="false">IFERROR(C62/C52,0)</f>
        <v>0.752705321465933</v>
      </c>
      <c r="D63" s="35" t="n">
        <f aca="false">IFERROR(D62/D52,0)</f>
        <v>0.752705321465933</v>
      </c>
      <c r="E63" s="35" t="n">
        <f aca="false">IFERROR(E62/E52,0)</f>
        <v>0.752705321465933</v>
      </c>
      <c r="F63" s="35" t="n">
        <f aca="false">IFERROR(F62/F52,0)</f>
        <v>0.752705321465933</v>
      </c>
      <c r="G63" s="35" t="n">
        <f aca="false">IFERROR(G62/G52,0)</f>
        <v>0.752705321465933</v>
      </c>
      <c r="H63" s="35" t="n">
        <f aca="false">IFERROR(H62/H52,0)</f>
        <v>0.752705321465933</v>
      </c>
      <c r="I63" s="35" t="n">
        <f aca="false">IFERROR(I62/I52,0)</f>
        <v>0.752705321465933</v>
      </c>
      <c r="J63" s="35" t="n">
        <f aca="false">IFERROR(J62/J52,0)</f>
        <v>0.752705321465933</v>
      </c>
      <c r="K63" s="35" t="n">
        <f aca="false">IFERROR(K62/K52,0)</f>
        <v>0.752705321465933</v>
      </c>
      <c r="L63" s="35" t="n">
        <f aca="false">IFERROR(L62/L52,0)</f>
        <v>0.752705321465933</v>
      </c>
      <c r="M63" s="35" t="n">
        <f aca="false">IFERROR(M62/M52,0)</f>
        <v>0.752705321465933</v>
      </c>
      <c r="N63" s="35" t="n">
        <f aca="false">IFERROR(N62/N52,0)</f>
        <v>0.752705321465933</v>
      </c>
      <c r="O63" s="57" t="n">
        <f aca="false">IFERROR(O62/O52,0)</f>
        <v>0.752705321465933</v>
      </c>
      <c r="P63" s="8" t="s">
        <v>602</v>
      </c>
      <c r="Q63" s="8" t="s">
        <v>642</v>
      </c>
    </row>
    <row r="64" customFormat="false" ht="15" hidden="false" customHeight="false" outlineLevel="0" collapsed="false">
      <c r="A64" s="44" t="s">
        <v>312</v>
      </c>
      <c r="B64" s="45" t="s">
        <v>259</v>
      </c>
      <c r="C64" s="61" t="n">
        <f aca="false">C52-C60</f>
        <v>22.5136054743614</v>
      </c>
      <c r="D64" s="61" t="n">
        <f aca="false">D52-D60</f>
        <v>23.1837782500705</v>
      </c>
      <c r="E64" s="61" t="n">
        <f aca="false">E52-E60</f>
        <v>24.7273348750579</v>
      </c>
      <c r="F64" s="61" t="n">
        <f aca="false">F52-F60</f>
        <v>24.0453685959149</v>
      </c>
      <c r="G64" s="61" t="n">
        <f aca="false">G52-G60</f>
        <v>24.3104046812593</v>
      </c>
      <c r="H64" s="61" t="n">
        <f aca="false">H52-H60</f>
        <v>25.0509426999834</v>
      </c>
      <c r="I64" s="61" t="n">
        <f aca="false">I52-I60</f>
        <v>24.8133135923047</v>
      </c>
      <c r="J64" s="61" t="n">
        <f aca="false">J52-J60</f>
        <v>25.0593732170962</v>
      </c>
      <c r="K64" s="61" t="n">
        <f aca="false">K52-K60</f>
        <v>25.5473730806343</v>
      </c>
      <c r="L64" s="61" t="n">
        <f aca="false">L52-L60</f>
        <v>24.8181272135258</v>
      </c>
      <c r="M64" s="61" t="n">
        <f aca="false">M52-M60</f>
        <v>23.8451791245853</v>
      </c>
      <c r="N64" s="61" t="n">
        <f aca="false">N52-N60</f>
        <v>23.3586850975011</v>
      </c>
      <c r="O64" s="62" t="n">
        <f aca="false">SUM(C64:N64)</f>
        <v>291.273485902295</v>
      </c>
      <c r="P64" s="8" t="s">
        <v>602</v>
      </c>
      <c r="Q64" s="8" t="s">
        <v>313</v>
      </c>
    </row>
    <row r="65" customFormat="false" ht="15" hidden="false" customHeight="false" outlineLevel="0" collapsed="false">
      <c r="A65" s="8" t="s">
        <v>643</v>
      </c>
      <c r="B65" s="8" t="s">
        <v>226</v>
      </c>
      <c r="C65" s="35" t="n">
        <f aca="false">IFERROR(C64/C52,0)</f>
        <v>0.59181741700607</v>
      </c>
      <c r="D65" s="35" t="n">
        <f aca="false">IFERROR(D64/D52,0)</f>
        <v>0.596737768073448</v>
      </c>
      <c r="E65" s="35" t="n">
        <f aca="false">IFERROR(E64/E52,0)</f>
        <v>0.599028772804639</v>
      </c>
      <c r="F65" s="35" t="n">
        <f aca="false">IFERROR(F64/F52,0)</f>
        <v>0.600159643336289</v>
      </c>
      <c r="G65" s="35" t="n">
        <f aca="false">IFERROR(G64/G52,0)</f>
        <v>0.600707055382413</v>
      </c>
      <c r="H65" s="35" t="n">
        <f aca="false">IFERROR(H64/H52,0)</f>
        <v>0.600976366107348</v>
      </c>
      <c r="I65" s="35" t="n">
        <f aca="false">IFERROR(I64/I52,0)</f>
        <v>0.601111638820726</v>
      </c>
      <c r="J65" s="35" t="n">
        <f aca="false">IFERROR(J64/J52,0)</f>
        <v>0.601178615643407</v>
      </c>
      <c r="K65" s="35" t="n">
        <f aca="false">IFERROR(K64/K52,0)</f>
        <v>0.601211799648123</v>
      </c>
      <c r="L65" s="35" t="n">
        <f aca="false">IFERROR(L64/L52,0)</f>
        <v>0.601228250563453</v>
      </c>
      <c r="M65" s="35" t="n">
        <f aca="false">IFERROR(M64/M52,0)</f>
        <v>0.60123611238293</v>
      </c>
      <c r="N65" s="35" t="n">
        <f aca="false">IFERROR(N64/N52,0)</f>
        <v>0.601239774632976</v>
      </c>
      <c r="O65" s="57" t="n">
        <f aca="false">IFERROR(O64/O52,0)</f>
        <v>0.599777613472574</v>
      </c>
      <c r="P65" s="8" t="s">
        <v>602</v>
      </c>
      <c r="Q65" s="8" t="s">
        <v>644</v>
      </c>
    </row>
    <row r="67" customFormat="false" ht="15" hidden="false" customHeight="false" outlineLevel="0" collapsed="false">
      <c r="A67" s="16" t="s">
        <v>646</v>
      </c>
      <c r="B67" s="17"/>
      <c r="C67" s="17"/>
      <c r="D67" s="17"/>
      <c r="E67" s="17"/>
      <c r="F67" s="17"/>
      <c r="G67" s="17"/>
      <c r="H67" s="17"/>
      <c r="I67" s="17"/>
      <c r="J67" s="17"/>
      <c r="K67" s="17"/>
      <c r="L67" s="17"/>
      <c r="M67" s="17"/>
      <c r="N67" s="17"/>
      <c r="O67" s="17"/>
      <c r="P67" s="17"/>
      <c r="Q67" s="17"/>
    </row>
    <row r="68" customFormat="false" ht="15" hidden="false" customHeight="false" outlineLevel="0" collapsed="false">
      <c r="A68" s="8" t="s">
        <v>601</v>
      </c>
      <c r="B68" s="8" t="s">
        <v>563</v>
      </c>
      <c r="C68" s="54" t="n">
        <f aca="false">Assumptions!C$73</f>
        <v>0.94</v>
      </c>
      <c r="D68" s="54" t="n">
        <f aca="false">Assumptions!D$73</f>
        <v>0.96</v>
      </c>
      <c r="E68" s="54" t="n">
        <f aca="false">Assumptions!E$73</f>
        <v>1.02</v>
      </c>
      <c r="F68" s="54" t="n">
        <f aca="false">Assumptions!F$73</f>
        <v>0.99</v>
      </c>
      <c r="G68" s="54" t="n">
        <f aca="false">Assumptions!G$73</f>
        <v>1</v>
      </c>
      <c r="H68" s="54" t="n">
        <f aca="false">Assumptions!H$73</f>
        <v>1.03</v>
      </c>
      <c r="I68" s="54" t="n">
        <f aca="false">Assumptions!I$73</f>
        <v>1.02</v>
      </c>
      <c r="J68" s="54" t="n">
        <f aca="false">Assumptions!J$73</f>
        <v>1.03</v>
      </c>
      <c r="K68" s="54" t="n">
        <f aca="false">Assumptions!K$73</f>
        <v>1.05</v>
      </c>
      <c r="L68" s="54" t="n">
        <f aca="false">Assumptions!L$73</f>
        <v>1.02</v>
      </c>
      <c r="M68" s="54" t="n">
        <f aca="false">Assumptions!M$73</f>
        <v>0.98</v>
      </c>
      <c r="N68" s="54" t="n">
        <f aca="false">Assumptions!N$73</f>
        <v>0.96</v>
      </c>
      <c r="O68" s="55" t="n">
        <f aca="false">SUM(C68:N68)</f>
        <v>12</v>
      </c>
      <c r="P68" s="8" t="s">
        <v>602</v>
      </c>
      <c r="Q68" s="8" t="s">
        <v>603</v>
      </c>
    </row>
    <row r="69" customFormat="false" ht="15" hidden="false" customHeight="false" outlineLevel="0" collapsed="false">
      <c r="A69" s="8" t="s">
        <v>604</v>
      </c>
      <c r="B69" s="8" t="s">
        <v>300</v>
      </c>
      <c r="C69" s="34" t="n">
        <f aca="false">Assumptions!$E$63*C68/12</f>
        <v>4.05490471947625</v>
      </c>
      <c r="D69" s="34" t="n">
        <f aca="false">Assumptions!$E$63*D68/12</f>
        <v>4.14117928797574</v>
      </c>
      <c r="E69" s="34" t="n">
        <f aca="false">Assumptions!$E$63*E68/12</f>
        <v>4.40000299347423</v>
      </c>
      <c r="F69" s="34" t="n">
        <f aca="false">Assumptions!$E$63*F68/12</f>
        <v>4.27059114072498</v>
      </c>
      <c r="G69" s="34" t="n">
        <f aca="false">Assumptions!$E$63*G68/12</f>
        <v>4.31372842497473</v>
      </c>
      <c r="H69" s="34" t="n">
        <f aca="false">Assumptions!$E$63*H68/12</f>
        <v>4.44314027772397</v>
      </c>
      <c r="I69" s="34" t="n">
        <f aca="false">Assumptions!$E$63*I68/12</f>
        <v>4.40000299347423</v>
      </c>
      <c r="J69" s="34" t="n">
        <f aca="false">Assumptions!$E$63*J68/12</f>
        <v>4.44314027772397</v>
      </c>
      <c r="K69" s="34" t="n">
        <f aca="false">Assumptions!$E$63*K68/12</f>
        <v>4.52941484622347</v>
      </c>
      <c r="L69" s="34" t="n">
        <f aca="false">Assumptions!$E$63*L68/12</f>
        <v>4.40000299347423</v>
      </c>
      <c r="M69" s="34" t="n">
        <f aca="false">Assumptions!$E$63*M68/12</f>
        <v>4.22745385647524</v>
      </c>
      <c r="N69" s="34" t="n">
        <f aca="false">Assumptions!$E$63*N68/12</f>
        <v>4.14117928797574</v>
      </c>
      <c r="O69" s="56" t="n">
        <f aca="false">SUM(C69:N69)</f>
        <v>51.7647410996968</v>
      </c>
      <c r="P69" s="8" t="s">
        <v>602</v>
      </c>
      <c r="Q69" s="8" t="s">
        <v>605</v>
      </c>
    </row>
    <row r="70" customFormat="false" ht="15" hidden="false" customHeight="false" outlineLevel="0" collapsed="false">
      <c r="A70" s="8" t="s">
        <v>290</v>
      </c>
      <c r="B70" s="8" t="s">
        <v>300</v>
      </c>
      <c r="C70" s="34" t="n">
        <f aca="false">Assumptions!$E$47</f>
        <v>7</v>
      </c>
      <c r="D70" s="34" t="n">
        <f aca="false">Assumptions!$E$47</f>
        <v>7</v>
      </c>
      <c r="E70" s="34" t="n">
        <f aca="false">Assumptions!$E$47</f>
        <v>7</v>
      </c>
      <c r="F70" s="34" t="n">
        <f aca="false">Assumptions!$E$47</f>
        <v>7</v>
      </c>
      <c r="G70" s="34" t="n">
        <f aca="false">Assumptions!$E$47</f>
        <v>7</v>
      </c>
      <c r="H70" s="34" t="n">
        <f aca="false">Assumptions!$E$47</f>
        <v>7</v>
      </c>
      <c r="I70" s="34" t="n">
        <f aca="false">Assumptions!$E$47</f>
        <v>7</v>
      </c>
      <c r="J70" s="34" t="n">
        <f aca="false">Assumptions!$E$47</f>
        <v>7</v>
      </c>
      <c r="K70" s="34" t="n">
        <f aca="false">Assumptions!$E$47</f>
        <v>7</v>
      </c>
      <c r="L70" s="34" t="n">
        <f aca="false">Assumptions!$E$47</f>
        <v>7</v>
      </c>
      <c r="M70" s="34" t="n">
        <f aca="false">Assumptions!$E$47</f>
        <v>7</v>
      </c>
      <c r="N70" s="34" t="n">
        <f aca="false">Assumptions!$E$47</f>
        <v>7</v>
      </c>
      <c r="O70" s="56" t="n">
        <f aca="false">SUM(C70:N70)</f>
        <v>84</v>
      </c>
      <c r="P70" s="8" t="s">
        <v>602</v>
      </c>
      <c r="Q70" s="8" t="s">
        <v>606</v>
      </c>
    </row>
    <row r="71" customFormat="false" ht="15" hidden="false" customHeight="false" outlineLevel="0" collapsed="false">
      <c r="A71" s="8" t="s">
        <v>607</v>
      </c>
      <c r="B71" s="8" t="s">
        <v>226</v>
      </c>
      <c r="C71" s="35" t="n">
        <f aca="false">Assumptions!$E$66</f>
        <v>0.78</v>
      </c>
      <c r="D71" s="35" t="n">
        <f aca="false">Assumptions!$E$66</f>
        <v>0.78</v>
      </c>
      <c r="E71" s="35" t="n">
        <f aca="false">Assumptions!$E$66</f>
        <v>0.78</v>
      </c>
      <c r="F71" s="35" t="n">
        <f aca="false">Assumptions!$E$66</f>
        <v>0.78</v>
      </c>
      <c r="G71" s="35" t="n">
        <f aca="false">Assumptions!$E$66</f>
        <v>0.78</v>
      </c>
      <c r="H71" s="35" t="n">
        <f aca="false">Assumptions!$E$66</f>
        <v>0.78</v>
      </c>
      <c r="I71" s="35" t="n">
        <f aca="false">Assumptions!$E$66</f>
        <v>0.78</v>
      </c>
      <c r="J71" s="35" t="n">
        <f aca="false">Assumptions!$E$66</f>
        <v>0.78</v>
      </c>
      <c r="K71" s="35" t="n">
        <f aca="false">Assumptions!$E$66</f>
        <v>0.78</v>
      </c>
      <c r="L71" s="35" t="n">
        <f aca="false">Assumptions!$E$66</f>
        <v>0.78</v>
      </c>
      <c r="M71" s="35" t="n">
        <f aca="false">Assumptions!$E$66</f>
        <v>0.78</v>
      </c>
      <c r="N71" s="35" t="n">
        <f aca="false">Assumptions!$E$66</f>
        <v>0.78</v>
      </c>
      <c r="O71" s="57" t="n">
        <f aca="false">IFERROR(O72/O70,0)</f>
        <v>0.78</v>
      </c>
      <c r="P71" s="8" t="s">
        <v>602</v>
      </c>
      <c r="Q71" s="8" t="s">
        <v>608</v>
      </c>
    </row>
    <row r="72" customFormat="false" ht="15" hidden="false" customHeight="false" outlineLevel="0" collapsed="false">
      <c r="A72" s="8" t="s">
        <v>302</v>
      </c>
      <c r="B72" s="8" t="s">
        <v>300</v>
      </c>
      <c r="C72" s="34" t="n">
        <f aca="false">C70*C71</f>
        <v>5.46</v>
      </c>
      <c r="D72" s="34" t="n">
        <f aca="false">D70*D71</f>
        <v>5.46</v>
      </c>
      <c r="E72" s="34" t="n">
        <f aca="false">E70*E71</f>
        <v>5.46</v>
      </c>
      <c r="F72" s="34" t="n">
        <f aca="false">F70*F71</f>
        <v>5.46</v>
      </c>
      <c r="G72" s="34" t="n">
        <f aca="false">G70*G71</f>
        <v>5.46</v>
      </c>
      <c r="H72" s="34" t="n">
        <f aca="false">H70*H71</f>
        <v>5.46</v>
      </c>
      <c r="I72" s="34" t="n">
        <f aca="false">I70*I71</f>
        <v>5.46</v>
      </c>
      <c r="J72" s="34" t="n">
        <f aca="false">J70*J71</f>
        <v>5.46</v>
      </c>
      <c r="K72" s="34" t="n">
        <f aca="false">K70*K71</f>
        <v>5.46</v>
      </c>
      <c r="L72" s="34" t="n">
        <f aca="false">L70*L71</f>
        <v>5.46</v>
      </c>
      <c r="M72" s="34" t="n">
        <f aca="false">M70*M71</f>
        <v>5.46</v>
      </c>
      <c r="N72" s="34" t="n">
        <f aca="false">N70*N71</f>
        <v>5.46</v>
      </c>
      <c r="O72" s="56" t="n">
        <f aca="false">SUM(C72:N72)</f>
        <v>65.52</v>
      </c>
      <c r="P72" s="8" t="s">
        <v>602</v>
      </c>
      <c r="Q72" s="8" t="s">
        <v>609</v>
      </c>
    </row>
    <row r="73" customFormat="false" ht="15" hidden="false" customHeight="false" outlineLevel="0" collapsed="false">
      <c r="A73" s="8" t="s">
        <v>610</v>
      </c>
      <c r="B73" s="8" t="s">
        <v>226</v>
      </c>
      <c r="C73" s="35" t="n">
        <f aca="false">Assumptions!$E$65</f>
        <v>0.88</v>
      </c>
      <c r="D73" s="35" t="n">
        <f aca="false">Assumptions!$E$65</f>
        <v>0.88</v>
      </c>
      <c r="E73" s="35" t="n">
        <f aca="false">Assumptions!$E$65</f>
        <v>0.88</v>
      </c>
      <c r="F73" s="35" t="n">
        <f aca="false">Assumptions!$E$65</f>
        <v>0.88</v>
      </c>
      <c r="G73" s="35" t="n">
        <f aca="false">Assumptions!$E$65</f>
        <v>0.88</v>
      </c>
      <c r="H73" s="35" t="n">
        <f aca="false">Assumptions!$E$65</f>
        <v>0.88</v>
      </c>
      <c r="I73" s="35" t="n">
        <f aca="false">Assumptions!$E$65</f>
        <v>0.88</v>
      </c>
      <c r="J73" s="35" t="n">
        <f aca="false">Assumptions!$E$65</f>
        <v>0.88</v>
      </c>
      <c r="K73" s="35" t="n">
        <f aca="false">Assumptions!$E$65</f>
        <v>0.88</v>
      </c>
      <c r="L73" s="35" t="n">
        <f aca="false">Assumptions!$E$65</f>
        <v>0.88</v>
      </c>
      <c r="M73" s="35" t="n">
        <f aca="false">Assumptions!$E$65</f>
        <v>0.88</v>
      </c>
      <c r="N73" s="35" t="n">
        <f aca="false">Assumptions!$E$65</f>
        <v>0.88</v>
      </c>
      <c r="O73" s="57" t="n">
        <f aca="false">IFERROR(O74/O72,0)</f>
        <v>0.88</v>
      </c>
      <c r="P73" s="8" t="s">
        <v>602</v>
      </c>
      <c r="Q73" s="8" t="s">
        <v>611</v>
      </c>
    </row>
    <row r="74" customFormat="false" ht="15" hidden="false" customHeight="false" outlineLevel="0" collapsed="false">
      <c r="A74" s="8" t="s">
        <v>612</v>
      </c>
      <c r="B74" s="8" t="s">
        <v>300</v>
      </c>
      <c r="C74" s="34" t="n">
        <f aca="false">C72*C73</f>
        <v>4.8048</v>
      </c>
      <c r="D74" s="34" t="n">
        <f aca="false">D72*D73</f>
        <v>4.8048</v>
      </c>
      <c r="E74" s="34" t="n">
        <f aca="false">E72*E73</f>
        <v>4.8048</v>
      </c>
      <c r="F74" s="34" t="n">
        <f aca="false">F72*F73</f>
        <v>4.8048</v>
      </c>
      <c r="G74" s="34" t="n">
        <f aca="false">G72*G73</f>
        <v>4.8048</v>
      </c>
      <c r="H74" s="34" t="n">
        <f aca="false">H72*H73</f>
        <v>4.8048</v>
      </c>
      <c r="I74" s="34" t="n">
        <f aca="false">I72*I73</f>
        <v>4.8048</v>
      </c>
      <c r="J74" s="34" t="n">
        <f aca="false">J72*J73</f>
        <v>4.8048</v>
      </c>
      <c r="K74" s="34" t="n">
        <f aca="false">K72*K73</f>
        <v>4.8048</v>
      </c>
      <c r="L74" s="34" t="n">
        <f aca="false">L72*L73</f>
        <v>4.8048</v>
      </c>
      <c r="M74" s="34" t="n">
        <f aca="false">M72*M73</f>
        <v>4.8048</v>
      </c>
      <c r="N74" s="34" t="n">
        <f aca="false">N72*N73</f>
        <v>4.8048</v>
      </c>
      <c r="O74" s="56" t="n">
        <f aca="false">SUM(C74:N74)</f>
        <v>57.6576</v>
      </c>
      <c r="P74" s="8" t="s">
        <v>602</v>
      </c>
      <c r="Q74" s="8" t="s">
        <v>613</v>
      </c>
    </row>
    <row r="75" customFormat="false" ht="15" hidden="false" customHeight="false" outlineLevel="0" collapsed="false">
      <c r="A75" s="8" t="s">
        <v>357</v>
      </c>
      <c r="B75" s="8" t="s">
        <v>300</v>
      </c>
      <c r="C75" s="34" t="n">
        <f aca="false">Assumptions!$E$68</f>
        <v>3.95754901373829</v>
      </c>
      <c r="D75" s="34" t="n">
        <f aca="false">C78</f>
        <v>4.70744429426204</v>
      </c>
      <c r="E75" s="34" t="n">
        <f aca="false">D78</f>
        <v>5.3710650062863</v>
      </c>
      <c r="F75" s="34" t="n">
        <f aca="false">E78</f>
        <v>5.77586201281207</v>
      </c>
      <c r="G75" s="34" t="n">
        <f aca="false">F78</f>
        <v>6.31007087208709</v>
      </c>
      <c r="H75" s="34" t="n">
        <f aca="false">G78</f>
        <v>6.80114244711235</v>
      </c>
      <c r="I75" s="34" t="n">
        <f aca="false">H78</f>
        <v>7.16280216938838</v>
      </c>
      <c r="J75" s="34" t="n">
        <f aca="false">I78</f>
        <v>7.56759917591415</v>
      </c>
      <c r="K75" s="34" t="n">
        <f aca="false">J78</f>
        <v>7.92925889819018</v>
      </c>
      <c r="L75" s="34" t="n">
        <f aca="false">K78</f>
        <v>8.20464405196671</v>
      </c>
      <c r="M75" s="34" t="n">
        <f aca="false">L78</f>
        <v>8.60944105849248</v>
      </c>
      <c r="N75" s="34" t="n">
        <f aca="false">M78</f>
        <v>9.18678720201725</v>
      </c>
      <c r="O75" s="56" t="n">
        <f aca="false">C75</f>
        <v>3.95754901373829</v>
      </c>
      <c r="P75" s="8" t="s">
        <v>602</v>
      </c>
      <c r="Q75" s="8" t="s">
        <v>614</v>
      </c>
    </row>
    <row r="76" customFormat="false" ht="15" hidden="false" customHeight="false" outlineLevel="0" collapsed="false">
      <c r="A76" s="8" t="s">
        <v>615</v>
      </c>
      <c r="B76" s="8" t="s">
        <v>300</v>
      </c>
      <c r="C76" s="34" t="n">
        <f aca="false">C75+C74</f>
        <v>8.76234901373829</v>
      </c>
      <c r="D76" s="34" t="n">
        <f aca="false">D75+D74</f>
        <v>9.51224429426204</v>
      </c>
      <c r="E76" s="34" t="n">
        <f aca="false">E75+E74</f>
        <v>10.1758650062863</v>
      </c>
      <c r="F76" s="34" t="n">
        <f aca="false">F75+F74</f>
        <v>10.5806620128121</v>
      </c>
      <c r="G76" s="34" t="n">
        <f aca="false">G75+G74</f>
        <v>11.1148708720871</v>
      </c>
      <c r="H76" s="34" t="n">
        <f aca="false">H75+H74</f>
        <v>11.6059424471124</v>
      </c>
      <c r="I76" s="34" t="n">
        <f aca="false">I75+I74</f>
        <v>11.9676021693884</v>
      </c>
      <c r="J76" s="34" t="n">
        <f aca="false">J75+J74</f>
        <v>12.3723991759142</v>
      </c>
      <c r="K76" s="34" t="n">
        <f aca="false">K75+K74</f>
        <v>12.7340588981902</v>
      </c>
      <c r="L76" s="34" t="n">
        <f aca="false">L75+L74</f>
        <v>13.0094440519667</v>
      </c>
      <c r="M76" s="34" t="n">
        <f aca="false">M75+M74</f>
        <v>13.4142410584925</v>
      </c>
      <c r="N76" s="34" t="n">
        <f aca="false">N75+N74</f>
        <v>13.9915872020172</v>
      </c>
      <c r="P76" s="8" t="s">
        <v>602</v>
      </c>
      <c r="Q76" s="8" t="s">
        <v>616</v>
      </c>
    </row>
    <row r="77" customFormat="false" ht="15" hidden="false" customHeight="false" outlineLevel="0" collapsed="false">
      <c r="A77" s="44" t="s">
        <v>299</v>
      </c>
      <c r="B77" s="45" t="s">
        <v>300</v>
      </c>
      <c r="C77" s="58" t="n">
        <f aca="false">MIN(C69,C76)</f>
        <v>4.05490471947625</v>
      </c>
      <c r="D77" s="58" t="n">
        <f aca="false">MIN(D69,D76)</f>
        <v>4.14117928797574</v>
      </c>
      <c r="E77" s="58" t="n">
        <f aca="false">MIN(E69,E76)</f>
        <v>4.40000299347423</v>
      </c>
      <c r="F77" s="58" t="n">
        <f aca="false">MIN(F69,F76)</f>
        <v>4.27059114072498</v>
      </c>
      <c r="G77" s="58" t="n">
        <f aca="false">MIN(G69,G76)</f>
        <v>4.31372842497473</v>
      </c>
      <c r="H77" s="58" t="n">
        <f aca="false">MIN(H69,H76)</f>
        <v>4.44314027772397</v>
      </c>
      <c r="I77" s="58" t="n">
        <f aca="false">MIN(I69,I76)</f>
        <v>4.40000299347423</v>
      </c>
      <c r="J77" s="58" t="n">
        <f aca="false">MIN(J69,J76)</f>
        <v>4.44314027772397</v>
      </c>
      <c r="K77" s="58" t="n">
        <f aca="false">MIN(K69,K76)</f>
        <v>4.52941484622347</v>
      </c>
      <c r="L77" s="58" t="n">
        <f aca="false">MIN(L69,L76)</f>
        <v>4.40000299347423</v>
      </c>
      <c r="M77" s="58" t="n">
        <f aca="false">MIN(M69,M76)</f>
        <v>4.22745385647524</v>
      </c>
      <c r="N77" s="58" t="n">
        <f aca="false">MIN(N69,N76)</f>
        <v>4.14117928797574</v>
      </c>
      <c r="O77" s="59" t="n">
        <f aca="false">SUM(C77:N77)</f>
        <v>51.7647410996968</v>
      </c>
      <c r="P77" s="8" t="s">
        <v>602</v>
      </c>
      <c r="Q77" s="8" t="s">
        <v>617</v>
      </c>
    </row>
    <row r="78" customFormat="false" ht="15" hidden="false" customHeight="false" outlineLevel="0" collapsed="false">
      <c r="A78" s="8" t="s">
        <v>618</v>
      </c>
      <c r="B78" s="8" t="s">
        <v>300</v>
      </c>
      <c r="C78" s="34" t="n">
        <f aca="false">C76-C77</f>
        <v>4.70744429426204</v>
      </c>
      <c r="D78" s="34" t="n">
        <f aca="false">D76-D77</f>
        <v>5.3710650062863</v>
      </c>
      <c r="E78" s="34" t="n">
        <f aca="false">E76-E77</f>
        <v>5.77586201281207</v>
      </c>
      <c r="F78" s="34" t="n">
        <f aca="false">F76-F77</f>
        <v>6.31007087208709</v>
      </c>
      <c r="G78" s="34" t="n">
        <f aca="false">G76-G77</f>
        <v>6.80114244711235</v>
      </c>
      <c r="H78" s="34" t="n">
        <f aca="false">H76-H77</f>
        <v>7.16280216938838</v>
      </c>
      <c r="I78" s="34" t="n">
        <f aca="false">I76-I77</f>
        <v>7.56759917591415</v>
      </c>
      <c r="J78" s="34" t="n">
        <f aca="false">J76-J77</f>
        <v>7.92925889819018</v>
      </c>
      <c r="K78" s="34" t="n">
        <f aca="false">K76-K77</f>
        <v>8.20464405196671</v>
      </c>
      <c r="L78" s="34" t="n">
        <f aca="false">L76-L77</f>
        <v>8.60944105849248</v>
      </c>
      <c r="M78" s="34" t="n">
        <f aca="false">M76-M77</f>
        <v>9.18678720201725</v>
      </c>
      <c r="N78" s="34" t="n">
        <f aca="false">N76-N77</f>
        <v>9.8504079140415</v>
      </c>
      <c r="O78" s="56" t="n">
        <f aca="false">N78</f>
        <v>9.8504079140415</v>
      </c>
      <c r="P78" s="8" t="s">
        <v>602</v>
      </c>
      <c r="Q78" s="8" t="s">
        <v>619</v>
      </c>
    </row>
    <row r="79" customFormat="false" ht="15" hidden="false" customHeight="false" outlineLevel="0" collapsed="false">
      <c r="A79" s="8" t="s">
        <v>620</v>
      </c>
      <c r="B79" s="8" t="s">
        <v>300</v>
      </c>
      <c r="C79" s="34" t="n">
        <f aca="false">C69-C77</f>
        <v>0</v>
      </c>
      <c r="D79" s="34" t="n">
        <f aca="false">D69-D77</f>
        <v>0</v>
      </c>
      <c r="E79" s="34" t="n">
        <f aca="false">E69-E77</f>
        <v>0</v>
      </c>
      <c r="F79" s="34" t="n">
        <f aca="false">F69-F77</f>
        <v>0</v>
      </c>
      <c r="G79" s="34" t="n">
        <f aca="false">G69-G77</f>
        <v>0</v>
      </c>
      <c r="H79" s="34" t="n">
        <f aca="false">H69-H77</f>
        <v>0</v>
      </c>
      <c r="I79" s="34" t="n">
        <f aca="false">I69-I77</f>
        <v>0</v>
      </c>
      <c r="J79" s="34" t="n">
        <f aca="false">J69-J77</f>
        <v>0</v>
      </c>
      <c r="K79" s="34" t="n">
        <f aca="false">K69-K77</f>
        <v>0</v>
      </c>
      <c r="L79" s="34" t="n">
        <f aca="false">L69-L77</f>
        <v>0</v>
      </c>
      <c r="M79" s="34" t="n">
        <f aca="false">M69-M77</f>
        <v>0</v>
      </c>
      <c r="N79" s="34" t="n">
        <f aca="false">N69-N77</f>
        <v>0</v>
      </c>
      <c r="O79" s="56" t="n">
        <f aca="false">SUM(C79:N79)</f>
        <v>0</v>
      </c>
      <c r="P79" s="8" t="s">
        <v>602</v>
      </c>
      <c r="Q79" s="8" t="s">
        <v>621</v>
      </c>
    </row>
    <row r="80" customFormat="false" ht="15" hidden="false" customHeight="false" outlineLevel="0" collapsed="false">
      <c r="A80" s="8" t="s">
        <v>622</v>
      </c>
      <c r="B80" s="8" t="s">
        <v>563</v>
      </c>
      <c r="C80" s="54" t="n">
        <f aca="false">IFERROR(C69/(C70*C73),0)</f>
        <v>0.658263753161729</v>
      </c>
      <c r="D80" s="54" t="n">
        <f aca="false">IFERROR(D69/(D70*D73),0)</f>
        <v>0.672269364931127</v>
      </c>
      <c r="E80" s="54" t="n">
        <f aca="false">IFERROR(E69/(E70*E73),0)</f>
        <v>0.714286200239323</v>
      </c>
      <c r="F80" s="54" t="n">
        <f aca="false">IFERROR(F69/(F70*F73),0)</f>
        <v>0.693277782585225</v>
      </c>
      <c r="G80" s="54" t="n">
        <f aca="false">IFERROR(G69/(G70*G73),0)</f>
        <v>0.700280588469924</v>
      </c>
      <c r="H80" s="54" t="n">
        <f aca="false">IFERROR(H69/(H70*H73),0)</f>
        <v>0.721289006124022</v>
      </c>
      <c r="I80" s="54" t="n">
        <f aca="false">IFERROR(I69/(I70*I73),0)</f>
        <v>0.714286200239323</v>
      </c>
      <c r="J80" s="54" t="n">
        <f aca="false">IFERROR(J69/(J70*J73),0)</f>
        <v>0.721289006124022</v>
      </c>
      <c r="K80" s="54" t="n">
        <f aca="false">IFERROR(K69/(K70*K73),0)</f>
        <v>0.73529461789342</v>
      </c>
      <c r="L80" s="54" t="n">
        <f aca="false">IFERROR(L69/(L70*L73),0)</f>
        <v>0.714286200239323</v>
      </c>
      <c r="M80" s="54" t="n">
        <f aca="false">IFERROR(M69/(M70*M73),0)</f>
        <v>0.686274976700526</v>
      </c>
      <c r="N80" s="54" t="n">
        <f aca="false">IFERROR(N69/(N70*N73),0)</f>
        <v>0.672269364931127</v>
      </c>
      <c r="O80" s="55" t="n">
        <f aca="false">IFERROR(O69/(O70*O73),0)</f>
        <v>0.700280588469924</v>
      </c>
      <c r="P80" s="8" t="s">
        <v>602</v>
      </c>
      <c r="Q80" s="8" t="s">
        <v>623</v>
      </c>
    </row>
    <row r="81" customFormat="false" ht="15" hidden="false" customHeight="false" outlineLevel="0" collapsed="false">
      <c r="A81" s="8" t="s">
        <v>624</v>
      </c>
      <c r="B81" s="8" t="s">
        <v>281</v>
      </c>
      <c r="C81" s="36" t="n">
        <f aca="false">Assumptions!$E$64</f>
        <v>3.366</v>
      </c>
      <c r="D81" s="36" t="n">
        <f aca="false">Assumptions!$E$64</f>
        <v>3.366</v>
      </c>
      <c r="E81" s="36" t="n">
        <f aca="false">Assumptions!$E$64</f>
        <v>3.366</v>
      </c>
      <c r="F81" s="36" t="n">
        <f aca="false">Assumptions!$E$64</f>
        <v>3.366</v>
      </c>
      <c r="G81" s="36" t="n">
        <f aca="false">Assumptions!$E$64</f>
        <v>3.366</v>
      </c>
      <c r="H81" s="36" t="n">
        <f aca="false">Assumptions!$E$64</f>
        <v>3.366</v>
      </c>
      <c r="I81" s="36" t="n">
        <f aca="false">Assumptions!$E$64</f>
        <v>3.366</v>
      </c>
      <c r="J81" s="36" t="n">
        <f aca="false">Assumptions!$E$64</f>
        <v>3.366</v>
      </c>
      <c r="K81" s="36" t="n">
        <f aca="false">Assumptions!$E$64</f>
        <v>3.366</v>
      </c>
      <c r="L81" s="36" t="n">
        <f aca="false">Assumptions!$E$64</f>
        <v>3.366</v>
      </c>
      <c r="M81" s="36" t="n">
        <f aca="false">Assumptions!$E$64</f>
        <v>3.366</v>
      </c>
      <c r="N81" s="36" t="n">
        <f aca="false">Assumptions!$E$64</f>
        <v>3.366</v>
      </c>
      <c r="O81" s="60" t="n">
        <f aca="false">IFERROR(O82/O77,0)</f>
        <v>3.366</v>
      </c>
      <c r="P81" s="8" t="s">
        <v>602</v>
      </c>
      <c r="Q81" s="8" t="s">
        <v>625</v>
      </c>
    </row>
    <row r="82" customFormat="false" ht="15" hidden="false" customHeight="false" outlineLevel="0" collapsed="false">
      <c r="A82" s="44" t="s">
        <v>22</v>
      </c>
      <c r="B82" s="45" t="s">
        <v>259</v>
      </c>
      <c r="C82" s="61" t="n">
        <f aca="false">C77*C81</f>
        <v>13.6488092857571</v>
      </c>
      <c r="D82" s="61" t="n">
        <f aca="false">D77*D81</f>
        <v>13.9392094833264</v>
      </c>
      <c r="E82" s="61" t="n">
        <f aca="false">E77*E81</f>
        <v>14.8104100760342</v>
      </c>
      <c r="F82" s="61" t="n">
        <f aca="false">F77*F81</f>
        <v>14.3748097796803</v>
      </c>
      <c r="G82" s="61" t="n">
        <f aca="false">G77*G81</f>
        <v>14.5200098784649</v>
      </c>
      <c r="H82" s="61" t="n">
        <f aca="false">H77*H81</f>
        <v>14.9556101748189</v>
      </c>
      <c r="I82" s="61" t="n">
        <f aca="false">I77*I81</f>
        <v>14.8104100760342</v>
      </c>
      <c r="J82" s="61" t="n">
        <f aca="false">J77*J81</f>
        <v>14.9556101748189</v>
      </c>
      <c r="K82" s="61" t="n">
        <f aca="false">K77*K81</f>
        <v>15.2460103723882</v>
      </c>
      <c r="L82" s="61" t="n">
        <f aca="false">L77*L81</f>
        <v>14.8104100760342</v>
      </c>
      <c r="M82" s="61" t="n">
        <f aca="false">M77*M81</f>
        <v>14.2296096808957</v>
      </c>
      <c r="N82" s="61" t="n">
        <f aca="false">N77*N81</f>
        <v>13.9392094833264</v>
      </c>
      <c r="O82" s="62" t="n">
        <f aca="false">SUM(C82:N82)</f>
        <v>174.240118541579</v>
      </c>
      <c r="P82" s="8" t="s">
        <v>602</v>
      </c>
      <c r="Q82" s="8" t="s">
        <v>626</v>
      </c>
    </row>
    <row r="83" customFormat="false" ht="15" hidden="false" customHeight="false" outlineLevel="0" collapsed="false">
      <c r="A83" s="8" t="s">
        <v>627</v>
      </c>
      <c r="B83" s="8" t="s">
        <v>281</v>
      </c>
      <c r="C83" s="36" t="n">
        <f aca="false">Assumptions!$E$67</f>
        <v>0.9785</v>
      </c>
      <c r="D83" s="36" t="n">
        <f aca="false">Assumptions!$E$67</f>
        <v>0.9785</v>
      </c>
      <c r="E83" s="36" t="n">
        <f aca="false">Assumptions!$E$67</f>
        <v>0.9785</v>
      </c>
      <c r="F83" s="36" t="n">
        <f aca="false">Assumptions!$E$67</f>
        <v>0.9785</v>
      </c>
      <c r="G83" s="36" t="n">
        <f aca="false">Assumptions!$E$67</f>
        <v>0.9785</v>
      </c>
      <c r="H83" s="36" t="n">
        <f aca="false">Assumptions!$E$67</f>
        <v>0.9785</v>
      </c>
      <c r="I83" s="36" t="n">
        <f aca="false">Assumptions!$E$67</f>
        <v>0.9785</v>
      </c>
      <c r="J83" s="36" t="n">
        <f aca="false">Assumptions!$E$67</f>
        <v>0.9785</v>
      </c>
      <c r="K83" s="36" t="n">
        <f aca="false">Assumptions!$E$67</f>
        <v>0.9785</v>
      </c>
      <c r="L83" s="36" t="n">
        <f aca="false">Assumptions!$E$67</f>
        <v>0.9785</v>
      </c>
      <c r="M83" s="36" t="n">
        <f aca="false">Assumptions!$E$67</f>
        <v>0.9785</v>
      </c>
      <c r="N83" s="36" t="n">
        <f aca="false">Assumptions!$E$67</f>
        <v>0.9785</v>
      </c>
      <c r="O83" s="60" t="n">
        <f aca="false">IFERROR(O84/O72,0)</f>
        <v>0.9785</v>
      </c>
      <c r="P83" s="8" t="s">
        <v>602</v>
      </c>
      <c r="Q83" s="8" t="s">
        <v>628</v>
      </c>
    </row>
    <row r="84" customFormat="false" ht="15" hidden="false" customHeight="false" outlineLevel="0" collapsed="false">
      <c r="A84" s="8" t="s">
        <v>306</v>
      </c>
      <c r="B84" s="8" t="s">
        <v>259</v>
      </c>
      <c r="C84" s="30" t="n">
        <f aca="false">C72*C83</f>
        <v>5.34261</v>
      </c>
      <c r="D84" s="30" t="n">
        <f aca="false">D72*D83</f>
        <v>5.34261</v>
      </c>
      <c r="E84" s="30" t="n">
        <f aca="false">E72*E83</f>
        <v>5.34261</v>
      </c>
      <c r="F84" s="30" t="n">
        <f aca="false">F72*F83</f>
        <v>5.34261</v>
      </c>
      <c r="G84" s="30" t="n">
        <f aca="false">G72*G83</f>
        <v>5.34261</v>
      </c>
      <c r="H84" s="30" t="n">
        <f aca="false">H72*H83</f>
        <v>5.34261</v>
      </c>
      <c r="I84" s="30" t="n">
        <f aca="false">I72*I83</f>
        <v>5.34261</v>
      </c>
      <c r="J84" s="30" t="n">
        <f aca="false">J72*J83</f>
        <v>5.34261</v>
      </c>
      <c r="K84" s="30" t="n">
        <f aca="false">K72*K83</f>
        <v>5.34261</v>
      </c>
      <c r="L84" s="30" t="n">
        <f aca="false">L72*L83</f>
        <v>5.34261</v>
      </c>
      <c r="M84" s="30" t="n">
        <f aca="false">M72*M83</f>
        <v>5.34261</v>
      </c>
      <c r="N84" s="30" t="n">
        <f aca="false">N72*N83</f>
        <v>5.34261</v>
      </c>
      <c r="O84" s="42" t="n">
        <f aca="false">SUM(C84:N84)</f>
        <v>64.11132</v>
      </c>
      <c r="P84" s="8" t="s">
        <v>602</v>
      </c>
      <c r="Q84" s="8" t="s">
        <v>307</v>
      </c>
    </row>
    <row r="85" customFormat="false" ht="15" hidden="false" customHeight="false" outlineLevel="0" collapsed="false">
      <c r="A85" s="8" t="s">
        <v>308</v>
      </c>
      <c r="B85" s="8" t="s">
        <v>259</v>
      </c>
      <c r="C85" s="30" t="n">
        <f aca="false">Assumptions!$E$46</f>
        <v>2.5</v>
      </c>
      <c r="D85" s="30" t="n">
        <f aca="false">Assumptions!$E$46</f>
        <v>2.5</v>
      </c>
      <c r="E85" s="30" t="n">
        <f aca="false">Assumptions!$E$46</f>
        <v>2.5</v>
      </c>
      <c r="F85" s="30" t="n">
        <f aca="false">Assumptions!$E$46</f>
        <v>2.5</v>
      </c>
      <c r="G85" s="30" t="n">
        <f aca="false">Assumptions!$E$46</f>
        <v>2.5</v>
      </c>
      <c r="H85" s="30" t="n">
        <f aca="false">Assumptions!$E$46</f>
        <v>2.5</v>
      </c>
      <c r="I85" s="30" t="n">
        <f aca="false">Assumptions!$E$46</f>
        <v>2.5</v>
      </c>
      <c r="J85" s="30" t="n">
        <f aca="false">Assumptions!$E$46</f>
        <v>2.5</v>
      </c>
      <c r="K85" s="30" t="n">
        <f aca="false">Assumptions!$E$46</f>
        <v>2.5</v>
      </c>
      <c r="L85" s="30" t="n">
        <f aca="false">Assumptions!$E$46</f>
        <v>2.5</v>
      </c>
      <c r="M85" s="30" t="n">
        <f aca="false">Assumptions!$E$46</f>
        <v>2.5</v>
      </c>
      <c r="N85" s="30" t="n">
        <f aca="false">Assumptions!$E$46</f>
        <v>2.5</v>
      </c>
      <c r="O85" s="42" t="n">
        <f aca="false">SUM(C85:N85)</f>
        <v>30</v>
      </c>
      <c r="P85" s="8" t="s">
        <v>602</v>
      </c>
      <c r="Q85" s="8" t="s">
        <v>629</v>
      </c>
    </row>
    <row r="86" customFormat="false" ht="15" hidden="false" customHeight="false" outlineLevel="0" collapsed="false">
      <c r="A86" s="8" t="s">
        <v>630</v>
      </c>
      <c r="B86" s="8" t="s">
        <v>259</v>
      </c>
      <c r="C86" s="30" t="n">
        <f aca="false">C84+C85</f>
        <v>7.84261</v>
      </c>
      <c r="D86" s="30" t="n">
        <f aca="false">D84+D85</f>
        <v>7.84261</v>
      </c>
      <c r="E86" s="30" t="n">
        <f aca="false">E84+E85</f>
        <v>7.84261</v>
      </c>
      <c r="F86" s="30" t="n">
        <f aca="false">F84+F85</f>
        <v>7.84261</v>
      </c>
      <c r="G86" s="30" t="n">
        <f aca="false">G84+G85</f>
        <v>7.84261</v>
      </c>
      <c r="H86" s="30" t="n">
        <f aca="false">H84+H85</f>
        <v>7.84261</v>
      </c>
      <c r="I86" s="30" t="n">
        <f aca="false">I84+I85</f>
        <v>7.84261</v>
      </c>
      <c r="J86" s="30" t="n">
        <f aca="false">J84+J85</f>
        <v>7.84261</v>
      </c>
      <c r="K86" s="30" t="n">
        <f aca="false">K84+K85</f>
        <v>7.84261</v>
      </c>
      <c r="L86" s="30" t="n">
        <f aca="false">L84+L85</f>
        <v>7.84261</v>
      </c>
      <c r="M86" s="30" t="n">
        <f aca="false">M84+M85</f>
        <v>7.84261</v>
      </c>
      <c r="N86" s="30" t="n">
        <f aca="false">N84+N85</f>
        <v>7.84261</v>
      </c>
      <c r="O86" s="42" t="n">
        <f aca="false">SUM(C86:N86)</f>
        <v>94.11132</v>
      </c>
      <c r="P86" s="8" t="s">
        <v>602</v>
      </c>
      <c r="Q86" s="8" t="s">
        <v>311</v>
      </c>
    </row>
    <row r="87" customFormat="false" ht="15" hidden="false" customHeight="false" outlineLevel="0" collapsed="false">
      <c r="A87" s="8" t="s">
        <v>316</v>
      </c>
      <c r="B87" s="8" t="s">
        <v>281</v>
      </c>
      <c r="C87" s="36" t="n">
        <f aca="false">IFERROR(C86/C74,0)</f>
        <v>1.63224483849484</v>
      </c>
      <c r="D87" s="36" t="n">
        <f aca="false">IFERROR(D86/D74,0)</f>
        <v>1.63224483849484</v>
      </c>
      <c r="E87" s="36" t="n">
        <f aca="false">IFERROR(E86/E74,0)</f>
        <v>1.63224483849484</v>
      </c>
      <c r="F87" s="36" t="n">
        <f aca="false">IFERROR(F86/F74,0)</f>
        <v>1.63224483849484</v>
      </c>
      <c r="G87" s="36" t="n">
        <f aca="false">IFERROR(G86/G74,0)</f>
        <v>1.63224483849484</v>
      </c>
      <c r="H87" s="36" t="n">
        <f aca="false">IFERROR(H86/H74,0)</f>
        <v>1.63224483849484</v>
      </c>
      <c r="I87" s="36" t="n">
        <f aca="false">IFERROR(I86/I74,0)</f>
        <v>1.63224483849484</v>
      </c>
      <c r="J87" s="36" t="n">
        <f aca="false">IFERROR(J86/J74,0)</f>
        <v>1.63224483849484</v>
      </c>
      <c r="K87" s="36" t="n">
        <f aca="false">IFERROR(K86/K74,0)</f>
        <v>1.63224483849484</v>
      </c>
      <c r="L87" s="36" t="n">
        <f aca="false">IFERROR(L86/L74,0)</f>
        <v>1.63224483849484</v>
      </c>
      <c r="M87" s="36" t="n">
        <f aca="false">IFERROR(M86/M74,0)</f>
        <v>1.63224483849484</v>
      </c>
      <c r="N87" s="36" t="n">
        <f aca="false">IFERROR(N86/N74,0)</f>
        <v>1.63224483849484</v>
      </c>
      <c r="O87" s="60" t="n">
        <f aca="false">IFERROR(O86/O74,0)</f>
        <v>1.63224483849484</v>
      </c>
      <c r="P87" s="8" t="s">
        <v>602</v>
      </c>
      <c r="Q87" s="8" t="s">
        <v>631</v>
      </c>
    </row>
    <row r="88" customFormat="false" ht="15" hidden="false" customHeight="false" outlineLevel="0" collapsed="false">
      <c r="A88" s="8" t="s">
        <v>632</v>
      </c>
      <c r="B88" s="8" t="s">
        <v>259</v>
      </c>
      <c r="C88" s="30" t="n">
        <f aca="false">Assumptions!$E$69</f>
        <v>6.77235404892201</v>
      </c>
      <c r="D88" s="30" t="n">
        <f aca="false">C91</f>
        <v>7.85167641862635</v>
      </c>
      <c r="E88" s="30" t="n">
        <f aca="false">D91</f>
        <v>8.86173966669113</v>
      </c>
      <c r="F88" s="30" t="n">
        <f aca="false">E91</f>
        <v>9.48145623285765</v>
      </c>
      <c r="G88" s="30" t="n">
        <f aca="false">F91</f>
        <v>10.3316867687194</v>
      </c>
      <c r="H88" s="30" t="n">
        <f aca="false">G91</f>
        <v>11.1207752768921</v>
      </c>
      <c r="I88" s="30" t="n">
        <f aca="false">H91</f>
        <v>11.7035714953133</v>
      </c>
      <c r="J88" s="30" t="n">
        <f aca="false">I91</f>
        <v>12.3598415858572</v>
      </c>
      <c r="K88" s="30" t="n">
        <f aca="false">J91</f>
        <v>12.9474054890068</v>
      </c>
      <c r="L88" s="30" t="n">
        <f aca="false">K91</f>
        <v>13.3951537593735</v>
      </c>
      <c r="M88" s="30" t="n">
        <f aca="false">L91</f>
        <v>14.0548108412728</v>
      </c>
      <c r="N88" s="30" t="n">
        <f aca="false">M91</f>
        <v>14.9965208366696</v>
      </c>
      <c r="O88" s="42" t="n">
        <f aca="false">C88</f>
        <v>6.77235404892201</v>
      </c>
      <c r="P88" s="8" t="s">
        <v>602</v>
      </c>
      <c r="Q88" s="8" t="s">
        <v>633</v>
      </c>
    </row>
    <row r="89" customFormat="false" ht="15" hidden="false" customHeight="false" outlineLevel="0" collapsed="false">
      <c r="A89" s="8" t="s">
        <v>634</v>
      </c>
      <c r="B89" s="8" t="s">
        <v>281</v>
      </c>
      <c r="C89" s="36" t="n">
        <f aca="false">IFERROR((C88+C86)/C76,0)</f>
        <v>1.66792763287647</v>
      </c>
      <c r="D89" s="36" t="n">
        <f aca="false">IFERROR((D88+D86)/D76,0)</f>
        <v>1.64990363295163</v>
      </c>
      <c r="E89" s="36" t="n">
        <f aca="false">IFERROR((E88+E86)/E76,0)</f>
        <v>1.64156557269301</v>
      </c>
      <c r="F89" s="36" t="n">
        <f aca="false">IFERROR((F88+F86)/F76,0)</f>
        <v>1.63733292036737</v>
      </c>
      <c r="G89" s="36" t="n">
        <f aca="false">IFERROR((G88+G86)/G76,0)</f>
        <v>1.63513341521229</v>
      </c>
      <c r="H89" s="36" t="n">
        <f aca="false">IFERROR((H88+H86)/H76,0)</f>
        <v>1.63393755942762</v>
      </c>
      <c r="I89" s="36" t="n">
        <f aca="false">IFERROR((I88+I86)/I76,0)</f>
        <v>1.63325795916829</v>
      </c>
      <c r="J89" s="36" t="n">
        <f aca="false">IFERROR((J88+J86)/J76,0)</f>
        <v>1.63286451549236</v>
      </c>
      <c r="K89" s="36" t="n">
        <f aca="false">IFERROR((K88+K86)/K76,0)</f>
        <v>1.63263069970264</v>
      </c>
      <c r="L89" s="36" t="n">
        <f aca="false">IFERROR((L88+L86)/L76,0)</f>
        <v>1.6324881889294</v>
      </c>
      <c r="M89" s="36" t="n">
        <f aca="false">IFERROR((M88+M86)/M76,0)</f>
        <v>1.63240102408997</v>
      </c>
      <c r="N89" s="36" t="n">
        <f aca="false">IFERROR((N88+N86)/N76,0)</f>
        <v>1.63234738896361</v>
      </c>
      <c r="P89" s="8" t="s">
        <v>602</v>
      </c>
      <c r="Q89" s="8" t="s">
        <v>635</v>
      </c>
    </row>
    <row r="90" customFormat="false" ht="15" hidden="false" customHeight="false" outlineLevel="0" collapsed="false">
      <c r="A90" s="8" t="s">
        <v>310</v>
      </c>
      <c r="B90" s="8" t="s">
        <v>259</v>
      </c>
      <c r="C90" s="30" t="n">
        <f aca="false">C77*C89</f>
        <v>6.76328763029566</v>
      </c>
      <c r="D90" s="30" t="n">
        <f aca="false">D77*D89</f>
        <v>6.83254675193522</v>
      </c>
      <c r="E90" s="30" t="n">
        <f aca="false">E77*E89</f>
        <v>7.22289343383348</v>
      </c>
      <c r="F90" s="30" t="n">
        <f aca="false">F77*F89</f>
        <v>6.99237946413824</v>
      </c>
      <c r="G90" s="30" t="n">
        <f aca="false">G77*G89</f>
        <v>7.05352149182729</v>
      </c>
      <c r="H90" s="30" t="n">
        <f aca="false">H77*H89</f>
        <v>7.25981378157885</v>
      </c>
      <c r="I90" s="30" t="n">
        <f aca="false">I77*I89</f>
        <v>7.18633990945609</v>
      </c>
      <c r="J90" s="30" t="n">
        <f aca="false">J77*J89</f>
        <v>7.25504609685037</v>
      </c>
      <c r="K90" s="30" t="n">
        <f aca="false">K77*K89</f>
        <v>7.39486172963334</v>
      </c>
      <c r="L90" s="30" t="n">
        <f aca="false">L77*L89</f>
        <v>7.18295291810068</v>
      </c>
      <c r="M90" s="30" t="n">
        <f aca="false">M77*M89</f>
        <v>6.90090000460326</v>
      </c>
      <c r="N90" s="30" t="n">
        <f aca="false">N77*N89</f>
        <v>6.7598431979574</v>
      </c>
      <c r="O90" s="42" t="n">
        <f aca="false">SUM(C90:N90)</f>
        <v>84.8043864102099</v>
      </c>
      <c r="P90" s="8" t="s">
        <v>602</v>
      </c>
      <c r="Q90" s="8" t="s">
        <v>636</v>
      </c>
    </row>
    <row r="91" customFormat="false" ht="15" hidden="false" customHeight="false" outlineLevel="0" collapsed="false">
      <c r="A91" s="8" t="s">
        <v>637</v>
      </c>
      <c r="B91" s="8" t="s">
        <v>259</v>
      </c>
      <c r="C91" s="30" t="n">
        <f aca="false">C88+C86-C90</f>
        <v>7.85167641862635</v>
      </c>
      <c r="D91" s="30" t="n">
        <f aca="false">D88+D86-D90</f>
        <v>8.86173966669113</v>
      </c>
      <c r="E91" s="30" t="n">
        <f aca="false">E88+E86-E90</f>
        <v>9.48145623285765</v>
      </c>
      <c r="F91" s="30" t="n">
        <f aca="false">F88+F86-F90</f>
        <v>10.3316867687194</v>
      </c>
      <c r="G91" s="30" t="n">
        <f aca="false">G88+G86-G90</f>
        <v>11.1207752768921</v>
      </c>
      <c r="H91" s="30" t="n">
        <f aca="false">H88+H86-H90</f>
        <v>11.7035714953133</v>
      </c>
      <c r="I91" s="30" t="n">
        <f aca="false">I88+I86-I90</f>
        <v>12.3598415858572</v>
      </c>
      <c r="J91" s="30" t="n">
        <f aca="false">J88+J86-J90</f>
        <v>12.9474054890068</v>
      </c>
      <c r="K91" s="30" t="n">
        <f aca="false">K88+K86-K90</f>
        <v>13.3951537593735</v>
      </c>
      <c r="L91" s="30" t="n">
        <f aca="false">L88+L86-L90</f>
        <v>14.0548108412728</v>
      </c>
      <c r="M91" s="30" t="n">
        <f aca="false">M88+M86-M90</f>
        <v>14.9965208366696</v>
      </c>
      <c r="N91" s="30" t="n">
        <f aca="false">N88+N86-N90</f>
        <v>16.0792876387122</v>
      </c>
      <c r="O91" s="42" t="n">
        <f aca="false">N91</f>
        <v>16.0792876387122</v>
      </c>
      <c r="P91" s="8" t="s">
        <v>602</v>
      </c>
      <c r="Q91" s="8" t="s">
        <v>638</v>
      </c>
    </row>
    <row r="92" customFormat="false" ht="15" hidden="false" customHeight="false" outlineLevel="0" collapsed="false">
      <c r="A92" s="8" t="s">
        <v>639</v>
      </c>
      <c r="B92" s="8" t="s">
        <v>259</v>
      </c>
      <c r="C92" s="30" t="n">
        <f aca="false">C82-C77*IFERROR(C83/C73,0)</f>
        <v>9.14003170847579</v>
      </c>
      <c r="D92" s="30" t="n">
        <f aca="false">D82-D77*IFERROR(D83/D73,0)</f>
        <v>9.3345004682306</v>
      </c>
      <c r="E92" s="30" t="n">
        <f aca="false">E82-E77*IFERROR(E83/E73,0)</f>
        <v>9.91790674749501</v>
      </c>
      <c r="F92" s="30" t="n">
        <f aca="false">F82-F77*IFERROR(F83/F73,0)</f>
        <v>9.6262036078628</v>
      </c>
      <c r="G92" s="30" t="n">
        <f aca="false">G82-G77*IFERROR(G83/G73,0)</f>
        <v>9.72343798774021</v>
      </c>
      <c r="H92" s="30" t="n">
        <f aca="false">H82-H77*IFERROR(H83/H73,0)</f>
        <v>10.0151411273724</v>
      </c>
      <c r="I92" s="30" t="n">
        <f aca="false">I82-I77*IFERROR(I83/I73,0)</f>
        <v>9.91790674749501</v>
      </c>
      <c r="J92" s="30" t="n">
        <f aca="false">J82-J77*IFERROR(J83/J73,0)</f>
        <v>10.0151411273724</v>
      </c>
      <c r="K92" s="30" t="n">
        <f aca="false">K82-K77*IFERROR(K83/K73,0)</f>
        <v>10.2096098871272</v>
      </c>
      <c r="L92" s="30" t="n">
        <f aca="false">L82-L77*IFERROR(L83/L73,0)</f>
        <v>9.91790674749501</v>
      </c>
      <c r="M92" s="30" t="n">
        <f aca="false">M82-M77*IFERROR(M83/M73,0)</f>
        <v>9.5289692279854</v>
      </c>
      <c r="N92" s="30" t="n">
        <f aca="false">N82-N77*IFERROR(N83/N73,0)</f>
        <v>9.3345004682306</v>
      </c>
      <c r="O92" s="42" t="n">
        <f aca="false">SUM(C92:N92)</f>
        <v>116.681255852882</v>
      </c>
      <c r="P92" s="8" t="s">
        <v>602</v>
      </c>
      <c r="Q92" s="8" t="s">
        <v>640</v>
      </c>
    </row>
    <row r="93" customFormat="false" ht="15" hidden="false" customHeight="false" outlineLevel="0" collapsed="false">
      <c r="A93" s="8" t="s">
        <v>641</v>
      </c>
      <c r="B93" s="8" t="s">
        <v>226</v>
      </c>
      <c r="C93" s="35" t="n">
        <f aca="false">IFERROR(C92/C82,0)</f>
        <v>0.669657808026792</v>
      </c>
      <c r="D93" s="35" t="n">
        <f aca="false">IFERROR(D92/D82,0)</f>
        <v>0.669657808026792</v>
      </c>
      <c r="E93" s="35" t="n">
        <f aca="false">IFERROR(E92/E82,0)</f>
        <v>0.669657808026792</v>
      </c>
      <c r="F93" s="35" t="n">
        <f aca="false">IFERROR(F92/F82,0)</f>
        <v>0.669657808026792</v>
      </c>
      <c r="G93" s="35" t="n">
        <f aca="false">IFERROR(G92/G82,0)</f>
        <v>0.669657808026792</v>
      </c>
      <c r="H93" s="35" t="n">
        <f aca="false">IFERROR(H92/H82,0)</f>
        <v>0.669657808026792</v>
      </c>
      <c r="I93" s="35" t="n">
        <f aca="false">IFERROR(I92/I82,0)</f>
        <v>0.669657808026792</v>
      </c>
      <c r="J93" s="35" t="n">
        <f aca="false">IFERROR(J92/J82,0)</f>
        <v>0.669657808026792</v>
      </c>
      <c r="K93" s="35" t="n">
        <f aca="false">IFERROR(K92/K82,0)</f>
        <v>0.669657808026792</v>
      </c>
      <c r="L93" s="35" t="n">
        <f aca="false">IFERROR(L92/L82,0)</f>
        <v>0.669657808026792</v>
      </c>
      <c r="M93" s="35" t="n">
        <f aca="false">IFERROR(M92/M82,0)</f>
        <v>0.669657808026792</v>
      </c>
      <c r="N93" s="35" t="n">
        <f aca="false">IFERROR(N92/N82,0)</f>
        <v>0.669657808026792</v>
      </c>
      <c r="O93" s="57" t="n">
        <f aca="false">IFERROR(O92/O82,0)</f>
        <v>0.669657808026792</v>
      </c>
      <c r="P93" s="8" t="s">
        <v>602</v>
      </c>
      <c r="Q93" s="8" t="s">
        <v>642</v>
      </c>
    </row>
    <row r="94" customFormat="false" ht="15" hidden="false" customHeight="false" outlineLevel="0" collapsed="false">
      <c r="A94" s="44" t="s">
        <v>312</v>
      </c>
      <c r="B94" s="45" t="s">
        <v>259</v>
      </c>
      <c r="C94" s="61" t="n">
        <f aca="false">C82-C90</f>
        <v>6.88552165546139</v>
      </c>
      <c r="D94" s="61" t="n">
        <f aca="false">D82-D90</f>
        <v>7.10666273139113</v>
      </c>
      <c r="E94" s="61" t="n">
        <f aca="false">E82-E90</f>
        <v>7.58751664220077</v>
      </c>
      <c r="F94" s="61" t="n">
        <f aca="false">F82-F90</f>
        <v>7.38243031554205</v>
      </c>
      <c r="G94" s="61" t="n">
        <f aca="false">G82-G90</f>
        <v>7.46648838663766</v>
      </c>
      <c r="H94" s="61" t="n">
        <f aca="false">H82-H90</f>
        <v>7.69579639324005</v>
      </c>
      <c r="I94" s="61" t="n">
        <f aca="false">I82-I90</f>
        <v>7.62407016657816</v>
      </c>
      <c r="J94" s="61" t="n">
        <f aca="false">J82-J90</f>
        <v>7.70056407796853</v>
      </c>
      <c r="K94" s="61" t="n">
        <f aca="false">K82-K90</f>
        <v>7.85114864275486</v>
      </c>
      <c r="L94" s="61" t="n">
        <f aca="false">L82-L90</f>
        <v>7.62745715793357</v>
      </c>
      <c r="M94" s="61" t="n">
        <f aca="false">M82-M90</f>
        <v>7.32870967629239</v>
      </c>
      <c r="N94" s="61" t="n">
        <f aca="false">N82-N90</f>
        <v>7.17936628536895</v>
      </c>
      <c r="O94" s="62" t="n">
        <f aca="false">SUM(C94:N94)</f>
        <v>89.4357321313695</v>
      </c>
      <c r="P94" s="8" t="s">
        <v>602</v>
      </c>
      <c r="Q94" s="8" t="s">
        <v>313</v>
      </c>
    </row>
    <row r="95" customFormat="false" ht="15" hidden="false" customHeight="false" outlineLevel="0" collapsed="false">
      <c r="A95" s="8" t="s">
        <v>643</v>
      </c>
      <c r="B95" s="8" t="s">
        <v>226</v>
      </c>
      <c r="C95" s="35" t="n">
        <f aca="false">IFERROR(C94/C82,0)</f>
        <v>0.504477827428261</v>
      </c>
      <c r="D95" s="35" t="n">
        <f aca="false">IFERROR(D94/D82,0)</f>
        <v>0.509832551113598</v>
      </c>
      <c r="E95" s="35" t="n">
        <f aca="false">IFERROR(E94/E82,0)</f>
        <v>0.512309693198749</v>
      </c>
      <c r="F95" s="35" t="n">
        <f aca="false">IFERROR(F94/F82,0)</f>
        <v>0.513567165666261</v>
      </c>
      <c r="G95" s="35" t="n">
        <f aca="false">IFERROR(G94/G82,0)</f>
        <v>0.514220613424749</v>
      </c>
      <c r="H95" s="35" t="n">
        <f aca="false">IFERROR(H94/H82,0)</f>
        <v>0.514575888464761</v>
      </c>
      <c r="I95" s="35" t="n">
        <f aca="false">IFERROR(I94/I82,0)</f>
        <v>0.51477778990841</v>
      </c>
      <c r="J95" s="35" t="n">
        <f aca="false">IFERROR(J94/J82,0)</f>
        <v>0.514894677512667</v>
      </c>
      <c r="K95" s="35" t="n">
        <f aca="false">IFERROR(K94/K82,0)</f>
        <v>0.514964141502485</v>
      </c>
      <c r="L95" s="35" t="n">
        <f aca="false">IFERROR(L94/L82,0)</f>
        <v>0.515006479818954</v>
      </c>
      <c r="M95" s="35" t="n">
        <f aca="false">IFERROR(M94/M82,0)</f>
        <v>0.515032375493177</v>
      </c>
      <c r="N95" s="35" t="n">
        <f aca="false">IFERROR(N94/N82,0)</f>
        <v>0.51504830987415</v>
      </c>
      <c r="O95" s="57" t="n">
        <f aca="false">IFERROR(O94/O82,0)</f>
        <v>0.513290124455621</v>
      </c>
      <c r="P95" s="8" t="s">
        <v>602</v>
      </c>
      <c r="Q95" s="8" t="s">
        <v>644</v>
      </c>
    </row>
    <row r="97" customFormat="false" ht="15" hidden="false" customHeight="false" outlineLevel="0" collapsed="false">
      <c r="A97" s="16" t="s">
        <v>647</v>
      </c>
      <c r="B97" s="17"/>
      <c r="C97" s="17"/>
      <c r="D97" s="17"/>
      <c r="E97" s="17"/>
      <c r="F97" s="17"/>
      <c r="G97" s="17"/>
      <c r="H97" s="17"/>
      <c r="I97" s="17"/>
      <c r="J97" s="17"/>
      <c r="K97" s="17"/>
      <c r="L97" s="17"/>
      <c r="M97" s="17"/>
      <c r="N97" s="17"/>
      <c r="O97" s="17"/>
      <c r="P97" s="17"/>
      <c r="Q97" s="17"/>
    </row>
    <row r="98" customFormat="false" ht="15" hidden="false" customHeight="false" outlineLevel="0" collapsed="false">
      <c r="A98" s="44" t="s">
        <v>22</v>
      </c>
      <c r="B98" s="45" t="s">
        <v>259</v>
      </c>
      <c r="C98" s="61" t="n">
        <f aca="false">C22+C52+C82</f>
        <v>89.7317525294857</v>
      </c>
      <c r="D98" s="61" t="n">
        <f aca="false">D22+D52+D82</f>
        <v>91.6409387535173</v>
      </c>
      <c r="E98" s="61" t="n">
        <f aca="false">E22+E52+E82</f>
        <v>97.3684974256122</v>
      </c>
      <c r="F98" s="61" t="n">
        <f aca="false">F22+F52+F82</f>
        <v>94.5047180895648</v>
      </c>
      <c r="G98" s="61" t="n">
        <f aca="false">G22+G52+G82</f>
        <v>95.4593112015806</v>
      </c>
      <c r="H98" s="61" t="n">
        <f aca="false">H22+H52+H82</f>
        <v>98.323090537628</v>
      </c>
      <c r="I98" s="61" t="n">
        <f aca="false">I22+I52+I82</f>
        <v>97.3684974256122</v>
      </c>
      <c r="J98" s="61" t="n">
        <f aca="false">J22+J52+J82</f>
        <v>98.323090537628</v>
      </c>
      <c r="K98" s="61" t="n">
        <f aca="false">K22+K52+K82</f>
        <v>100.23227676166</v>
      </c>
      <c r="L98" s="61" t="n">
        <f aca="false">L22+L52+L82</f>
        <v>97.3684974256122</v>
      </c>
      <c r="M98" s="61" t="n">
        <f aca="false">M22+M52+M82</f>
        <v>93.550124977549</v>
      </c>
      <c r="N98" s="61" t="n">
        <f aca="false">N22+N52+N82</f>
        <v>91.6409387535173</v>
      </c>
      <c r="O98" s="62" t="n">
        <f aca="false">SUM(C98:N98)</f>
        <v>1145.51173441897</v>
      </c>
      <c r="P98" s="8" t="s">
        <v>602</v>
      </c>
      <c r="Q98" s="8" t="s">
        <v>648</v>
      </c>
    </row>
    <row r="99" customFormat="false" ht="15" hidden="false" customHeight="false" outlineLevel="0" collapsed="false">
      <c r="A99" s="8" t="s">
        <v>306</v>
      </c>
      <c r="B99" s="8" t="s">
        <v>259</v>
      </c>
      <c r="C99" s="30" t="n">
        <f aca="false">C24+C54+C84</f>
        <v>25.363338</v>
      </c>
      <c r="D99" s="30" t="n">
        <f aca="false">D24+D54+D84</f>
        <v>25.363338</v>
      </c>
      <c r="E99" s="30" t="n">
        <f aca="false">E24+E54+E84</f>
        <v>25.363338</v>
      </c>
      <c r="F99" s="30" t="n">
        <f aca="false">F24+F54+F84</f>
        <v>25.363338</v>
      </c>
      <c r="G99" s="30" t="n">
        <f aca="false">G24+G54+G84</f>
        <v>25.363338</v>
      </c>
      <c r="H99" s="30" t="n">
        <f aca="false">H24+H54+H84</f>
        <v>25.363338</v>
      </c>
      <c r="I99" s="30" t="n">
        <f aca="false">I24+I54+I84</f>
        <v>25.363338</v>
      </c>
      <c r="J99" s="30" t="n">
        <f aca="false">J24+J54+J84</f>
        <v>25.363338</v>
      </c>
      <c r="K99" s="30" t="n">
        <f aca="false">K24+K54+K84</f>
        <v>25.363338</v>
      </c>
      <c r="L99" s="30" t="n">
        <f aca="false">L24+L54+L84</f>
        <v>25.363338</v>
      </c>
      <c r="M99" s="30" t="n">
        <f aca="false">M24+M54+M84</f>
        <v>25.363338</v>
      </c>
      <c r="N99" s="30" t="n">
        <f aca="false">N24+N54+N84</f>
        <v>25.363338</v>
      </c>
      <c r="O99" s="42" t="n">
        <f aca="false">SUM(C99:N99)</f>
        <v>304.360056</v>
      </c>
      <c r="P99" s="8" t="s">
        <v>602</v>
      </c>
      <c r="Q99" s="8" t="s">
        <v>648</v>
      </c>
    </row>
    <row r="100" customFormat="false" ht="15" hidden="false" customHeight="false" outlineLevel="0" collapsed="false">
      <c r="A100" s="8" t="s">
        <v>308</v>
      </c>
      <c r="B100" s="8" t="s">
        <v>259</v>
      </c>
      <c r="C100" s="30" t="n">
        <f aca="false">C25+C55+C85</f>
        <v>14.5</v>
      </c>
      <c r="D100" s="30" t="n">
        <f aca="false">D25+D55+D85</f>
        <v>14.5</v>
      </c>
      <c r="E100" s="30" t="n">
        <f aca="false">E25+E55+E85</f>
        <v>14.5</v>
      </c>
      <c r="F100" s="30" t="n">
        <f aca="false">F25+F55+F85</f>
        <v>14.5</v>
      </c>
      <c r="G100" s="30" t="n">
        <f aca="false">G25+G55+G85</f>
        <v>14.5</v>
      </c>
      <c r="H100" s="30" t="n">
        <f aca="false">H25+H55+H85</f>
        <v>14.5</v>
      </c>
      <c r="I100" s="30" t="n">
        <f aca="false">I25+I55+I85</f>
        <v>14.5</v>
      </c>
      <c r="J100" s="30" t="n">
        <f aca="false">J25+J55+J85</f>
        <v>14.5</v>
      </c>
      <c r="K100" s="30" t="n">
        <f aca="false">K25+K55+K85</f>
        <v>14.5</v>
      </c>
      <c r="L100" s="30" t="n">
        <f aca="false">L25+L55+L85</f>
        <v>14.5</v>
      </c>
      <c r="M100" s="30" t="n">
        <f aca="false">M25+M55+M85</f>
        <v>14.5</v>
      </c>
      <c r="N100" s="30" t="n">
        <f aca="false">N25+N55+N85</f>
        <v>14.5</v>
      </c>
      <c r="O100" s="42" t="n">
        <f aca="false">SUM(C100:N100)</f>
        <v>174</v>
      </c>
      <c r="P100" s="8" t="s">
        <v>602</v>
      </c>
      <c r="Q100" s="8" t="s">
        <v>648</v>
      </c>
    </row>
    <row r="101" customFormat="false" ht="15" hidden="false" customHeight="false" outlineLevel="0" collapsed="false">
      <c r="A101" s="8" t="s">
        <v>630</v>
      </c>
      <c r="B101" s="8" t="s">
        <v>259</v>
      </c>
      <c r="C101" s="30" t="n">
        <f aca="false">C26+C56+C86</f>
        <v>39.863338</v>
      </c>
      <c r="D101" s="30" t="n">
        <f aca="false">D26+D56+D86</f>
        <v>39.863338</v>
      </c>
      <c r="E101" s="30" t="n">
        <f aca="false">E26+E56+E86</f>
        <v>39.863338</v>
      </c>
      <c r="F101" s="30" t="n">
        <f aca="false">F26+F56+F86</f>
        <v>39.863338</v>
      </c>
      <c r="G101" s="30" t="n">
        <f aca="false">G26+G56+G86</f>
        <v>39.863338</v>
      </c>
      <c r="H101" s="30" t="n">
        <f aca="false">H26+H56+H86</f>
        <v>39.863338</v>
      </c>
      <c r="I101" s="30" t="n">
        <f aca="false">I26+I56+I86</f>
        <v>39.863338</v>
      </c>
      <c r="J101" s="30" t="n">
        <f aca="false">J26+J56+J86</f>
        <v>39.863338</v>
      </c>
      <c r="K101" s="30" t="n">
        <f aca="false">K26+K56+K86</f>
        <v>39.863338</v>
      </c>
      <c r="L101" s="30" t="n">
        <f aca="false">L26+L56+L86</f>
        <v>39.863338</v>
      </c>
      <c r="M101" s="30" t="n">
        <f aca="false">M26+M56+M86</f>
        <v>39.863338</v>
      </c>
      <c r="N101" s="30" t="n">
        <f aca="false">N26+N56+N86</f>
        <v>39.863338</v>
      </c>
      <c r="O101" s="42" t="n">
        <f aca="false">SUM(C101:N101)</f>
        <v>478.360056</v>
      </c>
      <c r="P101" s="8" t="s">
        <v>602</v>
      </c>
      <c r="Q101" s="8" t="s">
        <v>648</v>
      </c>
    </row>
    <row r="102" customFormat="false" ht="15" hidden="false" customHeight="false" outlineLevel="0" collapsed="false">
      <c r="A102" s="8" t="s">
        <v>310</v>
      </c>
      <c r="B102" s="8" t="s">
        <v>259</v>
      </c>
      <c r="C102" s="30" t="n">
        <f aca="false">C30+C60+C90</f>
        <v>37.8969392503702</v>
      </c>
      <c r="D102" s="30" t="n">
        <f aca="false">D30+D60+D90</f>
        <v>38.3367745166976</v>
      </c>
      <c r="E102" s="30" t="n">
        <f aca="false">E30+E60+E90</f>
        <v>40.5504912665927</v>
      </c>
      <c r="F102" s="30" t="n">
        <f aca="false">F30+F60+F90</f>
        <v>39.2700154529594</v>
      </c>
      <c r="G102" s="30" t="n">
        <f aca="false">G30+G60+G90</f>
        <v>39.6235450899804</v>
      </c>
      <c r="H102" s="30" t="n">
        <f aca="false">H30+H60+H90</f>
        <v>40.7902870660209</v>
      </c>
      <c r="I102" s="30" t="n">
        <f aca="false">I30+I60+I90</f>
        <v>40.3832606890625</v>
      </c>
      <c r="J102" s="30" t="n">
        <f aca="false">J30+J60+J90</f>
        <v>40.7735954599277</v>
      </c>
      <c r="K102" s="30" t="n">
        <f aca="false">K30+K60+K90</f>
        <v>41.5624205879339</v>
      </c>
      <c r="L102" s="30" t="n">
        <f aca="false">L30+L60+L90</f>
        <v>40.3734609759448</v>
      </c>
      <c r="M102" s="30" t="n">
        <f aca="false">M30+M60+M90</f>
        <v>38.7894592214872</v>
      </c>
      <c r="N102" s="30" t="n">
        <f aca="false">N30+N60+N90</f>
        <v>37.9974598474738</v>
      </c>
      <c r="O102" s="42" t="n">
        <f aca="false">SUM(C102:N102)</f>
        <v>476.347709424451</v>
      </c>
      <c r="P102" s="8" t="s">
        <v>602</v>
      </c>
      <c r="Q102" s="8" t="s">
        <v>648</v>
      </c>
    </row>
    <row r="103" customFormat="false" ht="15" hidden="false" customHeight="false" outlineLevel="0" collapsed="false">
      <c r="A103" s="8" t="s">
        <v>639</v>
      </c>
      <c r="B103" s="8" t="s">
        <v>259</v>
      </c>
      <c r="C103" s="30" t="n">
        <f aca="false">C32+C62+C92</f>
        <v>66.0944861776312</v>
      </c>
      <c r="D103" s="30" t="n">
        <f aca="false">D32+D62+D92</f>
        <v>67.500751840985</v>
      </c>
      <c r="E103" s="30" t="n">
        <f aca="false">E32+E62+E92</f>
        <v>71.7195488310466</v>
      </c>
      <c r="F103" s="30" t="n">
        <f aca="false">F32+F62+F92</f>
        <v>69.6101503360158</v>
      </c>
      <c r="G103" s="30" t="n">
        <f aca="false">G32+G62+G92</f>
        <v>70.3132831676927</v>
      </c>
      <c r="H103" s="30" t="n">
        <f aca="false">H32+H62+H92</f>
        <v>72.4226816627235</v>
      </c>
      <c r="I103" s="30" t="n">
        <f aca="false">I32+I62+I92</f>
        <v>71.7195488310466</v>
      </c>
      <c r="J103" s="30" t="n">
        <f aca="false">J32+J62+J92</f>
        <v>72.4226816627235</v>
      </c>
      <c r="K103" s="30" t="n">
        <f aca="false">K32+K62+K92</f>
        <v>73.8289473260774</v>
      </c>
      <c r="L103" s="30" t="n">
        <f aca="false">L32+L62+L92</f>
        <v>71.7195488310466</v>
      </c>
      <c r="M103" s="30" t="n">
        <f aca="false">M32+M62+M92</f>
        <v>68.9070175043389</v>
      </c>
      <c r="N103" s="30" t="n">
        <f aca="false">N32+N62+N92</f>
        <v>67.500751840985</v>
      </c>
      <c r="O103" s="42" t="n">
        <f aca="false">SUM(C103:N103)</f>
        <v>843.759398012313</v>
      </c>
      <c r="P103" s="8" t="s">
        <v>602</v>
      </c>
      <c r="Q103" s="8" t="s">
        <v>648</v>
      </c>
    </row>
    <row r="104" customFormat="false" ht="15" hidden="false" customHeight="false" outlineLevel="0" collapsed="false">
      <c r="A104" s="8" t="s">
        <v>641</v>
      </c>
      <c r="B104" s="8" t="s">
        <v>226</v>
      </c>
      <c r="C104" s="35" t="n">
        <f aca="false">IFERROR(C103/C98,0)</f>
        <v>0.736578572405711</v>
      </c>
      <c r="D104" s="35" t="n">
        <f aca="false">IFERROR(D103/D98,0)</f>
        <v>0.736578572405711</v>
      </c>
      <c r="E104" s="35" t="n">
        <f aca="false">IFERROR(E103/E98,0)</f>
        <v>0.736578572405711</v>
      </c>
      <c r="F104" s="35" t="n">
        <f aca="false">IFERROR(F103/F98,0)</f>
        <v>0.736578572405711</v>
      </c>
      <c r="G104" s="35" t="n">
        <f aca="false">IFERROR(G103/G98,0)</f>
        <v>0.736578572405711</v>
      </c>
      <c r="H104" s="35" t="n">
        <f aca="false">IFERROR(H103/H98,0)</f>
        <v>0.736578572405711</v>
      </c>
      <c r="I104" s="35" t="n">
        <f aca="false">IFERROR(I103/I98,0)</f>
        <v>0.736578572405711</v>
      </c>
      <c r="J104" s="35" t="n">
        <f aca="false">IFERROR(J103/J98,0)</f>
        <v>0.736578572405711</v>
      </c>
      <c r="K104" s="35" t="n">
        <f aca="false">IFERROR(K103/K98,0)</f>
        <v>0.736578572405711</v>
      </c>
      <c r="L104" s="35" t="n">
        <f aca="false">IFERROR(L103/L98,0)</f>
        <v>0.736578572405711</v>
      </c>
      <c r="M104" s="35" t="n">
        <f aca="false">IFERROR(M103/M98,0)</f>
        <v>0.736578572405711</v>
      </c>
      <c r="N104" s="35" t="n">
        <f aca="false">IFERROR(N103/N98,0)</f>
        <v>0.736578572405711</v>
      </c>
      <c r="O104" s="57" t="n">
        <f aca="false">IFERROR(O103/O98,0)</f>
        <v>0.736578572405711</v>
      </c>
      <c r="P104" s="8" t="s">
        <v>602</v>
      </c>
      <c r="Q104" s="8" t="s">
        <v>642</v>
      </c>
    </row>
    <row r="105" customFormat="false" ht="15" hidden="false" customHeight="false" outlineLevel="0" collapsed="false">
      <c r="A105" s="44" t="s">
        <v>312</v>
      </c>
      <c r="B105" s="45" t="s">
        <v>259</v>
      </c>
      <c r="C105" s="61" t="n">
        <f aca="false">C34+C64+C94</f>
        <v>51.8348132791155</v>
      </c>
      <c r="D105" s="61" t="n">
        <f aca="false">D34+D64+D94</f>
        <v>53.3041642368197</v>
      </c>
      <c r="E105" s="61" t="n">
        <f aca="false">E34+E64+E94</f>
        <v>56.8180061590195</v>
      </c>
      <c r="F105" s="61" t="n">
        <f aca="false">F34+F64+F94</f>
        <v>55.2347026366054</v>
      </c>
      <c r="G105" s="61" t="n">
        <f aca="false">G34+G64+G94</f>
        <v>55.8357661116002</v>
      </c>
      <c r="H105" s="61" t="n">
        <f aca="false">H34+H64+H94</f>
        <v>57.5328034716071</v>
      </c>
      <c r="I105" s="61" t="n">
        <f aca="false">I34+I64+I94</f>
        <v>56.9852367365497</v>
      </c>
      <c r="J105" s="61" t="n">
        <f aca="false">J34+J64+J94</f>
        <v>57.5494950777002</v>
      </c>
      <c r="K105" s="61" t="n">
        <f aca="false">K34+K64+K94</f>
        <v>58.6698561737257</v>
      </c>
      <c r="L105" s="61" t="n">
        <f aca="false">L34+L64+L94</f>
        <v>56.9950364496674</v>
      </c>
      <c r="M105" s="61" t="n">
        <f aca="false">M34+M64+M94</f>
        <v>54.7606657560617</v>
      </c>
      <c r="N105" s="61" t="n">
        <f aca="false">N34+N64+N94</f>
        <v>53.6434789060435</v>
      </c>
      <c r="O105" s="62" t="n">
        <f aca="false">SUM(C105:N105)</f>
        <v>669.164024994516</v>
      </c>
      <c r="P105" s="8" t="s">
        <v>602</v>
      </c>
      <c r="Q105" s="8" t="s">
        <v>648</v>
      </c>
    </row>
    <row r="106" customFormat="false" ht="15" hidden="false" customHeight="false" outlineLevel="0" collapsed="false">
      <c r="A106" s="8" t="s">
        <v>643</v>
      </c>
      <c r="B106" s="8" t="s">
        <v>226</v>
      </c>
      <c r="C106" s="35" t="n">
        <f aca="false">IFERROR(C105/C98,0)</f>
        <v>0.577664113515254</v>
      </c>
      <c r="D106" s="35" t="n">
        <f aca="false">IFERROR(D105/D98,0)</f>
        <v>0.581663227830845</v>
      </c>
      <c r="E106" s="35" t="n">
        <f aca="false">IFERROR(E105/E98,0)</f>
        <v>0.583535821762346</v>
      </c>
      <c r="F106" s="35" t="n">
        <f aca="false">IFERROR(F105/F98,0)</f>
        <v>0.584465027283166</v>
      </c>
      <c r="G106" s="35" t="n">
        <f aca="false">IFERROR(G105/G98,0)</f>
        <v>0.584916918096049</v>
      </c>
      <c r="H106" s="35" t="n">
        <f aca="false">IFERROR(H105/H98,0)</f>
        <v>0.585140307907525</v>
      </c>
      <c r="I106" s="35" t="n">
        <f aca="false">IFERROR(I105/I98,0)</f>
        <v>0.585253323643876</v>
      </c>
      <c r="J106" s="35" t="n">
        <f aca="false">IFERROR(J105/J98,0)</f>
        <v>0.585310070737415</v>
      </c>
      <c r="K106" s="35" t="n">
        <f aca="false">IFERROR(K105/K98,0)</f>
        <v>0.585338955366999</v>
      </c>
      <c r="L106" s="35" t="n">
        <f aca="false">IFERROR(L105/L98,0)</f>
        <v>0.585353969267222</v>
      </c>
      <c r="M106" s="35" t="n">
        <f aca="false">IFERROR(M105/M98,0)</f>
        <v>0.585361759476042</v>
      </c>
      <c r="N106" s="35" t="n">
        <f aca="false">IFERROR(N105/N98,0)</f>
        <v>0.585365881621161</v>
      </c>
      <c r="O106" s="57" t="n">
        <f aca="false">IFERROR(O105/O98,0)</f>
        <v>0.584161650106477</v>
      </c>
      <c r="P106" s="8" t="s">
        <v>602</v>
      </c>
      <c r="Q106" s="8" t="s">
        <v>644</v>
      </c>
    </row>
    <row r="107" customFormat="false" ht="15" hidden="false" customHeight="false" outlineLevel="0" collapsed="false">
      <c r="A107" s="8" t="s">
        <v>649</v>
      </c>
      <c r="B107" s="8" t="s">
        <v>259</v>
      </c>
      <c r="C107" s="30" t="n">
        <f aca="false">C31+C61+C91</f>
        <v>37.6248669327839</v>
      </c>
      <c r="D107" s="30" t="n">
        <f aca="false">D31+D61+D91</f>
        <v>39.1514304160863</v>
      </c>
      <c r="E107" s="30" t="n">
        <f aca="false">E31+E61+E91</f>
        <v>38.4642771494936</v>
      </c>
      <c r="F107" s="30" t="n">
        <f aca="false">F31+F61+F91</f>
        <v>39.0575996965342</v>
      </c>
      <c r="G107" s="30" t="n">
        <f aca="false">G31+G61+G91</f>
        <v>39.2973926065539</v>
      </c>
      <c r="H107" s="30" t="n">
        <f aca="false">H31+H61+H91</f>
        <v>38.370443540533</v>
      </c>
      <c r="I107" s="30" t="n">
        <f aca="false">I31+I61+I91</f>
        <v>37.8505208514705</v>
      </c>
      <c r="J107" s="30" t="n">
        <f aca="false">J31+J61+J91</f>
        <v>36.9402633915427</v>
      </c>
      <c r="K107" s="30" t="n">
        <f aca="false">K31+K61+K91</f>
        <v>35.2411808036089</v>
      </c>
      <c r="L107" s="30" t="n">
        <f aca="false">L31+L61+L91</f>
        <v>34.7310578276641</v>
      </c>
      <c r="M107" s="30" t="n">
        <f aca="false">M31+M61+M91</f>
        <v>35.8049366061769</v>
      </c>
      <c r="N107" s="30" t="n">
        <f aca="false">N31+N61+N91</f>
        <v>37.670814758703</v>
      </c>
      <c r="O107" s="42" t="n">
        <f aca="false">N107</f>
        <v>37.670814758703</v>
      </c>
      <c r="P107" s="8" t="s">
        <v>602</v>
      </c>
      <c r="Q107" s="8" t="s">
        <v>650</v>
      </c>
    </row>
    <row r="108" customFormat="false" ht="15" hidden="false" customHeight="false" outlineLevel="0" collapsed="false">
      <c r="A108" s="8" t="s">
        <v>341</v>
      </c>
      <c r="B108" s="8" t="s">
        <v>259</v>
      </c>
      <c r="C108" s="30" t="n">
        <f aca="false">C19*C21+C49*C51+C79*C81</f>
        <v>0</v>
      </c>
      <c r="D108" s="30" t="n">
        <f aca="false">D19*D21+D49*D51+D79*D81</f>
        <v>0</v>
      </c>
      <c r="E108" s="30" t="n">
        <f aca="false">E19*E21+E49*E51+E79*E81</f>
        <v>0</v>
      </c>
      <c r="F108" s="30" t="n">
        <f aca="false">F19*F21+F49*F51+F79*F81</f>
        <v>0</v>
      </c>
      <c r="G108" s="30" t="n">
        <f aca="false">G19*G21+G49*G51+G79*G81</f>
        <v>0</v>
      </c>
      <c r="H108" s="30" t="n">
        <f aca="false">H19*H21+H49*H51+H79*H81</f>
        <v>0</v>
      </c>
      <c r="I108" s="30" t="n">
        <f aca="false">I19*I21+I49*I51+I79*I81</f>
        <v>0</v>
      </c>
      <c r="J108" s="30" t="n">
        <f aca="false">J19*J21+J49*J51+J79*J81</f>
        <v>0</v>
      </c>
      <c r="K108" s="30" t="n">
        <f aca="false">K19*K21+K49*K51+K79*K81</f>
        <v>0</v>
      </c>
      <c r="L108" s="30" t="n">
        <f aca="false">L19*L21+L49*L51+L79*L81</f>
        <v>0</v>
      </c>
      <c r="M108" s="30" t="n">
        <f aca="false">M19*M21+M49*M51+M79*M81</f>
        <v>0</v>
      </c>
      <c r="N108" s="30" t="n">
        <f aca="false">N19*N21+N49*N51+N79*N81</f>
        <v>0</v>
      </c>
      <c r="O108" s="42" t="n">
        <f aca="false">SUM(C108:N108)</f>
        <v>0</v>
      </c>
      <c r="P108" s="8" t="s">
        <v>602</v>
      </c>
      <c r="Q108" s="8" t="s">
        <v>651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ED7D31"/>
    <pageSetUpPr fitToPage="true"/>
  </sheetPr>
  <dimension ref="A1:W2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6" topLeftCell="C7" activePane="bottomRight" state="frozen"/>
      <selection pane="topLeft" activeCell="A1" activeCellId="0" sqref="A1"/>
      <selection pane="topRight" activeCell="C1" activeCellId="0" sqref="C1"/>
      <selection pane="bottomLeft" activeCell="A7" activeCellId="0" sqref="A7"/>
      <selection pane="bottomRight" activeCell="A1" activeCellId="0" sqref="A1"/>
    </sheetView>
  </sheetViews>
  <sheetFormatPr defaultColWidth="8.54296875" defaultRowHeight="15" customHeight="false" zeroHeight="false" outlineLevelRow="0" outlineLevelCol="0"/>
  <cols>
    <col collapsed="false" customWidth="true" hidden="false" outlineLevel="0" max="1" min="1" style="0" width="46"/>
    <col collapsed="false" customWidth="true" hidden="false" outlineLevel="0" max="2" min="2" style="0" width="10"/>
    <col collapsed="false" customWidth="true" hidden="false" outlineLevel="0" max="14" min="3" style="0" width="9.51"/>
    <col collapsed="false" customWidth="true" hidden="false" outlineLevel="0" max="15" min="15" style="0" width="11"/>
    <col collapsed="false" customWidth="true" hidden="false" outlineLevel="0" max="19" min="16" style="0" width="10"/>
    <col collapsed="false" customWidth="true" hidden="false" outlineLevel="0" max="20" min="20" style="0" width="11"/>
    <col collapsed="false" customWidth="true" hidden="false" outlineLevel="0" max="21" min="21" style="0" width="9"/>
    <col collapsed="false" customWidth="true" hidden="false" outlineLevel="0" max="22" min="22" style="0" width="24"/>
    <col collapsed="false" customWidth="true" hidden="false" outlineLevel="0" max="23" min="23" style="0" width="64"/>
  </cols>
  <sheetData>
    <row r="1" customFormat="false" ht="19.7" hidden="false" customHeight="false" outlineLevel="0" collapsed="false">
      <c r="A1" s="14" t="s">
        <v>652</v>
      </c>
    </row>
    <row r="2" customFormat="false" ht="15" hidden="false" customHeight="false" outlineLevel="0" collapsed="false">
      <c r="A2" s="4" t="s">
        <v>653</v>
      </c>
    </row>
    <row r="3" customFormat="false" ht="15" hidden="false" customHeight="false" outlineLevel="0" collapsed="false">
      <c r="A3" s="15" t="s">
        <v>2</v>
      </c>
    </row>
    <row r="4" customFormat="false" ht="15" hidden="false" customHeight="false" outlineLevel="0" collapsed="false">
      <c r="A4" s="7" t="s">
        <v>597</v>
      </c>
      <c r="B4" s="52" t="str">
        <f aca="false">Assumptions!$C$6</f>
        <v>Base</v>
      </c>
    </row>
    <row r="6" customFormat="false" ht="24.05" hidden="false" customHeight="false" outlineLevel="0" collapsed="false">
      <c r="A6" s="18" t="s">
        <v>372</v>
      </c>
      <c r="B6" s="19" t="s">
        <v>220</v>
      </c>
      <c r="C6" s="53" t="n">
        <f aca="false">Ops_Model!C$6</f>
        <v>46023</v>
      </c>
      <c r="D6" s="53" t="n">
        <f aca="false">Ops_Model!D$6</f>
        <v>46054</v>
      </c>
      <c r="E6" s="53" t="n">
        <f aca="false">Ops_Model!E$6</f>
        <v>46082</v>
      </c>
      <c r="F6" s="53" t="n">
        <f aca="false">Ops_Model!F$6</f>
        <v>46113</v>
      </c>
      <c r="G6" s="53" t="n">
        <f aca="false">Ops_Model!G$6</f>
        <v>46143</v>
      </c>
      <c r="H6" s="53" t="n">
        <f aca="false">Ops_Model!H$6</f>
        <v>46174</v>
      </c>
      <c r="I6" s="53" t="n">
        <f aca="false">Ops_Model!I$6</f>
        <v>46204</v>
      </c>
      <c r="J6" s="53" t="n">
        <f aca="false">Ops_Model!J$6</f>
        <v>46235</v>
      </c>
      <c r="K6" s="53" t="n">
        <f aca="false">Ops_Model!K$6</f>
        <v>46266</v>
      </c>
      <c r="L6" s="53" t="n">
        <f aca="false">Ops_Model!L$6</f>
        <v>46296</v>
      </c>
      <c r="M6" s="53" t="n">
        <f aca="false">Ops_Model!M$6</f>
        <v>46327</v>
      </c>
      <c r="N6" s="53" t="n">
        <f aca="false">Ops_Model!N$6</f>
        <v>46357</v>
      </c>
      <c r="O6" s="19" t="s">
        <v>598</v>
      </c>
      <c r="P6" s="19" t="s">
        <v>654</v>
      </c>
      <c r="Q6" s="19" t="s">
        <v>655</v>
      </c>
      <c r="R6" s="19" t="s">
        <v>656</v>
      </c>
      <c r="S6" s="19" t="s">
        <v>657</v>
      </c>
      <c r="T6" s="19" t="s">
        <v>658</v>
      </c>
      <c r="U6" s="19" t="s">
        <v>659</v>
      </c>
      <c r="V6" s="19" t="s">
        <v>99</v>
      </c>
      <c r="W6" s="19" t="s">
        <v>599</v>
      </c>
    </row>
    <row r="7" customFormat="false" ht="15" hidden="false" customHeight="false" outlineLevel="0" collapsed="false">
      <c r="A7" s="16" t="s">
        <v>660</v>
      </c>
      <c r="B7" s="17"/>
      <c r="C7" s="17"/>
      <c r="D7" s="17"/>
      <c r="E7" s="17"/>
      <c r="F7" s="17"/>
      <c r="G7" s="17"/>
      <c r="H7" s="17"/>
      <c r="I7" s="17"/>
      <c r="J7" s="17"/>
      <c r="K7" s="17"/>
      <c r="L7" s="17"/>
      <c r="M7" s="17"/>
      <c r="N7" s="17"/>
      <c r="O7" s="17"/>
      <c r="P7" s="17"/>
      <c r="Q7" s="17"/>
      <c r="R7" s="17"/>
      <c r="S7" s="17"/>
      <c r="T7" s="17"/>
      <c r="U7" s="17"/>
      <c r="V7" s="17"/>
      <c r="W7" s="17"/>
    </row>
    <row r="8" customFormat="false" ht="15" hidden="false" customHeight="false" outlineLevel="0" collapsed="false">
      <c r="A8" s="8" t="s">
        <v>299</v>
      </c>
      <c r="B8" s="8" t="s">
        <v>300</v>
      </c>
      <c r="C8" s="34" t="n">
        <f aca="false">Ops_Model!C$17</f>
        <v>64.0428815182901</v>
      </c>
      <c r="D8" s="34" t="n">
        <f aca="false">Ops_Model!D$17</f>
        <v>65.4054960186793</v>
      </c>
      <c r="E8" s="34" t="n">
        <f aca="false">Ops_Model!E$17</f>
        <v>69.4933395198467</v>
      </c>
      <c r="F8" s="34" t="n">
        <f aca="false">Ops_Model!F$17</f>
        <v>67.449417769263</v>
      </c>
      <c r="G8" s="34" t="n">
        <f aca="false">Ops_Model!G$17</f>
        <v>68.1307250194576</v>
      </c>
      <c r="H8" s="34" t="n">
        <f aca="false">Ops_Model!H$17</f>
        <v>70.1746467700413</v>
      </c>
      <c r="I8" s="34" t="n">
        <f aca="false">Ops_Model!I$17</f>
        <v>69.4933395198467</v>
      </c>
      <c r="J8" s="34" t="n">
        <f aca="false">Ops_Model!J$17</f>
        <v>70.1746467700413</v>
      </c>
      <c r="K8" s="34" t="n">
        <f aca="false">Ops_Model!K$17</f>
        <v>71.5372612704305</v>
      </c>
      <c r="L8" s="34" t="n">
        <f aca="false">Ops_Model!L$17</f>
        <v>69.4933395198467</v>
      </c>
      <c r="M8" s="34" t="n">
        <f aca="false">Ops_Model!M$17</f>
        <v>66.7681105190684</v>
      </c>
      <c r="N8" s="34" t="n">
        <f aca="false">Ops_Model!N$17</f>
        <v>65.4054960186793</v>
      </c>
      <c r="O8" s="56" t="n">
        <f aca="false">SUM(C8:N8)</f>
        <v>817.568700233491</v>
      </c>
      <c r="P8" s="34" t="n">
        <f aca="false">SUM(C8:E8)</f>
        <v>198.941717056816</v>
      </c>
      <c r="Q8" s="34" t="n">
        <f aca="false">SUM(F8:H8)</f>
        <v>205.754789558762</v>
      </c>
      <c r="R8" s="34" t="n">
        <f aca="false">SUM(I8:K8)</f>
        <v>211.205247560319</v>
      </c>
      <c r="S8" s="34" t="n">
        <f aca="false">SUM(L8:N8)</f>
        <v>201.666946057594</v>
      </c>
      <c r="T8" s="34" t="n">
        <f aca="false">Assumptions!C$52</f>
        <v>698.776666866232</v>
      </c>
      <c r="U8" s="35" t="n">
        <f aca="false">IFERROR(O8/T8-1,"")</f>
        <v>0.17</v>
      </c>
      <c r="V8" s="8" t="s">
        <v>602</v>
      </c>
      <c r="W8" s="8" t="s">
        <v>661</v>
      </c>
    </row>
    <row r="9" customFormat="false" ht="15" hidden="false" customHeight="false" outlineLevel="0" collapsed="false">
      <c r="A9" s="44" t="s">
        <v>22</v>
      </c>
      <c r="B9" s="45" t="s">
        <v>259</v>
      </c>
      <c r="C9" s="61" t="n">
        <f aca="false">Ops_Model!C$22</f>
        <v>38.0414716218643</v>
      </c>
      <c r="D9" s="61" t="n">
        <f aca="false">Ops_Model!D$22</f>
        <v>38.8508646350955</v>
      </c>
      <c r="E9" s="61" t="n">
        <f aca="false">Ops_Model!E$22</f>
        <v>41.279043674789</v>
      </c>
      <c r="F9" s="61" t="n">
        <f aca="false">Ops_Model!F$22</f>
        <v>40.0649541549422</v>
      </c>
      <c r="G9" s="61" t="n">
        <f aca="false">Ops_Model!G$22</f>
        <v>40.4696506615578</v>
      </c>
      <c r="H9" s="61" t="n">
        <f aca="false">Ops_Model!H$22</f>
        <v>41.6837401814045</v>
      </c>
      <c r="I9" s="61" t="n">
        <f aca="false">Ops_Model!I$22</f>
        <v>41.279043674789</v>
      </c>
      <c r="J9" s="61" t="n">
        <f aca="false">Ops_Model!J$22</f>
        <v>41.6837401814045</v>
      </c>
      <c r="K9" s="61" t="n">
        <f aca="false">Ops_Model!K$22</f>
        <v>42.4931331946357</v>
      </c>
      <c r="L9" s="61" t="n">
        <f aca="false">Ops_Model!L$22</f>
        <v>41.279043674789</v>
      </c>
      <c r="M9" s="61" t="n">
        <f aca="false">Ops_Model!M$22</f>
        <v>39.6602576483266</v>
      </c>
      <c r="N9" s="61" t="n">
        <f aca="false">Ops_Model!N$22</f>
        <v>38.8508646350955</v>
      </c>
      <c r="O9" s="62" t="n">
        <f aca="false">SUM(C9:N9)</f>
        <v>485.635807938694</v>
      </c>
      <c r="P9" s="61" t="n">
        <f aca="false">SUM(C9:E9)</f>
        <v>118.171379931749</v>
      </c>
      <c r="Q9" s="61" t="n">
        <f aca="false">SUM(F9:H9)</f>
        <v>122.218344997905</v>
      </c>
      <c r="R9" s="61" t="n">
        <f aca="false">SUM(I9:K9)</f>
        <v>125.455917050829</v>
      </c>
      <c r="S9" s="61" t="n">
        <f aca="false">SUM(L9:N9)</f>
        <v>119.790165958211</v>
      </c>
      <c r="T9" s="61" t="n">
        <f aca="false">Assumptions!C$42</f>
        <v>419.266000119739</v>
      </c>
      <c r="U9" s="63" t="n">
        <f aca="false">IFERROR(O9/T9-1,"")</f>
        <v>0.1583</v>
      </c>
      <c r="V9" s="8" t="s">
        <v>602</v>
      </c>
      <c r="W9" s="8" t="s">
        <v>662</v>
      </c>
    </row>
    <row r="10" customFormat="false" ht="15" hidden="false" customHeight="false" outlineLevel="0" collapsed="false">
      <c r="A10" s="8" t="s">
        <v>624</v>
      </c>
      <c r="B10" s="8" t="s">
        <v>281</v>
      </c>
      <c r="C10" s="36" t="n">
        <f aca="false">IFERROR(C9/C8,0)</f>
        <v>0.594</v>
      </c>
      <c r="D10" s="36" t="n">
        <f aca="false">IFERROR(D9/D8,0)</f>
        <v>0.594</v>
      </c>
      <c r="E10" s="36" t="n">
        <f aca="false">IFERROR(E9/E8,0)</f>
        <v>0.594</v>
      </c>
      <c r="F10" s="36" t="n">
        <f aca="false">IFERROR(F9/F8,0)</f>
        <v>0.594</v>
      </c>
      <c r="G10" s="36" t="n">
        <f aca="false">IFERROR(G9/G8,0)</f>
        <v>0.594</v>
      </c>
      <c r="H10" s="36" t="n">
        <f aca="false">IFERROR(H9/H8,0)</f>
        <v>0.594</v>
      </c>
      <c r="I10" s="36" t="n">
        <f aca="false">IFERROR(I9/I8,0)</f>
        <v>0.594</v>
      </c>
      <c r="J10" s="36" t="n">
        <f aca="false">IFERROR(J9/J8,0)</f>
        <v>0.594</v>
      </c>
      <c r="K10" s="36" t="n">
        <f aca="false">IFERROR(K9/K8,0)</f>
        <v>0.594</v>
      </c>
      <c r="L10" s="36" t="n">
        <f aca="false">IFERROR(L9/L8,0)</f>
        <v>0.594</v>
      </c>
      <c r="M10" s="36" t="n">
        <f aca="false">IFERROR(M9/M8,0)</f>
        <v>0.594</v>
      </c>
      <c r="N10" s="36" t="n">
        <f aca="false">IFERROR(N9/N8,0)</f>
        <v>0.594</v>
      </c>
      <c r="O10" s="60" t="n">
        <f aca="false">IFERROR(O9/O8,0)</f>
        <v>0.594</v>
      </c>
      <c r="P10" s="36" t="n">
        <f aca="false">IFERROR(P9/P8,0)</f>
        <v>0.594</v>
      </c>
      <c r="Q10" s="36" t="n">
        <f aca="false">IFERROR(Q9/Q8,0)</f>
        <v>0.594</v>
      </c>
      <c r="R10" s="36" t="n">
        <f aca="false">IFERROR(R9/R8,0)</f>
        <v>0.594</v>
      </c>
      <c r="S10" s="36" t="n">
        <f aca="false">IFERROR(S9/S8,0)</f>
        <v>0.594</v>
      </c>
      <c r="T10" s="36" t="n">
        <f aca="false">IFERROR(T9/T8,0)</f>
        <v>0.6</v>
      </c>
      <c r="V10" s="8" t="s">
        <v>602</v>
      </c>
      <c r="W10" s="8" t="s">
        <v>663</v>
      </c>
    </row>
    <row r="12" customFormat="false" ht="15" hidden="false" customHeight="false" outlineLevel="0" collapsed="false">
      <c r="A12" s="16" t="s">
        <v>664</v>
      </c>
      <c r="B12" s="17"/>
      <c r="C12" s="17"/>
      <c r="D12" s="17"/>
      <c r="E12" s="17"/>
      <c r="F12" s="17"/>
      <c r="G12" s="17"/>
      <c r="H12" s="17"/>
      <c r="I12" s="17"/>
      <c r="J12" s="17"/>
      <c r="K12" s="17"/>
      <c r="L12" s="17"/>
      <c r="M12" s="17"/>
      <c r="N12" s="17"/>
      <c r="O12" s="17"/>
      <c r="P12" s="17"/>
      <c r="Q12" s="17"/>
      <c r="R12" s="17"/>
      <c r="S12" s="17"/>
      <c r="T12" s="17"/>
      <c r="U12" s="17"/>
      <c r="V12" s="17"/>
      <c r="W12" s="17"/>
    </row>
    <row r="13" customFormat="false" ht="15" hidden="false" customHeight="false" outlineLevel="0" collapsed="false">
      <c r="A13" s="8" t="s">
        <v>299</v>
      </c>
      <c r="B13" s="8" t="s">
        <v>300</v>
      </c>
      <c r="C13" s="34" t="n">
        <f aca="false">Ops_Model!C$47</f>
        <v>40.4481356957622</v>
      </c>
      <c r="D13" s="34" t="n">
        <f aca="false">Ops_Model!D$47</f>
        <v>41.3087343275869</v>
      </c>
      <c r="E13" s="34" t="n">
        <f aca="false">Ops_Model!E$47</f>
        <v>43.8905302230611</v>
      </c>
      <c r="F13" s="34" t="n">
        <f aca="false">Ops_Model!F$47</f>
        <v>42.599632275324</v>
      </c>
      <c r="G13" s="34" t="n">
        <f aca="false">Ops_Model!G$47</f>
        <v>43.0299315912364</v>
      </c>
      <c r="H13" s="34" t="n">
        <f aca="false">Ops_Model!H$47</f>
        <v>44.3208295389735</v>
      </c>
      <c r="I13" s="34" t="n">
        <f aca="false">Ops_Model!I$47</f>
        <v>43.8905302230611</v>
      </c>
      <c r="J13" s="34" t="n">
        <f aca="false">Ops_Model!J$47</f>
        <v>44.3208295389735</v>
      </c>
      <c r="K13" s="34" t="n">
        <f aca="false">Ops_Model!K$47</f>
        <v>45.1814281707982</v>
      </c>
      <c r="L13" s="34" t="n">
        <f aca="false">Ops_Model!L$47</f>
        <v>43.8905302230611</v>
      </c>
      <c r="M13" s="34" t="n">
        <f aca="false">Ops_Model!M$47</f>
        <v>42.1693329594116</v>
      </c>
      <c r="N13" s="34" t="n">
        <f aca="false">Ops_Model!N$47</f>
        <v>41.3087343275869</v>
      </c>
      <c r="O13" s="56" t="n">
        <f aca="false">SUM(C13:N13)</f>
        <v>516.359179094837</v>
      </c>
      <c r="P13" s="34" t="n">
        <f aca="false">SUM(C13:E13)</f>
        <v>125.64740024641</v>
      </c>
      <c r="Q13" s="34" t="n">
        <f aca="false">SUM(F13:H13)</f>
        <v>129.950393405534</v>
      </c>
      <c r="R13" s="34" t="n">
        <f aca="false">SUM(I13:K13)</f>
        <v>133.392787932833</v>
      </c>
      <c r="S13" s="34" t="n">
        <f aca="false">SUM(L13:N13)</f>
        <v>127.36859751006</v>
      </c>
      <c r="T13" s="34" t="n">
        <f aca="false">Assumptions!D$52</f>
        <v>441.332631704988</v>
      </c>
      <c r="U13" s="35" t="n">
        <f aca="false">IFERROR(O13/T13-1,"")</f>
        <v>0.17</v>
      </c>
      <c r="V13" s="8" t="s">
        <v>602</v>
      </c>
      <c r="W13" s="8" t="s">
        <v>661</v>
      </c>
    </row>
    <row r="14" customFormat="false" ht="15" hidden="false" customHeight="false" outlineLevel="0" collapsed="false">
      <c r="A14" s="44" t="s">
        <v>22</v>
      </c>
      <c r="B14" s="45" t="s">
        <v>259</v>
      </c>
      <c r="C14" s="61" t="n">
        <f aca="false">Ops_Model!C$52</f>
        <v>38.0414716218643</v>
      </c>
      <c r="D14" s="61" t="n">
        <f aca="false">Ops_Model!D$52</f>
        <v>38.8508646350955</v>
      </c>
      <c r="E14" s="61" t="n">
        <f aca="false">Ops_Model!E$52</f>
        <v>41.279043674789</v>
      </c>
      <c r="F14" s="61" t="n">
        <f aca="false">Ops_Model!F$52</f>
        <v>40.0649541549422</v>
      </c>
      <c r="G14" s="61" t="n">
        <f aca="false">Ops_Model!G$52</f>
        <v>40.4696506615578</v>
      </c>
      <c r="H14" s="61" t="n">
        <f aca="false">Ops_Model!H$52</f>
        <v>41.6837401814045</v>
      </c>
      <c r="I14" s="61" t="n">
        <f aca="false">Ops_Model!I$52</f>
        <v>41.279043674789</v>
      </c>
      <c r="J14" s="61" t="n">
        <f aca="false">Ops_Model!J$52</f>
        <v>41.6837401814045</v>
      </c>
      <c r="K14" s="61" t="n">
        <f aca="false">Ops_Model!K$52</f>
        <v>42.4931331946357</v>
      </c>
      <c r="L14" s="61" t="n">
        <f aca="false">Ops_Model!L$52</f>
        <v>41.279043674789</v>
      </c>
      <c r="M14" s="61" t="n">
        <f aca="false">Ops_Model!M$52</f>
        <v>39.6602576483267</v>
      </c>
      <c r="N14" s="61" t="n">
        <f aca="false">Ops_Model!N$52</f>
        <v>38.8508646350955</v>
      </c>
      <c r="O14" s="62" t="n">
        <f aca="false">SUM(C14:N14)</f>
        <v>485.635807938694</v>
      </c>
      <c r="P14" s="61" t="n">
        <f aca="false">SUM(C14:E14)</f>
        <v>118.171379931749</v>
      </c>
      <c r="Q14" s="61" t="n">
        <f aca="false">SUM(F14:H14)</f>
        <v>122.218344997905</v>
      </c>
      <c r="R14" s="61" t="n">
        <f aca="false">SUM(I14:K14)</f>
        <v>125.455917050829</v>
      </c>
      <c r="S14" s="61" t="n">
        <f aca="false">SUM(L14:N14)</f>
        <v>119.790165958211</v>
      </c>
      <c r="T14" s="61" t="n">
        <f aca="false">Assumptions!D$42</f>
        <v>419.266000119739</v>
      </c>
      <c r="U14" s="63" t="n">
        <f aca="false">IFERROR(O14/T14-1,"")</f>
        <v>0.1583</v>
      </c>
      <c r="V14" s="8" t="s">
        <v>602</v>
      </c>
      <c r="W14" s="8" t="s">
        <v>662</v>
      </c>
    </row>
    <row r="15" customFormat="false" ht="15" hidden="false" customHeight="false" outlineLevel="0" collapsed="false">
      <c r="A15" s="8" t="s">
        <v>624</v>
      </c>
      <c r="B15" s="8" t="s">
        <v>281</v>
      </c>
      <c r="C15" s="36" t="n">
        <f aca="false">IFERROR(C14/C13,0)</f>
        <v>0.9405</v>
      </c>
      <c r="D15" s="36" t="n">
        <f aca="false">IFERROR(D14/D13,0)</f>
        <v>0.9405</v>
      </c>
      <c r="E15" s="36" t="n">
        <f aca="false">IFERROR(E14/E13,0)</f>
        <v>0.9405</v>
      </c>
      <c r="F15" s="36" t="n">
        <f aca="false">IFERROR(F14/F13,0)</f>
        <v>0.9405</v>
      </c>
      <c r="G15" s="36" t="n">
        <f aca="false">IFERROR(G14/G13,0)</f>
        <v>0.9405</v>
      </c>
      <c r="H15" s="36" t="n">
        <f aca="false">IFERROR(H14/H13,0)</f>
        <v>0.9405</v>
      </c>
      <c r="I15" s="36" t="n">
        <f aca="false">IFERROR(I14/I13,0)</f>
        <v>0.9405</v>
      </c>
      <c r="J15" s="36" t="n">
        <f aca="false">IFERROR(J14/J13,0)</f>
        <v>0.9405</v>
      </c>
      <c r="K15" s="36" t="n">
        <f aca="false">IFERROR(K14/K13,0)</f>
        <v>0.9405</v>
      </c>
      <c r="L15" s="36" t="n">
        <f aca="false">IFERROR(L14/L13,0)</f>
        <v>0.9405</v>
      </c>
      <c r="M15" s="36" t="n">
        <f aca="false">IFERROR(M14/M13,0)</f>
        <v>0.9405</v>
      </c>
      <c r="N15" s="36" t="n">
        <f aca="false">IFERROR(N14/N13,0)</f>
        <v>0.9405</v>
      </c>
      <c r="O15" s="60" t="n">
        <f aca="false">IFERROR(O14/O13,0)</f>
        <v>0.9405</v>
      </c>
      <c r="P15" s="36" t="n">
        <f aca="false">IFERROR(P14/P13,0)</f>
        <v>0.9405</v>
      </c>
      <c r="Q15" s="36" t="n">
        <f aca="false">IFERROR(Q14/Q13,0)</f>
        <v>0.9405</v>
      </c>
      <c r="R15" s="36" t="n">
        <f aca="false">IFERROR(R14/R13,0)</f>
        <v>0.9405</v>
      </c>
      <c r="S15" s="36" t="n">
        <f aca="false">IFERROR(S14/S13,0)</f>
        <v>0.9405</v>
      </c>
      <c r="T15" s="36" t="n">
        <f aca="false">IFERROR(T14/T13,0)</f>
        <v>0.95</v>
      </c>
      <c r="V15" s="8" t="s">
        <v>602</v>
      </c>
      <c r="W15" s="8" t="s">
        <v>663</v>
      </c>
    </row>
    <row r="17" customFormat="false" ht="15" hidden="false" customHeight="false" outlineLevel="0" collapsed="false">
      <c r="A17" s="16" t="s">
        <v>270</v>
      </c>
      <c r="B17" s="17"/>
      <c r="C17" s="17"/>
      <c r="D17" s="17"/>
      <c r="E17" s="17"/>
      <c r="F17" s="17"/>
      <c r="G17" s="17"/>
      <c r="H17" s="17"/>
      <c r="I17" s="17"/>
      <c r="J17" s="17"/>
      <c r="K17" s="17"/>
      <c r="L17" s="17"/>
      <c r="M17" s="17"/>
      <c r="N17" s="17"/>
      <c r="O17" s="17"/>
      <c r="P17" s="17"/>
      <c r="Q17" s="17"/>
      <c r="R17" s="17"/>
      <c r="S17" s="17"/>
      <c r="T17" s="17"/>
      <c r="U17" s="17"/>
      <c r="V17" s="17"/>
      <c r="W17" s="17"/>
    </row>
    <row r="18" customFormat="false" ht="15" hidden="false" customHeight="false" outlineLevel="0" collapsed="false">
      <c r="A18" s="8" t="s">
        <v>299</v>
      </c>
      <c r="B18" s="8" t="s">
        <v>300</v>
      </c>
      <c r="C18" s="34" t="n">
        <f aca="false">Ops_Model!C$77</f>
        <v>4.05490471947625</v>
      </c>
      <c r="D18" s="34" t="n">
        <f aca="false">Ops_Model!D$77</f>
        <v>4.14117928797574</v>
      </c>
      <c r="E18" s="34" t="n">
        <f aca="false">Ops_Model!E$77</f>
        <v>4.40000299347423</v>
      </c>
      <c r="F18" s="34" t="n">
        <f aca="false">Ops_Model!F$77</f>
        <v>4.27059114072498</v>
      </c>
      <c r="G18" s="34" t="n">
        <f aca="false">Ops_Model!G$77</f>
        <v>4.31372842497473</v>
      </c>
      <c r="H18" s="34" t="n">
        <f aca="false">Ops_Model!H$77</f>
        <v>4.44314027772397</v>
      </c>
      <c r="I18" s="34" t="n">
        <f aca="false">Ops_Model!I$77</f>
        <v>4.40000299347423</v>
      </c>
      <c r="J18" s="34" t="n">
        <f aca="false">Ops_Model!J$77</f>
        <v>4.44314027772397</v>
      </c>
      <c r="K18" s="34" t="n">
        <f aca="false">Ops_Model!K$77</f>
        <v>4.52941484622347</v>
      </c>
      <c r="L18" s="34" t="n">
        <f aca="false">Ops_Model!L$77</f>
        <v>4.40000299347423</v>
      </c>
      <c r="M18" s="34" t="n">
        <f aca="false">Ops_Model!M$77</f>
        <v>4.22745385647524</v>
      </c>
      <c r="N18" s="34" t="n">
        <f aca="false">Ops_Model!N$77</f>
        <v>4.14117928797574</v>
      </c>
      <c r="O18" s="56" t="n">
        <f aca="false">SUM(C18:N18)</f>
        <v>51.7647410996968</v>
      </c>
      <c r="P18" s="34" t="n">
        <f aca="false">SUM(C18:E18)</f>
        <v>12.5960870009262</v>
      </c>
      <c r="Q18" s="34" t="n">
        <f aca="false">SUM(F18:H18)</f>
        <v>13.0274598434237</v>
      </c>
      <c r="R18" s="34" t="n">
        <f aca="false">SUM(I18:K18)</f>
        <v>13.3725581174217</v>
      </c>
      <c r="S18" s="34" t="n">
        <f aca="false">SUM(L18:N18)</f>
        <v>12.7686361379252</v>
      </c>
      <c r="T18" s="34" t="n">
        <f aca="false">Assumptions!E$52</f>
        <v>47.4905881648594</v>
      </c>
      <c r="U18" s="35" t="n">
        <f aca="false">IFERROR(O18/T18-1,"")</f>
        <v>0.0900000000000001</v>
      </c>
      <c r="V18" s="8" t="s">
        <v>602</v>
      </c>
      <c r="W18" s="8" t="s">
        <v>661</v>
      </c>
    </row>
    <row r="19" customFormat="false" ht="15" hidden="false" customHeight="false" outlineLevel="0" collapsed="false">
      <c r="A19" s="44" t="s">
        <v>22</v>
      </c>
      <c r="B19" s="45" t="s">
        <v>259</v>
      </c>
      <c r="C19" s="61" t="n">
        <f aca="false">Ops_Model!C$82</f>
        <v>13.6488092857571</v>
      </c>
      <c r="D19" s="61" t="n">
        <f aca="false">Ops_Model!D$82</f>
        <v>13.9392094833264</v>
      </c>
      <c r="E19" s="61" t="n">
        <f aca="false">Ops_Model!E$82</f>
        <v>14.8104100760342</v>
      </c>
      <c r="F19" s="61" t="n">
        <f aca="false">Ops_Model!F$82</f>
        <v>14.3748097796803</v>
      </c>
      <c r="G19" s="61" t="n">
        <f aca="false">Ops_Model!G$82</f>
        <v>14.5200098784649</v>
      </c>
      <c r="H19" s="61" t="n">
        <f aca="false">Ops_Model!H$82</f>
        <v>14.9556101748189</v>
      </c>
      <c r="I19" s="61" t="n">
        <f aca="false">Ops_Model!I$82</f>
        <v>14.8104100760342</v>
      </c>
      <c r="J19" s="61" t="n">
        <f aca="false">Ops_Model!J$82</f>
        <v>14.9556101748189</v>
      </c>
      <c r="K19" s="61" t="n">
        <f aca="false">Ops_Model!K$82</f>
        <v>15.2460103723882</v>
      </c>
      <c r="L19" s="61" t="n">
        <f aca="false">Ops_Model!L$82</f>
        <v>14.8104100760342</v>
      </c>
      <c r="M19" s="61" t="n">
        <f aca="false">Ops_Model!M$82</f>
        <v>14.2296096808957</v>
      </c>
      <c r="N19" s="61" t="n">
        <f aca="false">Ops_Model!N$82</f>
        <v>13.9392094833264</v>
      </c>
      <c r="O19" s="62" t="n">
        <f aca="false">SUM(C19:N19)</f>
        <v>174.240118541579</v>
      </c>
      <c r="P19" s="61" t="n">
        <f aca="false">SUM(C19:E19)</f>
        <v>42.3984288451177</v>
      </c>
      <c r="Q19" s="61" t="n">
        <f aca="false">SUM(F19:H19)</f>
        <v>43.8504298329641</v>
      </c>
      <c r="R19" s="61" t="n">
        <f aca="false">SUM(I19:K19)</f>
        <v>45.0120306232413</v>
      </c>
      <c r="S19" s="61" t="n">
        <f aca="false">SUM(L19:N19)</f>
        <v>42.9792292402562</v>
      </c>
      <c r="T19" s="61" t="n">
        <f aca="false">Assumptions!E$42</f>
        <v>161.467999760522</v>
      </c>
      <c r="U19" s="63" t="n">
        <f aca="false">IFERROR(O19/T19-1,"")</f>
        <v>0.0791000000000002</v>
      </c>
      <c r="V19" s="8" t="s">
        <v>602</v>
      </c>
      <c r="W19" s="8" t="s">
        <v>662</v>
      </c>
    </row>
    <row r="20" customFormat="false" ht="15" hidden="false" customHeight="false" outlineLevel="0" collapsed="false">
      <c r="A20" s="8" t="s">
        <v>624</v>
      </c>
      <c r="B20" s="8" t="s">
        <v>281</v>
      </c>
      <c r="C20" s="36" t="n">
        <f aca="false">IFERROR(C19/C18,0)</f>
        <v>3.366</v>
      </c>
      <c r="D20" s="36" t="n">
        <f aca="false">IFERROR(D19/D18,0)</f>
        <v>3.366</v>
      </c>
      <c r="E20" s="36" t="n">
        <f aca="false">IFERROR(E19/E18,0)</f>
        <v>3.366</v>
      </c>
      <c r="F20" s="36" t="n">
        <f aca="false">IFERROR(F19/F18,0)</f>
        <v>3.366</v>
      </c>
      <c r="G20" s="36" t="n">
        <f aca="false">IFERROR(G19/G18,0)</f>
        <v>3.366</v>
      </c>
      <c r="H20" s="36" t="n">
        <f aca="false">IFERROR(H19/H18,0)</f>
        <v>3.366</v>
      </c>
      <c r="I20" s="36" t="n">
        <f aca="false">IFERROR(I19/I18,0)</f>
        <v>3.366</v>
      </c>
      <c r="J20" s="36" t="n">
        <f aca="false">IFERROR(J19/J18,0)</f>
        <v>3.366</v>
      </c>
      <c r="K20" s="36" t="n">
        <f aca="false">IFERROR(K19/K18,0)</f>
        <v>3.366</v>
      </c>
      <c r="L20" s="36" t="n">
        <f aca="false">IFERROR(L19/L18,0)</f>
        <v>3.366</v>
      </c>
      <c r="M20" s="36" t="n">
        <f aca="false">IFERROR(M19/M18,0)</f>
        <v>3.366</v>
      </c>
      <c r="N20" s="36" t="n">
        <f aca="false">IFERROR(N19/N18,0)</f>
        <v>3.366</v>
      </c>
      <c r="O20" s="60" t="n">
        <f aca="false">IFERROR(O19/O18,0)</f>
        <v>3.366</v>
      </c>
      <c r="P20" s="36" t="n">
        <f aca="false">IFERROR(P19/P18,0)</f>
        <v>3.366</v>
      </c>
      <c r="Q20" s="36" t="n">
        <f aca="false">IFERROR(Q19/Q18,0)</f>
        <v>3.366</v>
      </c>
      <c r="R20" s="36" t="n">
        <f aca="false">IFERROR(R19/R18,0)</f>
        <v>3.366</v>
      </c>
      <c r="S20" s="36" t="n">
        <f aca="false">IFERROR(S19/S18,0)</f>
        <v>3.366</v>
      </c>
      <c r="T20" s="36" t="n">
        <f aca="false">IFERROR(T19/T18,0)</f>
        <v>3.4</v>
      </c>
      <c r="V20" s="8" t="s">
        <v>602</v>
      </c>
      <c r="W20" s="8" t="s">
        <v>663</v>
      </c>
    </row>
    <row r="22" customFormat="false" ht="15" hidden="false" customHeight="false" outlineLevel="0" collapsed="false">
      <c r="A22" s="16" t="s">
        <v>125</v>
      </c>
      <c r="B22" s="17"/>
      <c r="C22" s="17"/>
      <c r="D22" s="17"/>
      <c r="E22" s="17"/>
      <c r="F22" s="17"/>
      <c r="G22" s="17"/>
      <c r="H22" s="17"/>
      <c r="I22" s="17"/>
      <c r="J22" s="17"/>
      <c r="K22" s="17"/>
      <c r="L22" s="17"/>
      <c r="M22" s="17"/>
      <c r="N22" s="17"/>
      <c r="O22" s="17"/>
      <c r="P22" s="17"/>
      <c r="Q22" s="17"/>
      <c r="R22" s="17"/>
      <c r="S22" s="17"/>
      <c r="T22" s="17"/>
      <c r="U22" s="17"/>
      <c r="V22" s="17"/>
      <c r="W22" s="17"/>
    </row>
    <row r="23" customFormat="false" ht="15" hidden="false" customHeight="false" outlineLevel="0" collapsed="false">
      <c r="A23" s="44" t="s">
        <v>339</v>
      </c>
      <c r="B23" s="45" t="s">
        <v>259</v>
      </c>
      <c r="C23" s="61" t="n">
        <f aca="false">C9+C14+C19</f>
        <v>89.7317525294857</v>
      </c>
      <c r="D23" s="61" t="n">
        <f aca="false">D9+D14+D19</f>
        <v>91.6409387535173</v>
      </c>
      <c r="E23" s="61" t="n">
        <f aca="false">E9+E14+E19</f>
        <v>97.3684974256122</v>
      </c>
      <c r="F23" s="61" t="n">
        <f aca="false">F9+F14+F19</f>
        <v>94.5047180895648</v>
      </c>
      <c r="G23" s="61" t="n">
        <f aca="false">G9+G14+G19</f>
        <v>95.4593112015806</v>
      </c>
      <c r="H23" s="61" t="n">
        <f aca="false">H9+H14+H19</f>
        <v>98.323090537628</v>
      </c>
      <c r="I23" s="61" t="n">
        <f aca="false">I9+I14+I19</f>
        <v>97.3684974256122</v>
      </c>
      <c r="J23" s="61" t="n">
        <f aca="false">J9+J14+J19</f>
        <v>98.323090537628</v>
      </c>
      <c r="K23" s="61" t="n">
        <f aca="false">K9+K14+K19</f>
        <v>100.23227676166</v>
      </c>
      <c r="L23" s="61" t="n">
        <f aca="false">L9+L14+L19</f>
        <v>97.3684974256122</v>
      </c>
      <c r="M23" s="61" t="n">
        <f aca="false">M9+M14+M19</f>
        <v>93.550124977549</v>
      </c>
      <c r="N23" s="61" t="n">
        <f aca="false">N9+N14+N19</f>
        <v>91.6409387535173</v>
      </c>
      <c r="O23" s="62" t="n">
        <f aca="false">SUM(C23:N23)</f>
        <v>1145.51173441897</v>
      </c>
      <c r="P23" s="61" t="n">
        <f aca="false">SUM(C23:E23)</f>
        <v>278.741188708615</v>
      </c>
      <c r="Q23" s="61" t="n">
        <f aca="false">SUM(F23:H23)</f>
        <v>288.287119828773</v>
      </c>
      <c r="R23" s="61" t="n">
        <f aca="false">SUM(I23:K23)</f>
        <v>295.9238647249</v>
      </c>
      <c r="S23" s="61" t="n">
        <f aca="false">SUM(L23:N23)</f>
        <v>282.559561156678</v>
      </c>
      <c r="T23" s="61" t="n">
        <f aca="false">T9+T14+T19</f>
        <v>1000</v>
      </c>
      <c r="U23" s="63" t="n">
        <f aca="false">IFERROR(O23/T23-1,"")</f>
        <v>0.145511734418967</v>
      </c>
      <c r="V23" s="8" t="s">
        <v>602</v>
      </c>
      <c r="W23" s="8" t="s">
        <v>665</v>
      </c>
    </row>
    <row r="24" customFormat="false" ht="15" hidden="false" customHeight="false" outlineLevel="0" collapsed="false">
      <c r="A24" s="8" t="s">
        <v>666</v>
      </c>
      <c r="B24" s="8" t="s">
        <v>226</v>
      </c>
      <c r="C24" s="35" t="n">
        <f aca="false">IFERROR(C9/C23,0)</f>
        <v>0.423946602506888</v>
      </c>
      <c r="D24" s="35" t="n">
        <f aca="false">IFERROR(D9/D23,0)</f>
        <v>0.423946602506888</v>
      </c>
      <c r="E24" s="35" t="n">
        <f aca="false">IFERROR(E9/E23,0)</f>
        <v>0.423946602506888</v>
      </c>
      <c r="F24" s="35" t="n">
        <f aca="false">IFERROR(F9/F23,0)</f>
        <v>0.423946602506888</v>
      </c>
      <c r="G24" s="35" t="n">
        <f aca="false">IFERROR(G9/G23,0)</f>
        <v>0.423946602506888</v>
      </c>
      <c r="H24" s="35" t="n">
        <f aca="false">IFERROR(H9/H23,0)</f>
        <v>0.423946602506888</v>
      </c>
      <c r="I24" s="35" t="n">
        <f aca="false">IFERROR(I9/I23,0)</f>
        <v>0.423946602506888</v>
      </c>
      <c r="J24" s="35" t="n">
        <f aca="false">IFERROR(J9/J23,0)</f>
        <v>0.423946602506888</v>
      </c>
      <c r="K24" s="35" t="n">
        <f aca="false">IFERROR(K9/K23,0)</f>
        <v>0.423946602506888</v>
      </c>
      <c r="L24" s="35" t="n">
        <f aca="false">IFERROR(L9/L23,0)</f>
        <v>0.423946602506888</v>
      </c>
      <c r="M24" s="35" t="n">
        <f aca="false">IFERROR(M9/M23,0)</f>
        <v>0.423946602506888</v>
      </c>
      <c r="N24" s="35" t="n">
        <f aca="false">IFERROR(N9/N23,0)</f>
        <v>0.423946602506888</v>
      </c>
      <c r="O24" s="57" t="n">
        <f aca="false">IFERROR(O9/O23,0)</f>
        <v>0.423946602506888</v>
      </c>
      <c r="P24" s="35" t="n">
        <f aca="false">IFERROR(P9/P23,0)</f>
        <v>0.423946602506888</v>
      </c>
      <c r="Q24" s="35" t="n">
        <f aca="false">IFERROR(Q9/Q23,0)</f>
        <v>0.423946602506888</v>
      </c>
      <c r="R24" s="35" t="n">
        <f aca="false">IFERROR(R9/R23,0)</f>
        <v>0.423946602506888</v>
      </c>
      <c r="S24" s="35" t="n">
        <f aca="false">IFERROR(S9/S23,0)</f>
        <v>0.423946602506888</v>
      </c>
      <c r="T24" s="35" t="n">
        <f aca="false">IFERROR(T9/T23,0)</f>
        <v>0.419266000119739</v>
      </c>
      <c r="V24" s="8" t="s">
        <v>602</v>
      </c>
      <c r="W24" s="8" t="s">
        <v>667</v>
      </c>
    </row>
    <row r="25" customFormat="false" ht="15" hidden="false" customHeight="false" outlineLevel="0" collapsed="false">
      <c r="A25" s="8" t="s">
        <v>668</v>
      </c>
      <c r="B25" s="8" t="s">
        <v>226</v>
      </c>
      <c r="C25" s="35" t="n">
        <f aca="false">IFERROR(C14/C23,0)</f>
        <v>0.423946602506888</v>
      </c>
      <c r="D25" s="35" t="n">
        <f aca="false">IFERROR(D14/D23,0)</f>
        <v>0.423946602506888</v>
      </c>
      <c r="E25" s="35" t="n">
        <f aca="false">IFERROR(E14/E23,0)</f>
        <v>0.423946602506888</v>
      </c>
      <c r="F25" s="35" t="n">
        <f aca="false">IFERROR(F14/F23,0)</f>
        <v>0.423946602506888</v>
      </c>
      <c r="G25" s="35" t="n">
        <f aca="false">IFERROR(G14/G23,0)</f>
        <v>0.423946602506888</v>
      </c>
      <c r="H25" s="35" t="n">
        <f aca="false">IFERROR(H14/H23,0)</f>
        <v>0.423946602506888</v>
      </c>
      <c r="I25" s="35" t="n">
        <f aca="false">IFERROR(I14/I23,0)</f>
        <v>0.423946602506888</v>
      </c>
      <c r="J25" s="35" t="n">
        <f aca="false">IFERROR(J14/J23,0)</f>
        <v>0.423946602506888</v>
      </c>
      <c r="K25" s="35" t="n">
        <f aca="false">IFERROR(K14/K23,0)</f>
        <v>0.423946602506888</v>
      </c>
      <c r="L25" s="35" t="n">
        <f aca="false">IFERROR(L14/L23,0)</f>
        <v>0.423946602506888</v>
      </c>
      <c r="M25" s="35" t="n">
        <f aca="false">IFERROR(M14/M23,0)</f>
        <v>0.423946602506888</v>
      </c>
      <c r="N25" s="35" t="n">
        <f aca="false">IFERROR(N14/N23,0)</f>
        <v>0.423946602506888</v>
      </c>
      <c r="O25" s="57" t="n">
        <f aca="false">IFERROR(O14/O23,0)</f>
        <v>0.423946602506888</v>
      </c>
      <c r="P25" s="35" t="n">
        <f aca="false">IFERROR(P14/P23,0)</f>
        <v>0.423946602506888</v>
      </c>
      <c r="Q25" s="35" t="n">
        <f aca="false">IFERROR(Q14/Q23,0)</f>
        <v>0.423946602506888</v>
      </c>
      <c r="R25" s="35" t="n">
        <f aca="false">IFERROR(R14/R23,0)</f>
        <v>0.423946602506888</v>
      </c>
      <c r="S25" s="35" t="n">
        <f aca="false">IFERROR(S14/S23,0)</f>
        <v>0.423946602506888</v>
      </c>
      <c r="T25" s="35" t="n">
        <f aca="false">IFERROR(T14/T23,0)</f>
        <v>0.419266000119739</v>
      </c>
      <c r="V25" s="8" t="s">
        <v>602</v>
      </c>
      <c r="W25" s="8" t="s">
        <v>667</v>
      </c>
    </row>
    <row r="26" customFormat="false" ht="15" hidden="false" customHeight="false" outlineLevel="0" collapsed="false">
      <c r="A26" s="8" t="s">
        <v>669</v>
      </c>
      <c r="B26" s="8" t="s">
        <v>226</v>
      </c>
      <c r="C26" s="35" t="n">
        <f aca="false">IFERROR(C19/C23,0)</f>
        <v>0.152106794986224</v>
      </c>
      <c r="D26" s="35" t="n">
        <f aca="false">IFERROR(D19/D23,0)</f>
        <v>0.152106794986224</v>
      </c>
      <c r="E26" s="35" t="n">
        <f aca="false">IFERROR(E19/E23,0)</f>
        <v>0.152106794986224</v>
      </c>
      <c r="F26" s="35" t="n">
        <f aca="false">IFERROR(F19/F23,0)</f>
        <v>0.152106794986224</v>
      </c>
      <c r="G26" s="35" t="n">
        <f aca="false">IFERROR(G19/G23,0)</f>
        <v>0.152106794986224</v>
      </c>
      <c r="H26" s="35" t="n">
        <f aca="false">IFERROR(H19/H23,0)</f>
        <v>0.152106794986224</v>
      </c>
      <c r="I26" s="35" t="n">
        <f aca="false">IFERROR(I19/I23,0)</f>
        <v>0.152106794986224</v>
      </c>
      <c r="J26" s="35" t="n">
        <f aca="false">IFERROR(J19/J23,0)</f>
        <v>0.152106794986224</v>
      </c>
      <c r="K26" s="35" t="n">
        <f aca="false">IFERROR(K19/K23,0)</f>
        <v>0.152106794986224</v>
      </c>
      <c r="L26" s="35" t="n">
        <f aca="false">IFERROR(L19/L23,0)</f>
        <v>0.152106794986224</v>
      </c>
      <c r="M26" s="35" t="n">
        <f aca="false">IFERROR(M19/M23,0)</f>
        <v>0.152106794986224</v>
      </c>
      <c r="N26" s="35" t="n">
        <f aca="false">IFERROR(N19/N23,0)</f>
        <v>0.152106794986224</v>
      </c>
      <c r="O26" s="57" t="n">
        <f aca="false">IFERROR(O19/O23,0)</f>
        <v>0.152106794986224</v>
      </c>
      <c r="P26" s="35" t="n">
        <f aca="false">IFERROR(P19/P23,0)</f>
        <v>0.152106794986224</v>
      </c>
      <c r="Q26" s="35" t="n">
        <f aca="false">IFERROR(Q19/Q23,0)</f>
        <v>0.152106794986224</v>
      </c>
      <c r="R26" s="35" t="n">
        <f aca="false">IFERROR(R19/R23,0)</f>
        <v>0.152106794986224</v>
      </c>
      <c r="S26" s="35" t="n">
        <f aca="false">IFERROR(S19/S23,0)</f>
        <v>0.152106794986224</v>
      </c>
      <c r="T26" s="35" t="n">
        <f aca="false">IFERROR(T19/T23,0)</f>
        <v>0.161467999760522</v>
      </c>
      <c r="V26" s="8" t="s">
        <v>602</v>
      </c>
      <c r="W26" s="8" t="s">
        <v>667</v>
      </c>
    </row>
    <row r="27" customFormat="false" ht="15" hidden="false" customHeight="false" outlineLevel="0" collapsed="false">
      <c r="A27" s="8" t="s">
        <v>670</v>
      </c>
      <c r="B27" s="8" t="s">
        <v>226</v>
      </c>
      <c r="C27" s="35" t="n">
        <f aca="false">C24+C25+C26</f>
        <v>1</v>
      </c>
      <c r="D27" s="35" t="n">
        <f aca="false">D24+D25+D26</f>
        <v>1</v>
      </c>
      <c r="E27" s="35" t="n">
        <f aca="false">E24+E25+E26</f>
        <v>1</v>
      </c>
      <c r="F27" s="35" t="n">
        <f aca="false">F24+F25+F26</f>
        <v>1</v>
      </c>
      <c r="G27" s="35" t="n">
        <f aca="false">G24+G25+G26</f>
        <v>1</v>
      </c>
      <c r="H27" s="35" t="n">
        <f aca="false">H24+H25+H26</f>
        <v>1</v>
      </c>
      <c r="I27" s="35" t="n">
        <f aca="false">I24+I25+I26</f>
        <v>1</v>
      </c>
      <c r="J27" s="35" t="n">
        <f aca="false">J24+J25+J26</f>
        <v>1</v>
      </c>
      <c r="K27" s="35" t="n">
        <f aca="false">K24+K25+K26</f>
        <v>1</v>
      </c>
      <c r="L27" s="35" t="n">
        <f aca="false">L24+L25+L26</f>
        <v>1</v>
      </c>
      <c r="M27" s="35" t="n">
        <f aca="false">M24+M25+M26</f>
        <v>1</v>
      </c>
      <c r="N27" s="35" t="n">
        <f aca="false">N24+N25+N26</f>
        <v>1</v>
      </c>
      <c r="O27" s="57" t="n">
        <f aca="false">O24+O25+O26</f>
        <v>1</v>
      </c>
      <c r="P27" s="35" t="n">
        <f aca="false">P24+P25+P26</f>
        <v>1</v>
      </c>
      <c r="Q27" s="35" t="n">
        <f aca="false">Q24+Q25+Q26</f>
        <v>1</v>
      </c>
      <c r="R27" s="35" t="n">
        <f aca="false">R24+R25+R26</f>
        <v>1</v>
      </c>
      <c r="S27" s="35" t="n">
        <f aca="false">S24+S25+S26</f>
        <v>1</v>
      </c>
      <c r="T27" s="35" t="n">
        <f aca="false">T24+T25+T26</f>
        <v>1</v>
      </c>
      <c r="V27" s="8" t="s">
        <v>602</v>
      </c>
      <c r="W27" s="8" t="s">
        <v>671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ED7D31"/>
    <pageSetUpPr fitToPage="true"/>
  </sheetPr>
  <dimension ref="A1:W2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6" topLeftCell="C7" activePane="bottomRight" state="frozen"/>
      <selection pane="topLeft" activeCell="A1" activeCellId="0" sqref="A1"/>
      <selection pane="topRight" activeCell="C1" activeCellId="0" sqref="C1"/>
      <selection pane="bottomLeft" activeCell="A7" activeCellId="0" sqref="A7"/>
      <selection pane="bottomRight" activeCell="A1" activeCellId="0" sqref="A1"/>
    </sheetView>
  </sheetViews>
  <sheetFormatPr defaultColWidth="8.54296875" defaultRowHeight="15" customHeight="false" zeroHeight="false" outlineLevelRow="0" outlineLevelCol="0"/>
  <cols>
    <col collapsed="false" customWidth="true" hidden="false" outlineLevel="0" max="1" min="1" style="0" width="46"/>
    <col collapsed="false" customWidth="true" hidden="false" outlineLevel="0" max="2" min="2" style="0" width="10"/>
    <col collapsed="false" customWidth="true" hidden="false" outlineLevel="0" max="14" min="3" style="0" width="9.51"/>
    <col collapsed="false" customWidth="true" hidden="false" outlineLevel="0" max="15" min="15" style="0" width="11"/>
    <col collapsed="false" customWidth="true" hidden="false" outlineLevel="0" max="19" min="16" style="0" width="10"/>
    <col collapsed="false" customWidth="true" hidden="false" outlineLevel="0" max="20" min="20" style="0" width="11"/>
    <col collapsed="false" customWidth="true" hidden="false" outlineLevel="0" max="21" min="21" style="0" width="9"/>
    <col collapsed="false" customWidth="true" hidden="false" outlineLevel="0" max="22" min="22" style="0" width="24"/>
    <col collapsed="false" customWidth="true" hidden="false" outlineLevel="0" max="23" min="23" style="0" width="64"/>
  </cols>
  <sheetData>
    <row r="1" customFormat="false" ht="19.7" hidden="false" customHeight="false" outlineLevel="0" collapsed="false">
      <c r="A1" s="14" t="s">
        <v>672</v>
      </c>
    </row>
    <row r="2" customFormat="false" ht="15" hidden="false" customHeight="false" outlineLevel="0" collapsed="false">
      <c r="A2" s="4" t="s">
        <v>673</v>
      </c>
    </row>
    <row r="3" customFormat="false" ht="15" hidden="false" customHeight="false" outlineLevel="0" collapsed="false">
      <c r="A3" s="15" t="s">
        <v>2</v>
      </c>
    </row>
    <row r="4" customFormat="false" ht="15" hidden="false" customHeight="false" outlineLevel="0" collapsed="false">
      <c r="A4" s="7" t="s">
        <v>597</v>
      </c>
      <c r="B4" s="52" t="str">
        <f aca="false">Assumptions!$C$6</f>
        <v>Base</v>
      </c>
    </row>
    <row r="6" customFormat="false" ht="24.05" hidden="false" customHeight="false" outlineLevel="0" collapsed="false">
      <c r="A6" s="18" t="s">
        <v>372</v>
      </c>
      <c r="B6" s="19" t="s">
        <v>220</v>
      </c>
      <c r="C6" s="53" t="n">
        <f aca="false">Ops_Model!C$6</f>
        <v>46023</v>
      </c>
      <c r="D6" s="53" t="n">
        <f aca="false">Ops_Model!D$6</f>
        <v>46054</v>
      </c>
      <c r="E6" s="53" t="n">
        <f aca="false">Ops_Model!E$6</f>
        <v>46082</v>
      </c>
      <c r="F6" s="53" t="n">
        <f aca="false">Ops_Model!F$6</f>
        <v>46113</v>
      </c>
      <c r="G6" s="53" t="n">
        <f aca="false">Ops_Model!G$6</f>
        <v>46143</v>
      </c>
      <c r="H6" s="53" t="n">
        <f aca="false">Ops_Model!H$6</f>
        <v>46174</v>
      </c>
      <c r="I6" s="53" t="n">
        <f aca="false">Ops_Model!I$6</f>
        <v>46204</v>
      </c>
      <c r="J6" s="53" t="n">
        <f aca="false">Ops_Model!J$6</f>
        <v>46235</v>
      </c>
      <c r="K6" s="53" t="n">
        <f aca="false">Ops_Model!K$6</f>
        <v>46266</v>
      </c>
      <c r="L6" s="53" t="n">
        <f aca="false">Ops_Model!L$6</f>
        <v>46296</v>
      </c>
      <c r="M6" s="53" t="n">
        <f aca="false">Ops_Model!M$6</f>
        <v>46327</v>
      </c>
      <c r="N6" s="53" t="n">
        <f aca="false">Ops_Model!N$6</f>
        <v>46357</v>
      </c>
      <c r="O6" s="19" t="s">
        <v>598</v>
      </c>
      <c r="P6" s="19" t="s">
        <v>654</v>
      </c>
      <c r="Q6" s="19" t="s">
        <v>655</v>
      </c>
      <c r="R6" s="19" t="s">
        <v>656</v>
      </c>
      <c r="S6" s="19" t="s">
        <v>657</v>
      </c>
      <c r="T6" s="19" t="s">
        <v>658</v>
      </c>
      <c r="U6" s="19" t="s">
        <v>659</v>
      </c>
      <c r="V6" s="19" t="s">
        <v>99</v>
      </c>
      <c r="W6" s="19" t="s">
        <v>599</v>
      </c>
    </row>
    <row r="7" customFormat="false" ht="15" hidden="false" customHeight="false" outlineLevel="0" collapsed="false">
      <c r="A7" s="16" t="s">
        <v>380</v>
      </c>
      <c r="B7" s="17"/>
      <c r="C7" s="17"/>
      <c r="D7" s="17"/>
      <c r="E7" s="17"/>
      <c r="F7" s="17"/>
      <c r="G7" s="17"/>
      <c r="H7" s="17"/>
      <c r="I7" s="17"/>
      <c r="J7" s="17"/>
      <c r="K7" s="17"/>
      <c r="L7" s="17"/>
      <c r="M7" s="17"/>
      <c r="N7" s="17"/>
      <c r="O7" s="17"/>
      <c r="P7" s="17"/>
      <c r="Q7" s="17"/>
      <c r="R7" s="17"/>
      <c r="S7" s="17"/>
      <c r="T7" s="17"/>
      <c r="U7" s="17"/>
      <c r="V7" s="17"/>
      <c r="W7" s="17"/>
    </row>
    <row r="8" customFormat="false" ht="15" hidden="false" customHeight="false" outlineLevel="0" collapsed="false">
      <c r="A8" s="44" t="s">
        <v>22</v>
      </c>
      <c r="B8" s="45" t="s">
        <v>259</v>
      </c>
      <c r="C8" s="61" t="n">
        <f aca="false">Revenue!C$23</f>
        <v>89.7317525294857</v>
      </c>
      <c r="D8" s="61" t="n">
        <f aca="false">Revenue!D$23</f>
        <v>91.6409387535173</v>
      </c>
      <c r="E8" s="61" t="n">
        <f aca="false">Revenue!E$23</f>
        <v>97.3684974256122</v>
      </c>
      <c r="F8" s="61" t="n">
        <f aca="false">Revenue!F$23</f>
        <v>94.5047180895648</v>
      </c>
      <c r="G8" s="61" t="n">
        <f aca="false">Revenue!G$23</f>
        <v>95.4593112015806</v>
      </c>
      <c r="H8" s="61" t="n">
        <f aca="false">Revenue!H$23</f>
        <v>98.323090537628</v>
      </c>
      <c r="I8" s="61" t="n">
        <f aca="false">Revenue!I$23</f>
        <v>97.3684974256122</v>
      </c>
      <c r="J8" s="61" t="n">
        <f aca="false">Revenue!J$23</f>
        <v>98.323090537628</v>
      </c>
      <c r="K8" s="61" t="n">
        <f aca="false">Revenue!K$23</f>
        <v>100.23227676166</v>
      </c>
      <c r="L8" s="61" t="n">
        <f aca="false">Revenue!L$23</f>
        <v>97.3684974256122</v>
      </c>
      <c r="M8" s="61" t="n">
        <f aca="false">Revenue!M$23</f>
        <v>93.550124977549</v>
      </c>
      <c r="N8" s="61" t="n">
        <f aca="false">Revenue!N$23</f>
        <v>91.6409387535173</v>
      </c>
      <c r="O8" s="62" t="n">
        <f aca="false">SUM(C8:N8)</f>
        <v>1145.51173441897</v>
      </c>
      <c r="P8" s="61" t="n">
        <f aca="false">SUM(C8:E8)</f>
        <v>278.741188708615</v>
      </c>
      <c r="Q8" s="61" t="n">
        <f aca="false">SUM(F8:H8)</f>
        <v>288.287119828773</v>
      </c>
      <c r="R8" s="61" t="n">
        <f aca="false">SUM(I8:K8)</f>
        <v>295.9238647249</v>
      </c>
      <c r="S8" s="61" t="n">
        <f aca="false">SUM(L8:N8)</f>
        <v>282.559561156678</v>
      </c>
      <c r="T8" s="61" t="n">
        <f aca="false">Assumptions!$F$32</f>
        <v>1000</v>
      </c>
      <c r="U8" s="63" t="n">
        <f aca="false">IFERROR(O8/T8-1,"")</f>
        <v>0.145511734418967</v>
      </c>
      <c r="V8" s="8" t="s">
        <v>602</v>
      </c>
      <c r="W8" s="8" t="s">
        <v>674</v>
      </c>
    </row>
    <row r="9" customFormat="false" ht="15" hidden="false" customHeight="false" outlineLevel="0" collapsed="false">
      <c r="A9" s="8" t="s">
        <v>675</v>
      </c>
      <c r="B9" s="8" t="s">
        <v>259</v>
      </c>
      <c r="C9" s="30" t="n">
        <f aca="false">Ops_Model!C$102</f>
        <v>37.8969392503702</v>
      </c>
      <c r="D9" s="30" t="n">
        <f aca="false">Ops_Model!D$102</f>
        <v>38.3367745166976</v>
      </c>
      <c r="E9" s="30" t="n">
        <f aca="false">Ops_Model!E$102</f>
        <v>40.5504912665927</v>
      </c>
      <c r="F9" s="30" t="n">
        <f aca="false">Ops_Model!F$102</f>
        <v>39.2700154529594</v>
      </c>
      <c r="G9" s="30" t="n">
        <f aca="false">Ops_Model!G$102</f>
        <v>39.6235450899804</v>
      </c>
      <c r="H9" s="30" t="n">
        <f aca="false">Ops_Model!H$102</f>
        <v>40.7902870660209</v>
      </c>
      <c r="I9" s="30" t="n">
        <f aca="false">Ops_Model!I$102</f>
        <v>40.3832606890625</v>
      </c>
      <c r="J9" s="30" t="n">
        <f aca="false">Ops_Model!J$102</f>
        <v>40.7735954599277</v>
      </c>
      <c r="K9" s="30" t="n">
        <f aca="false">Ops_Model!K$102</f>
        <v>41.5624205879339</v>
      </c>
      <c r="L9" s="30" t="n">
        <f aca="false">Ops_Model!L$102</f>
        <v>40.3734609759448</v>
      </c>
      <c r="M9" s="30" t="n">
        <f aca="false">Ops_Model!M$102</f>
        <v>38.7894592214872</v>
      </c>
      <c r="N9" s="30" t="n">
        <f aca="false">Ops_Model!N$102</f>
        <v>37.9974598474738</v>
      </c>
      <c r="O9" s="42" t="n">
        <f aca="false">SUM(C9:N9)</f>
        <v>476.347709424451</v>
      </c>
      <c r="P9" s="30" t="n">
        <f aca="false">SUM(C9:E9)</f>
        <v>116.78420503366</v>
      </c>
      <c r="Q9" s="30" t="n">
        <f aca="false">SUM(F9:H9)</f>
        <v>119.683847608961</v>
      </c>
      <c r="R9" s="30" t="n">
        <f aca="false">SUM(I9:K9)</f>
        <v>122.719276736924</v>
      </c>
      <c r="S9" s="30" t="n">
        <f aca="false">SUM(L9:N9)</f>
        <v>117.160380044906</v>
      </c>
      <c r="T9" s="30" t="n">
        <f aca="false">Assumptions!$F$57</f>
        <v>427.901618197849</v>
      </c>
      <c r="U9" s="35" t="n">
        <f aca="false">IFERROR(O9/T9-1,"")</f>
        <v>0.1132178266365</v>
      </c>
      <c r="V9" s="8" t="s">
        <v>602</v>
      </c>
      <c r="W9" s="8" t="s">
        <v>676</v>
      </c>
    </row>
    <row r="10" customFormat="false" ht="15" hidden="false" customHeight="false" outlineLevel="0" collapsed="false">
      <c r="A10" s="8" t="s">
        <v>677</v>
      </c>
      <c r="B10" s="8" t="s">
        <v>259</v>
      </c>
      <c r="C10" s="30" t="n">
        <f aca="false">FCF!C$9</f>
        <v>0</v>
      </c>
      <c r="D10" s="30" t="n">
        <f aca="false">FCF!D$9</f>
        <v>0.0747764604412381</v>
      </c>
      <c r="E10" s="30" t="n">
        <f aca="false">FCF!E$9</f>
        <v>0.151143909402503</v>
      </c>
      <c r="F10" s="30" t="n">
        <f aca="false">FCF!F$9</f>
        <v>0.232284323923846</v>
      </c>
      <c r="G10" s="30" t="n">
        <f aca="false">FCF!G$9</f>
        <v>0.31103825566515</v>
      </c>
      <c r="H10" s="30" t="n">
        <f aca="false">FCF!H$9</f>
        <v>0.390587681666467</v>
      </c>
      <c r="I10" s="30" t="n">
        <f aca="false">FCF!I$9</f>
        <v>0.472523590447824</v>
      </c>
      <c r="J10" s="30" t="n">
        <f aca="false">FCF!J$9</f>
        <v>0.553664004969167</v>
      </c>
      <c r="K10" s="30" t="n">
        <f aca="false">FCF!K$9</f>
        <v>0.635599913750524</v>
      </c>
      <c r="L10" s="30" t="n">
        <f aca="false">FCF!L$9</f>
        <v>0.719126811051907</v>
      </c>
      <c r="M10" s="30" t="n">
        <f aca="false">FCF!M$9</f>
        <v>0.800267225573251</v>
      </c>
      <c r="N10" s="30" t="n">
        <f aca="false">FCF!N$9</f>
        <v>0.878225663054541</v>
      </c>
      <c r="O10" s="42" t="n">
        <f aca="false">SUM(C10:N10)</f>
        <v>5.21923783994642</v>
      </c>
      <c r="P10" s="30" t="n">
        <f aca="false">SUM(C10:E10)</f>
        <v>0.225920369843741</v>
      </c>
      <c r="Q10" s="30" t="n">
        <f aca="false">SUM(F10:H10)</f>
        <v>0.933910261255463</v>
      </c>
      <c r="R10" s="30" t="n">
        <f aca="false">SUM(I10:K10)</f>
        <v>1.66178750916752</v>
      </c>
      <c r="S10" s="30" t="n">
        <f aca="false">SUM(L10:N10)</f>
        <v>2.3976196996797</v>
      </c>
      <c r="T10" s="30" t="n">
        <f aca="false">0</f>
        <v>0</v>
      </c>
      <c r="V10" s="8" t="s">
        <v>602</v>
      </c>
      <c r="W10" s="8" t="s">
        <v>678</v>
      </c>
    </row>
    <row r="11" customFormat="false" ht="15" hidden="false" customHeight="false" outlineLevel="0" collapsed="false">
      <c r="A11" s="8" t="s">
        <v>679</v>
      </c>
      <c r="B11" s="8" t="s">
        <v>259</v>
      </c>
      <c r="C11" s="30" t="n">
        <f aca="false">C9+C10</f>
        <v>37.8969392503702</v>
      </c>
      <c r="D11" s="30" t="n">
        <f aca="false">D9+D10</f>
        <v>38.4115509771389</v>
      </c>
      <c r="E11" s="30" t="n">
        <f aca="false">E9+E10</f>
        <v>40.7016351759952</v>
      </c>
      <c r="F11" s="30" t="n">
        <f aca="false">F9+F10</f>
        <v>39.5022997768833</v>
      </c>
      <c r="G11" s="30" t="n">
        <f aca="false">G9+G10</f>
        <v>39.9345833456455</v>
      </c>
      <c r="H11" s="30" t="n">
        <f aca="false">H9+H10</f>
        <v>41.1808747476873</v>
      </c>
      <c r="I11" s="30" t="n">
        <f aca="false">I9+I10</f>
        <v>40.8557842795103</v>
      </c>
      <c r="J11" s="30" t="n">
        <f aca="false">J9+J10</f>
        <v>41.3272594648969</v>
      </c>
      <c r="K11" s="30" t="n">
        <f aca="false">K9+K10</f>
        <v>42.1980205016844</v>
      </c>
      <c r="L11" s="30" t="n">
        <f aca="false">L9+L10</f>
        <v>41.0925877869967</v>
      </c>
      <c r="M11" s="30" t="n">
        <f aca="false">M9+M10</f>
        <v>39.5897264470605</v>
      </c>
      <c r="N11" s="30" t="n">
        <f aca="false">N9+N10</f>
        <v>38.8756855105284</v>
      </c>
      <c r="O11" s="42" t="n">
        <f aca="false">SUM(C11:N11)</f>
        <v>481.566947264397</v>
      </c>
      <c r="P11" s="30" t="n">
        <f aca="false">SUM(C11:E11)</f>
        <v>117.010125403504</v>
      </c>
      <c r="Q11" s="30" t="n">
        <f aca="false">SUM(F11:H11)</f>
        <v>120.617757870216</v>
      </c>
      <c r="R11" s="30" t="n">
        <f aca="false">SUM(I11:K11)</f>
        <v>124.381064246092</v>
      </c>
      <c r="S11" s="30" t="n">
        <f aca="false">SUM(L11:N11)</f>
        <v>119.557999744586</v>
      </c>
      <c r="T11" s="30" t="n">
        <f aca="false">T9+T10</f>
        <v>427.901618197849</v>
      </c>
      <c r="U11" s="35" t="n">
        <f aca="false">IFERROR(O11/T11-1,"")</f>
        <v>0.125415111287883</v>
      </c>
      <c r="V11" s="8" t="s">
        <v>602</v>
      </c>
      <c r="W11" s="8" t="s">
        <v>680</v>
      </c>
    </row>
    <row r="12" customFormat="false" ht="15" hidden="false" customHeight="false" outlineLevel="0" collapsed="false">
      <c r="A12" s="44" t="s">
        <v>312</v>
      </c>
      <c r="B12" s="45" t="s">
        <v>259</v>
      </c>
      <c r="C12" s="61" t="n">
        <f aca="false">C8-C11</f>
        <v>51.8348132791156</v>
      </c>
      <c r="D12" s="61" t="n">
        <f aca="false">D8-D11</f>
        <v>53.2293877763785</v>
      </c>
      <c r="E12" s="61" t="n">
        <f aca="false">E8-E11</f>
        <v>56.666862249617</v>
      </c>
      <c r="F12" s="61" t="n">
        <f aca="false">F8-F11</f>
        <v>55.0024183126815</v>
      </c>
      <c r="G12" s="61" t="n">
        <f aca="false">G8-G11</f>
        <v>55.524727855935</v>
      </c>
      <c r="H12" s="61" t="n">
        <f aca="false">H8-H11</f>
        <v>57.1422157899406</v>
      </c>
      <c r="I12" s="61" t="n">
        <f aca="false">I8-I11</f>
        <v>56.5127131461018</v>
      </c>
      <c r="J12" s="61" t="n">
        <f aca="false">J8-J11</f>
        <v>56.9958310727311</v>
      </c>
      <c r="K12" s="61" t="n">
        <f aca="false">K8-K11</f>
        <v>58.0342562599752</v>
      </c>
      <c r="L12" s="61" t="n">
        <f aca="false">L8-L11</f>
        <v>56.2759096386155</v>
      </c>
      <c r="M12" s="61" t="n">
        <f aca="false">M8-M11</f>
        <v>53.9603985304885</v>
      </c>
      <c r="N12" s="61" t="n">
        <f aca="false">N8-N11</f>
        <v>52.765253242989</v>
      </c>
      <c r="O12" s="62" t="n">
        <f aca="false">SUM(C12:N12)</f>
        <v>663.944787154569</v>
      </c>
      <c r="P12" s="61" t="n">
        <f aca="false">SUM(C12:E12)</f>
        <v>161.731063305111</v>
      </c>
      <c r="Q12" s="61" t="n">
        <f aca="false">SUM(F12:H12)</f>
        <v>167.669361958557</v>
      </c>
      <c r="R12" s="61" t="n">
        <f aca="false">SUM(I12:K12)</f>
        <v>171.542800478808</v>
      </c>
      <c r="S12" s="61" t="n">
        <f aca="false">SUM(L12:N12)</f>
        <v>163.001561412093</v>
      </c>
      <c r="T12" s="61" t="n">
        <f aca="false">T8-T11</f>
        <v>572.098381802151</v>
      </c>
      <c r="U12" s="63" t="n">
        <f aca="false">IFERROR(O12/T12-1,"")</f>
        <v>0.160543025944411</v>
      </c>
      <c r="V12" s="8" t="s">
        <v>602</v>
      </c>
      <c r="W12" s="8" t="s">
        <v>313</v>
      </c>
    </row>
    <row r="13" customFormat="false" ht="15" hidden="false" customHeight="false" outlineLevel="0" collapsed="false">
      <c r="A13" s="8" t="s">
        <v>314</v>
      </c>
      <c r="B13" s="8" t="s">
        <v>226</v>
      </c>
      <c r="C13" s="35" t="n">
        <f aca="false">IFERROR(C12/C8,0)</f>
        <v>0.577664113515254</v>
      </c>
      <c r="D13" s="35" t="n">
        <f aca="false">IFERROR(D12/D8,0)</f>
        <v>0.580847255608623</v>
      </c>
      <c r="E13" s="35" t="n">
        <f aca="false">IFERROR(E12/E8,0)</f>
        <v>0.581983534180647</v>
      </c>
      <c r="F13" s="35" t="n">
        <f aca="false">IFERROR(F12/F8,0)</f>
        <v>0.582007114825253</v>
      </c>
      <c r="G13" s="35" t="n">
        <f aca="false">IFERROR(G12/G8,0)</f>
        <v>0.581658584762716</v>
      </c>
      <c r="H13" s="35" t="n">
        <f aca="false">IFERROR(H12/H8,0)</f>
        <v>0.58116781599814</v>
      </c>
      <c r="I13" s="35" t="n">
        <f aca="false">IFERROR(I12/I8,0)</f>
        <v>0.580400382467405</v>
      </c>
      <c r="J13" s="35" t="n">
        <f aca="false">IFERROR(J12/J8,0)</f>
        <v>0.57967900277625</v>
      </c>
      <c r="K13" s="35" t="n">
        <f aca="false">IFERROR(K12/K8,0)</f>
        <v>0.578997685525729</v>
      </c>
      <c r="L13" s="35" t="n">
        <f aca="false">IFERROR(L12/L8,0)</f>
        <v>0.57796834835219</v>
      </c>
      <c r="M13" s="35" t="n">
        <f aca="false">IFERROR(M12/M8,0)</f>
        <v>0.576807337707335</v>
      </c>
      <c r="N13" s="35" t="n">
        <f aca="false">IFERROR(N12/N8,0)</f>
        <v>0.575782548287828</v>
      </c>
      <c r="O13" s="57" t="n">
        <f aca="false">IFERROR(O12/O8,0)</f>
        <v>0.579605400106477</v>
      </c>
      <c r="P13" s="35" t="n">
        <f aca="false">IFERROR(P12/P8,0)</f>
        <v>0.58021946470989</v>
      </c>
      <c r="Q13" s="35" t="n">
        <f aca="false">IFERROR(Q12/Q8,0)</f>
        <v>0.581605456595298</v>
      </c>
      <c r="R13" s="35" t="n">
        <f aca="false">IFERROR(R12/R8,0)</f>
        <v>0.579685591218808</v>
      </c>
      <c r="S13" s="35" t="n">
        <f aca="false">IFERROR(S12/S8,0)</f>
        <v>0.576875051563762</v>
      </c>
      <c r="T13" s="35" t="n">
        <f aca="false">IFERROR(T12/T8,0)</f>
        <v>0.572098381802151</v>
      </c>
      <c r="V13" s="8" t="s">
        <v>602</v>
      </c>
      <c r="W13" s="8" t="s">
        <v>644</v>
      </c>
    </row>
    <row r="14" customFormat="false" ht="15" hidden="false" customHeight="false" outlineLevel="0" collapsed="false">
      <c r="A14" s="8" t="s">
        <v>681</v>
      </c>
      <c r="B14" s="8" t="s">
        <v>259</v>
      </c>
      <c r="C14" s="30" t="n">
        <f aca="false">Assumptions!$F$33*(1+Assumptions!$F$15)/12</f>
        <v>10.5</v>
      </c>
      <c r="D14" s="30" t="n">
        <f aca="false">Assumptions!$F$33*(1+Assumptions!$F$15)/12</f>
        <v>10.5</v>
      </c>
      <c r="E14" s="30" t="n">
        <f aca="false">Assumptions!$F$33*(1+Assumptions!$F$15)/12</f>
        <v>10.5</v>
      </c>
      <c r="F14" s="30" t="n">
        <f aca="false">Assumptions!$F$33*(1+Assumptions!$F$15)/12</f>
        <v>10.5</v>
      </c>
      <c r="G14" s="30" t="n">
        <f aca="false">Assumptions!$F$33*(1+Assumptions!$F$15)/12</f>
        <v>10.5</v>
      </c>
      <c r="H14" s="30" t="n">
        <f aca="false">Assumptions!$F$33*(1+Assumptions!$F$15)/12</f>
        <v>10.5</v>
      </c>
      <c r="I14" s="30" t="n">
        <f aca="false">Assumptions!$F$33*(1+Assumptions!$F$15)/12</f>
        <v>10.5</v>
      </c>
      <c r="J14" s="30" t="n">
        <f aca="false">Assumptions!$F$33*(1+Assumptions!$F$15)/12</f>
        <v>10.5</v>
      </c>
      <c r="K14" s="30" t="n">
        <f aca="false">Assumptions!$F$33*(1+Assumptions!$F$15)/12</f>
        <v>10.5</v>
      </c>
      <c r="L14" s="30" t="n">
        <f aca="false">Assumptions!$F$33*(1+Assumptions!$F$15)/12</f>
        <v>10.5</v>
      </c>
      <c r="M14" s="30" t="n">
        <f aca="false">Assumptions!$F$33*(1+Assumptions!$F$15)/12</f>
        <v>10.5</v>
      </c>
      <c r="N14" s="30" t="n">
        <f aca="false">Assumptions!$F$33*(1+Assumptions!$F$15)/12</f>
        <v>10.5</v>
      </c>
      <c r="O14" s="42" t="n">
        <f aca="false">SUM(C14:N14)</f>
        <v>126</v>
      </c>
      <c r="P14" s="30" t="n">
        <f aca="false">SUM(C14:E14)</f>
        <v>31.5</v>
      </c>
      <c r="Q14" s="30" t="n">
        <f aca="false">SUM(F14:H14)</f>
        <v>31.5</v>
      </c>
      <c r="R14" s="30" t="n">
        <f aca="false">SUM(I14:K14)</f>
        <v>31.5</v>
      </c>
      <c r="S14" s="30" t="n">
        <f aca="false">SUM(L14:N14)</f>
        <v>31.5</v>
      </c>
      <c r="T14" s="30" t="n">
        <f aca="false">Assumptions!$F$33</f>
        <v>120</v>
      </c>
      <c r="U14" s="35" t="n">
        <f aca="false">IFERROR(O14/T14-1,"")</f>
        <v>0.05</v>
      </c>
      <c r="V14" s="8" t="s">
        <v>602</v>
      </c>
      <c r="W14" s="8" t="s">
        <v>682</v>
      </c>
    </row>
    <row r="15" customFormat="false" ht="15" hidden="false" customHeight="false" outlineLevel="0" collapsed="false">
      <c r="A15" s="8" t="s">
        <v>683</v>
      </c>
      <c r="B15" s="8" t="s">
        <v>259</v>
      </c>
      <c r="C15" s="30" t="n">
        <f aca="false">Assumptions!$F$34*(1+Assumptions!$F$16)/12</f>
        <v>8.58333333333333</v>
      </c>
      <c r="D15" s="30" t="n">
        <f aca="false">Assumptions!$F$34*(1+Assumptions!$F$16)/12</f>
        <v>8.58333333333333</v>
      </c>
      <c r="E15" s="30" t="n">
        <f aca="false">Assumptions!$F$34*(1+Assumptions!$F$16)/12</f>
        <v>8.58333333333333</v>
      </c>
      <c r="F15" s="30" t="n">
        <f aca="false">Assumptions!$F$34*(1+Assumptions!$F$16)/12</f>
        <v>8.58333333333333</v>
      </c>
      <c r="G15" s="30" t="n">
        <f aca="false">Assumptions!$F$34*(1+Assumptions!$F$16)/12</f>
        <v>8.58333333333333</v>
      </c>
      <c r="H15" s="30" t="n">
        <f aca="false">Assumptions!$F$34*(1+Assumptions!$F$16)/12</f>
        <v>8.58333333333333</v>
      </c>
      <c r="I15" s="30" t="n">
        <f aca="false">Assumptions!$F$34*(1+Assumptions!$F$16)/12</f>
        <v>8.58333333333333</v>
      </c>
      <c r="J15" s="30" t="n">
        <f aca="false">Assumptions!$F$34*(1+Assumptions!$F$16)/12</f>
        <v>8.58333333333333</v>
      </c>
      <c r="K15" s="30" t="n">
        <f aca="false">Assumptions!$F$34*(1+Assumptions!$F$16)/12</f>
        <v>8.58333333333333</v>
      </c>
      <c r="L15" s="30" t="n">
        <f aca="false">Assumptions!$F$34*(1+Assumptions!$F$16)/12</f>
        <v>8.58333333333333</v>
      </c>
      <c r="M15" s="30" t="n">
        <f aca="false">Assumptions!$F$34*(1+Assumptions!$F$16)/12</f>
        <v>8.58333333333333</v>
      </c>
      <c r="N15" s="30" t="n">
        <f aca="false">Assumptions!$F$34*(1+Assumptions!$F$16)/12</f>
        <v>8.58333333333333</v>
      </c>
      <c r="O15" s="42" t="n">
        <f aca="false">SUM(C15:N15)</f>
        <v>103</v>
      </c>
      <c r="P15" s="30" t="n">
        <f aca="false">SUM(C15:E15)</f>
        <v>25.75</v>
      </c>
      <c r="Q15" s="30" t="n">
        <f aca="false">SUM(F15:H15)</f>
        <v>25.75</v>
      </c>
      <c r="R15" s="30" t="n">
        <f aca="false">SUM(I15:K15)</f>
        <v>25.75</v>
      </c>
      <c r="S15" s="30" t="n">
        <f aca="false">SUM(L15:N15)</f>
        <v>25.75</v>
      </c>
      <c r="T15" s="30" t="n">
        <f aca="false">Assumptions!$F$34</f>
        <v>100</v>
      </c>
      <c r="U15" s="35" t="n">
        <f aca="false">IFERROR(O15/T15-1,"")</f>
        <v>0.03</v>
      </c>
      <c r="V15" s="8" t="s">
        <v>602</v>
      </c>
      <c r="W15" s="8" t="s">
        <v>684</v>
      </c>
    </row>
    <row r="16" customFormat="false" ht="15" hidden="false" customHeight="false" outlineLevel="0" collapsed="false">
      <c r="A16" s="8" t="s">
        <v>685</v>
      </c>
      <c r="B16" s="8" t="s">
        <v>259</v>
      </c>
      <c r="C16" s="30" t="n">
        <f aca="false">C14+C15</f>
        <v>19.0833333333333</v>
      </c>
      <c r="D16" s="30" t="n">
        <f aca="false">D14+D15</f>
        <v>19.0833333333333</v>
      </c>
      <c r="E16" s="30" t="n">
        <f aca="false">E14+E15</f>
        <v>19.0833333333333</v>
      </c>
      <c r="F16" s="30" t="n">
        <f aca="false">F14+F15</f>
        <v>19.0833333333333</v>
      </c>
      <c r="G16" s="30" t="n">
        <f aca="false">G14+G15</f>
        <v>19.0833333333333</v>
      </c>
      <c r="H16" s="30" t="n">
        <f aca="false">H14+H15</f>
        <v>19.0833333333333</v>
      </c>
      <c r="I16" s="30" t="n">
        <f aca="false">I14+I15</f>
        <v>19.0833333333333</v>
      </c>
      <c r="J16" s="30" t="n">
        <f aca="false">J14+J15</f>
        <v>19.0833333333333</v>
      </c>
      <c r="K16" s="30" t="n">
        <f aca="false">K14+K15</f>
        <v>19.0833333333333</v>
      </c>
      <c r="L16" s="30" t="n">
        <f aca="false">L14+L15</f>
        <v>19.0833333333333</v>
      </c>
      <c r="M16" s="30" t="n">
        <f aca="false">M14+M15</f>
        <v>19.0833333333333</v>
      </c>
      <c r="N16" s="30" t="n">
        <f aca="false">N14+N15</f>
        <v>19.0833333333333</v>
      </c>
      <c r="O16" s="42" t="n">
        <f aca="false">SUM(C16:N16)</f>
        <v>229</v>
      </c>
      <c r="P16" s="30" t="n">
        <f aca="false">SUM(C16:E16)</f>
        <v>57.25</v>
      </c>
      <c r="Q16" s="30" t="n">
        <f aca="false">SUM(F16:H16)</f>
        <v>57.25</v>
      </c>
      <c r="R16" s="30" t="n">
        <f aca="false">SUM(I16:K16)</f>
        <v>57.25</v>
      </c>
      <c r="S16" s="30" t="n">
        <f aca="false">SUM(L16:N16)</f>
        <v>57.25</v>
      </c>
      <c r="T16" s="30" t="n">
        <f aca="false">T14+T15</f>
        <v>220</v>
      </c>
      <c r="U16" s="35" t="n">
        <f aca="false">IFERROR(O16/T16-1,"")</f>
        <v>0.040909090909091</v>
      </c>
      <c r="V16" s="8" t="s">
        <v>602</v>
      </c>
      <c r="W16" s="8" t="s">
        <v>686</v>
      </c>
    </row>
    <row r="17" customFormat="false" ht="15" hidden="false" customHeight="false" outlineLevel="0" collapsed="false">
      <c r="A17" s="44" t="s">
        <v>364</v>
      </c>
      <c r="B17" s="45" t="s">
        <v>259</v>
      </c>
      <c r="C17" s="61" t="n">
        <f aca="false">C12-C16</f>
        <v>32.7514799457822</v>
      </c>
      <c r="D17" s="61" t="n">
        <f aca="false">D12-D16</f>
        <v>34.1460544430451</v>
      </c>
      <c r="E17" s="61" t="n">
        <f aca="false">E12-E16</f>
        <v>37.5835289162837</v>
      </c>
      <c r="F17" s="61" t="n">
        <f aca="false">F12-F16</f>
        <v>35.9190849793482</v>
      </c>
      <c r="G17" s="61" t="n">
        <f aca="false">G12-G16</f>
        <v>36.4413945226017</v>
      </c>
      <c r="H17" s="61" t="n">
        <f aca="false">H12-H16</f>
        <v>38.0588824566073</v>
      </c>
      <c r="I17" s="61" t="n">
        <f aca="false">I12-I16</f>
        <v>37.4293798127685</v>
      </c>
      <c r="J17" s="61" t="n">
        <f aca="false">J12-J16</f>
        <v>37.9124977393977</v>
      </c>
      <c r="K17" s="61" t="n">
        <f aca="false">K12-K16</f>
        <v>38.9509229266419</v>
      </c>
      <c r="L17" s="61" t="n">
        <f aca="false">L12-L16</f>
        <v>37.1925763052822</v>
      </c>
      <c r="M17" s="61" t="n">
        <f aca="false">M12-M16</f>
        <v>34.8770651971551</v>
      </c>
      <c r="N17" s="61" t="n">
        <f aca="false">N12-N16</f>
        <v>33.6819199096556</v>
      </c>
      <c r="O17" s="62" t="n">
        <f aca="false">SUM(C17:N17)</f>
        <v>434.944787154569</v>
      </c>
      <c r="P17" s="61" t="n">
        <f aca="false">SUM(C17:E17)</f>
        <v>104.481063305111</v>
      </c>
      <c r="Q17" s="61" t="n">
        <f aca="false">SUM(F17:H17)</f>
        <v>110.419361958557</v>
      </c>
      <c r="R17" s="61" t="n">
        <f aca="false">SUM(I17:K17)</f>
        <v>114.292800478808</v>
      </c>
      <c r="S17" s="61" t="n">
        <f aca="false">SUM(L17:N17)</f>
        <v>105.751561412093</v>
      </c>
      <c r="T17" s="61" t="n">
        <f aca="false">T12-T16</f>
        <v>352.098381802151</v>
      </c>
      <c r="U17" s="63" t="n">
        <f aca="false">IFERROR(O17/T17-1,"")</f>
        <v>0.235293343094576</v>
      </c>
      <c r="V17" s="8" t="s">
        <v>602</v>
      </c>
      <c r="W17" s="8" t="s">
        <v>687</v>
      </c>
    </row>
    <row r="18" customFormat="false" ht="15" hidden="false" customHeight="false" outlineLevel="0" collapsed="false">
      <c r="A18" s="8" t="s">
        <v>365</v>
      </c>
      <c r="B18" s="8" t="s">
        <v>226</v>
      </c>
      <c r="C18" s="35" t="n">
        <f aca="false">IFERROR(C17/C8,0)</f>
        <v>0.36499320499753</v>
      </c>
      <c r="D18" s="35" t="n">
        <f aca="false">IFERROR(D17/D8,0)</f>
        <v>0.372606991018351</v>
      </c>
      <c r="E18" s="35" t="n">
        <f aca="false">IFERROR(E17/E8,0)</f>
        <v>0.385992696919215</v>
      </c>
      <c r="F18" s="35" t="n">
        <f aca="false">IFERROR(F17/F8,0)</f>
        <v>0.380077161283172</v>
      </c>
      <c r="G18" s="35" t="n">
        <f aca="false">IFERROR(G17/G8,0)</f>
        <v>0.381747930756055</v>
      </c>
      <c r="H18" s="35" t="n">
        <f aca="false">IFERROR(H17/H8,0)</f>
        <v>0.38707980239944</v>
      </c>
      <c r="I18" s="35" t="n">
        <f aca="false">IFERROR(I17/I8,0)</f>
        <v>0.384409545205973</v>
      </c>
      <c r="J18" s="35" t="n">
        <f aca="false">IFERROR(J17/J8,0)</f>
        <v>0.38559098917755</v>
      </c>
      <c r="K18" s="35" t="n">
        <f aca="false">IFERROR(K17/K8,0)</f>
        <v>0.388606586471766</v>
      </c>
      <c r="L18" s="35" t="n">
        <f aca="false">IFERROR(L17/L8,0)</f>
        <v>0.381977511090757</v>
      </c>
      <c r="M18" s="35" t="n">
        <f aca="false">IFERROR(M17/M8,0)</f>
        <v>0.372816874435232</v>
      </c>
      <c r="N18" s="35" t="n">
        <f aca="false">IFERROR(N17/N8,0)</f>
        <v>0.367542283697556</v>
      </c>
      <c r="O18" s="57" t="n">
        <f aca="false">IFERROR(O17/O8,0)</f>
        <v>0.379694746099816</v>
      </c>
      <c r="P18" s="35" t="n">
        <f aca="false">IFERROR(P17/P8,0)</f>
        <v>0.374831806483868</v>
      </c>
      <c r="Q18" s="35" t="n">
        <f aca="false">IFERROR(Q17/Q8,0)</f>
        <v>0.383018714204576</v>
      </c>
      <c r="R18" s="35" t="n">
        <f aca="false">IFERROR(R17/R8,0)</f>
        <v>0.386223667986556</v>
      </c>
      <c r="S18" s="35" t="n">
        <f aca="false">IFERROR(S17/S8,0)</f>
        <v>0.374262902232687</v>
      </c>
      <c r="T18" s="35" t="n">
        <f aca="false">IFERROR(T17/T8,0)</f>
        <v>0.352098381802151</v>
      </c>
      <c r="V18" s="8" t="s">
        <v>602</v>
      </c>
      <c r="W18" s="8" t="s">
        <v>688</v>
      </c>
    </row>
    <row r="19" customFormat="false" ht="15" hidden="false" customHeight="false" outlineLevel="0" collapsed="false">
      <c r="A19" s="8" t="s">
        <v>689</v>
      </c>
      <c r="B19" s="8" t="s">
        <v>259</v>
      </c>
      <c r="C19" s="30" t="n">
        <f aca="false">C17</f>
        <v>32.7514799457822</v>
      </c>
      <c r="D19" s="30" t="n">
        <f aca="false">D17</f>
        <v>34.1460544430451</v>
      </c>
      <c r="E19" s="30" t="n">
        <f aca="false">E17</f>
        <v>37.5835289162837</v>
      </c>
      <c r="F19" s="30" t="n">
        <f aca="false">F17</f>
        <v>35.9190849793482</v>
      </c>
      <c r="G19" s="30" t="n">
        <f aca="false">G17</f>
        <v>36.4413945226017</v>
      </c>
      <c r="H19" s="30" t="n">
        <f aca="false">H17</f>
        <v>38.0588824566073</v>
      </c>
      <c r="I19" s="30" t="n">
        <f aca="false">I17</f>
        <v>37.4293798127685</v>
      </c>
      <c r="J19" s="30" t="n">
        <f aca="false">J17</f>
        <v>37.9124977393977</v>
      </c>
      <c r="K19" s="30" t="n">
        <f aca="false">K17</f>
        <v>38.9509229266419</v>
      </c>
      <c r="L19" s="30" t="n">
        <f aca="false">L17</f>
        <v>37.1925763052822</v>
      </c>
      <c r="M19" s="30" t="n">
        <f aca="false">M17</f>
        <v>34.8770651971551</v>
      </c>
      <c r="N19" s="30" t="n">
        <f aca="false">N17</f>
        <v>33.6819199096556</v>
      </c>
      <c r="O19" s="42" t="n">
        <f aca="false">SUM(C19:N19)</f>
        <v>434.944787154569</v>
      </c>
      <c r="P19" s="30" t="n">
        <f aca="false">SUM(C19:E19)</f>
        <v>104.481063305111</v>
      </c>
      <c r="Q19" s="30" t="n">
        <f aca="false">SUM(F19:H19)</f>
        <v>110.419361958557</v>
      </c>
      <c r="R19" s="30" t="n">
        <f aca="false">SUM(I19:K19)</f>
        <v>114.292800478808</v>
      </c>
      <c r="S19" s="30" t="n">
        <f aca="false">SUM(L19:N19)</f>
        <v>105.751561412093</v>
      </c>
      <c r="V19" s="8" t="s">
        <v>602</v>
      </c>
      <c r="W19" s="8" t="s">
        <v>690</v>
      </c>
    </row>
    <row r="20" customFormat="false" ht="15" hidden="false" customHeight="false" outlineLevel="0" collapsed="false">
      <c r="A20" s="8" t="s">
        <v>691</v>
      </c>
      <c r="B20" s="8" t="s">
        <v>259</v>
      </c>
      <c r="C20" s="30" t="n">
        <f aca="false">C19*Assumptions!$F$18</f>
        <v>4.25769239295169</v>
      </c>
      <c r="D20" s="30" t="n">
        <f aca="false">D19*Assumptions!$F$18</f>
        <v>4.43898707759587</v>
      </c>
      <c r="E20" s="30" t="n">
        <f aca="false">E19*Assumptions!$F$18</f>
        <v>4.88585875911688</v>
      </c>
      <c r="F20" s="30" t="n">
        <f aca="false">F19*Assumptions!$F$18</f>
        <v>4.66948104731526</v>
      </c>
      <c r="G20" s="30" t="n">
        <f aca="false">G19*Assumptions!$F$18</f>
        <v>4.73738128793822</v>
      </c>
      <c r="H20" s="30" t="n">
        <f aca="false">H19*Assumptions!$F$18</f>
        <v>4.94765471935895</v>
      </c>
      <c r="I20" s="30" t="n">
        <f aca="false">I19*Assumptions!$F$18</f>
        <v>4.86581937565991</v>
      </c>
      <c r="J20" s="30" t="n">
        <f aca="false">J19*Assumptions!$F$18</f>
        <v>4.92862470612171</v>
      </c>
      <c r="K20" s="30" t="n">
        <f aca="false">K19*Assumptions!$F$18</f>
        <v>5.06361998046344</v>
      </c>
      <c r="L20" s="30" t="n">
        <f aca="false">L19*Assumptions!$F$18</f>
        <v>4.83503491968668</v>
      </c>
      <c r="M20" s="30" t="n">
        <f aca="false">M19*Assumptions!$F$18</f>
        <v>4.53401847563017</v>
      </c>
      <c r="N20" s="30" t="n">
        <f aca="false">N19*Assumptions!$F$18</f>
        <v>4.37864958825523</v>
      </c>
      <c r="O20" s="42" t="n">
        <f aca="false">SUM(C20:N20)</f>
        <v>56.542822330094</v>
      </c>
      <c r="P20" s="30" t="n">
        <f aca="false">SUM(C20:E20)</f>
        <v>13.5825382296644</v>
      </c>
      <c r="Q20" s="30" t="n">
        <f aca="false">SUM(F20:H20)</f>
        <v>14.3545170546124</v>
      </c>
      <c r="R20" s="30" t="n">
        <f aca="false">SUM(I20:K20)</f>
        <v>14.8580640622451</v>
      </c>
      <c r="S20" s="30" t="n">
        <f aca="false">SUM(L20:N20)</f>
        <v>13.7477029835721</v>
      </c>
      <c r="V20" s="8" t="s">
        <v>602</v>
      </c>
      <c r="W20" s="8" t="s">
        <v>692</v>
      </c>
    </row>
    <row r="21" customFormat="false" ht="15" hidden="false" customHeight="false" outlineLevel="0" collapsed="false">
      <c r="A21" s="44" t="s">
        <v>366</v>
      </c>
      <c r="B21" s="45" t="s">
        <v>259</v>
      </c>
      <c r="C21" s="61" t="n">
        <f aca="false">C19-C20</f>
        <v>28.4937875528305</v>
      </c>
      <c r="D21" s="61" t="n">
        <f aca="false">D19-D20</f>
        <v>29.7070673654493</v>
      </c>
      <c r="E21" s="61" t="n">
        <f aca="false">E19-E20</f>
        <v>32.6976701571668</v>
      </c>
      <c r="F21" s="61" t="n">
        <f aca="false">F19-F20</f>
        <v>31.2496039320329</v>
      </c>
      <c r="G21" s="61" t="n">
        <f aca="false">G19-G20</f>
        <v>31.7040132346635</v>
      </c>
      <c r="H21" s="61" t="n">
        <f aca="false">H19-H20</f>
        <v>33.1112277372484</v>
      </c>
      <c r="I21" s="61" t="n">
        <f aca="false">I19-I20</f>
        <v>32.5635604371086</v>
      </c>
      <c r="J21" s="61" t="n">
        <f aca="false">J19-J20</f>
        <v>32.983873033276</v>
      </c>
      <c r="K21" s="61" t="n">
        <f aca="false">K19-K20</f>
        <v>33.8873029461784</v>
      </c>
      <c r="L21" s="61" t="n">
        <f aca="false">L19-L20</f>
        <v>32.3575413855955</v>
      </c>
      <c r="M21" s="61" t="n">
        <f aca="false">M19-M20</f>
        <v>30.343046721525</v>
      </c>
      <c r="N21" s="61" t="n">
        <f aca="false">N19-N20</f>
        <v>29.3032703214004</v>
      </c>
      <c r="O21" s="62" t="n">
        <f aca="false">SUM(C21:N21)</f>
        <v>378.401964824475</v>
      </c>
      <c r="P21" s="61" t="n">
        <f aca="false">SUM(C21:E21)</f>
        <v>90.8985250754466</v>
      </c>
      <c r="Q21" s="61" t="n">
        <f aca="false">SUM(F21:H21)</f>
        <v>96.0648449039447</v>
      </c>
      <c r="R21" s="61" t="n">
        <f aca="false">SUM(I21:K21)</f>
        <v>99.434736416563</v>
      </c>
      <c r="S21" s="61" t="n">
        <f aca="false">SUM(L21:N21)</f>
        <v>92.0038584285208</v>
      </c>
      <c r="T21" s="64"/>
      <c r="U21" s="64"/>
      <c r="V21" s="8" t="s">
        <v>602</v>
      </c>
      <c r="W21" s="8" t="s">
        <v>693</v>
      </c>
    </row>
    <row r="22" customFormat="false" ht="15" hidden="false" customHeight="false" outlineLevel="0" collapsed="false">
      <c r="A22" s="8" t="s">
        <v>525</v>
      </c>
      <c r="B22" s="8" t="s">
        <v>226</v>
      </c>
      <c r="C22" s="35" t="n">
        <f aca="false">IFERROR(C21/C8,0)</f>
        <v>0.317544088347851</v>
      </c>
      <c r="D22" s="35" t="n">
        <f aca="false">IFERROR(D21/D8,0)</f>
        <v>0.324168082185966</v>
      </c>
      <c r="E22" s="35" t="n">
        <f aca="false">IFERROR(E21/E8,0)</f>
        <v>0.335813646319717</v>
      </c>
      <c r="F22" s="35" t="n">
        <f aca="false">IFERROR(F21/F8,0)</f>
        <v>0.330667130316359</v>
      </c>
      <c r="G22" s="35" t="n">
        <f aca="false">IFERROR(G21/G8,0)</f>
        <v>0.332120699757768</v>
      </c>
      <c r="H22" s="35" t="n">
        <f aca="false">IFERROR(H21/H8,0)</f>
        <v>0.336759428087513</v>
      </c>
      <c r="I22" s="35" t="n">
        <f aca="false">IFERROR(I21/I8,0)</f>
        <v>0.334436304329196</v>
      </c>
      <c r="J22" s="35" t="n">
        <f aca="false">IFERROR(J21/J8,0)</f>
        <v>0.335464160584468</v>
      </c>
      <c r="K22" s="35" t="n">
        <f aca="false">IFERROR(K21/K8,0)</f>
        <v>0.338087730230436</v>
      </c>
      <c r="L22" s="35" t="n">
        <f aca="false">IFERROR(L21/L8,0)</f>
        <v>0.332320434648959</v>
      </c>
      <c r="M22" s="35" t="n">
        <f aca="false">IFERROR(M21/M8,0)</f>
        <v>0.324350680758652</v>
      </c>
      <c r="N22" s="35" t="n">
        <f aca="false">IFERROR(N21/N8,0)</f>
        <v>0.319761786816874</v>
      </c>
      <c r="O22" s="57" t="n">
        <f aca="false">IFERROR(O21/O8,0)</f>
        <v>0.33033442910684</v>
      </c>
      <c r="P22" s="35" t="n">
        <f aca="false">IFERROR(P21/P8,0)</f>
        <v>0.326103671640965</v>
      </c>
      <c r="Q22" s="35" t="n">
        <f aca="false">IFERROR(Q21/Q8,0)</f>
        <v>0.333226281357981</v>
      </c>
      <c r="R22" s="35" t="n">
        <f aca="false">IFERROR(R21/R8,0)</f>
        <v>0.336014591148303</v>
      </c>
      <c r="S22" s="35" t="n">
        <f aca="false">IFERROR(S21/S8,0)</f>
        <v>0.325608724942438</v>
      </c>
      <c r="V22" s="8" t="s">
        <v>602</v>
      </c>
      <c r="W22" s="8" t="s">
        <v>694</v>
      </c>
    </row>
    <row r="24" customFormat="false" ht="15" hidden="false" customHeight="false" outlineLevel="0" collapsed="false">
      <c r="A24" s="16" t="s">
        <v>695</v>
      </c>
      <c r="B24" s="17"/>
      <c r="C24" s="17"/>
      <c r="D24" s="17"/>
      <c r="E24" s="17"/>
      <c r="F24" s="17"/>
      <c r="G24" s="17"/>
      <c r="H24" s="17"/>
      <c r="I24" s="17"/>
      <c r="J24" s="17"/>
      <c r="K24" s="17"/>
      <c r="L24" s="17"/>
      <c r="M24" s="17"/>
      <c r="N24" s="17"/>
      <c r="O24" s="17"/>
      <c r="P24" s="17"/>
      <c r="Q24" s="17"/>
      <c r="R24" s="17"/>
      <c r="S24" s="17"/>
      <c r="T24" s="17"/>
      <c r="U24" s="17"/>
      <c r="V24" s="17"/>
      <c r="W24" s="17"/>
    </row>
    <row r="25" customFormat="false" ht="15" hidden="false" customHeight="false" outlineLevel="0" collapsed="false">
      <c r="A25" s="8" t="s">
        <v>696</v>
      </c>
      <c r="B25" s="8" t="s">
        <v>259</v>
      </c>
      <c r="C25" s="30" t="n">
        <f aca="false">FCF!C$11</f>
        <v>5.075</v>
      </c>
      <c r="D25" s="30" t="n">
        <f aca="false">FCF!D$11</f>
        <v>5.14977646044124</v>
      </c>
      <c r="E25" s="30" t="n">
        <f aca="false">FCF!E$11</f>
        <v>5.2261439094025</v>
      </c>
      <c r="F25" s="30" t="n">
        <f aca="false">FCF!F$11</f>
        <v>5.30728432392385</v>
      </c>
      <c r="G25" s="30" t="n">
        <f aca="false">FCF!G$11</f>
        <v>5.38603825566515</v>
      </c>
      <c r="H25" s="30" t="n">
        <f aca="false">FCF!H$11</f>
        <v>5.46558768166647</v>
      </c>
      <c r="I25" s="30" t="n">
        <f aca="false">FCF!I$11</f>
        <v>5.54752359044782</v>
      </c>
      <c r="J25" s="30" t="n">
        <f aca="false">FCF!J$11</f>
        <v>5.62866400496917</v>
      </c>
      <c r="K25" s="30" t="n">
        <f aca="false">FCF!K$11</f>
        <v>5.71059991375052</v>
      </c>
      <c r="L25" s="30" t="n">
        <f aca="false">FCF!L$11</f>
        <v>5.79412681105191</v>
      </c>
      <c r="M25" s="30" t="n">
        <f aca="false">FCF!M$11</f>
        <v>5.87526722557325</v>
      </c>
      <c r="N25" s="30" t="n">
        <f aca="false">FCF!N$11</f>
        <v>5.95322566305454</v>
      </c>
      <c r="O25" s="42" t="n">
        <f aca="false">SUM(C25:N25)</f>
        <v>66.1192378399464</v>
      </c>
      <c r="P25" s="30" t="n">
        <f aca="false">SUM(C25:E25)</f>
        <v>15.4509203698437</v>
      </c>
      <c r="Q25" s="30" t="n">
        <f aca="false">SUM(F25:H25)</f>
        <v>16.1589102612555</v>
      </c>
      <c r="R25" s="30" t="n">
        <f aca="false">SUM(I25:K25)</f>
        <v>16.8867875091675</v>
      </c>
      <c r="S25" s="30" t="n">
        <f aca="false">SUM(L25:N25)</f>
        <v>17.6226196996797</v>
      </c>
      <c r="V25" s="8" t="s">
        <v>602</v>
      </c>
      <c r="W25" s="8" t="s">
        <v>697</v>
      </c>
    </row>
    <row r="26" customFormat="false" ht="15" hidden="false" customHeight="false" outlineLevel="0" collapsed="false">
      <c r="A26" s="8" t="s">
        <v>698</v>
      </c>
      <c r="B26" s="8" t="s">
        <v>259</v>
      </c>
      <c r="C26" s="30" t="n">
        <f aca="false">C17+C25</f>
        <v>37.8264799457822</v>
      </c>
      <c r="D26" s="30" t="n">
        <f aca="false">D17+D25</f>
        <v>39.2958309034864</v>
      </c>
      <c r="E26" s="30" t="n">
        <f aca="false">E17+E25</f>
        <v>42.8096728256862</v>
      </c>
      <c r="F26" s="30" t="n">
        <f aca="false">F17+F25</f>
        <v>41.226369303272</v>
      </c>
      <c r="G26" s="30" t="n">
        <f aca="false">G17+G25</f>
        <v>41.8274327782668</v>
      </c>
      <c r="H26" s="30" t="n">
        <f aca="false">H17+H25</f>
        <v>43.5244701382738</v>
      </c>
      <c r="I26" s="30" t="n">
        <f aca="false">I17+I25</f>
        <v>42.9769034032163</v>
      </c>
      <c r="J26" s="30" t="n">
        <f aca="false">J17+J25</f>
        <v>43.5411617443669</v>
      </c>
      <c r="K26" s="30" t="n">
        <f aca="false">K17+K25</f>
        <v>44.6615228403924</v>
      </c>
      <c r="L26" s="30" t="n">
        <f aca="false">L17+L25</f>
        <v>42.9867031163341</v>
      </c>
      <c r="M26" s="30" t="n">
        <f aca="false">M17+M25</f>
        <v>40.7523324227284</v>
      </c>
      <c r="N26" s="30" t="n">
        <f aca="false">N17+N25</f>
        <v>39.6351455727102</v>
      </c>
      <c r="O26" s="42" t="n">
        <f aca="false">SUM(C26:N26)</f>
        <v>501.064024994516</v>
      </c>
      <c r="P26" s="30" t="n">
        <f aca="false">SUM(C26:E26)</f>
        <v>119.931983674955</v>
      </c>
      <c r="Q26" s="30" t="n">
        <f aca="false">SUM(F26:H26)</f>
        <v>126.578272219813</v>
      </c>
      <c r="R26" s="30" t="n">
        <f aca="false">SUM(I26:K26)</f>
        <v>131.179587987976</v>
      </c>
      <c r="S26" s="30" t="n">
        <f aca="false">SUM(L26:N26)</f>
        <v>123.374181111773</v>
      </c>
      <c r="V26" s="8" t="s">
        <v>602</v>
      </c>
      <c r="W26" s="8" t="s">
        <v>699</v>
      </c>
    </row>
    <row r="27" customFormat="false" ht="15" hidden="false" customHeight="false" outlineLevel="0" collapsed="false">
      <c r="A27" s="8" t="s">
        <v>700</v>
      </c>
      <c r="B27" s="8" t="s">
        <v>226</v>
      </c>
      <c r="C27" s="35" t="n">
        <f aca="false">IFERROR(C26/C8,0)</f>
        <v>0.421550664948313</v>
      </c>
      <c r="D27" s="35" t="n">
        <f aca="false">IFERROR(D26/D8,0)</f>
        <v>0.428802142775716</v>
      </c>
      <c r="E27" s="35" t="n">
        <f aca="false">IFERROR(E26/E8,0)</f>
        <v>0.439666565239872</v>
      </c>
      <c r="F27" s="35" t="n">
        <f aca="false">IFERROR(F26/F8,0)</f>
        <v>0.436236096320616</v>
      </c>
      <c r="G27" s="35" t="n">
        <f aca="false">IFERROR(G26/G8,0)</f>
        <v>0.438170276443125</v>
      </c>
      <c r="H27" s="35" t="n">
        <f aca="false">IFERROR(H26/H8,0)</f>
        <v>0.442667840283327</v>
      </c>
      <c r="I27" s="35" t="n">
        <f aca="false">IFERROR(I26/I8,0)</f>
        <v>0.441384067121401</v>
      </c>
      <c r="J27" s="35" t="n">
        <f aca="false">IFERROR(J26/J8,0)</f>
        <v>0.442837603113216</v>
      </c>
      <c r="K27" s="35" t="n">
        <f aca="false">IFERROR(K26/K8,0)</f>
        <v>0.44558024903088</v>
      </c>
      <c r="L27" s="35" t="n">
        <f aca="false">IFERROR(L26/L8,0)</f>
        <v>0.441484712744747</v>
      </c>
      <c r="M27" s="35" t="n">
        <f aca="false">IFERROR(M26/M8,0)</f>
        <v>0.43562028840163</v>
      </c>
      <c r="N27" s="35" t="n">
        <f aca="false">IFERROR(N26/N8,0)</f>
        <v>0.432504796566032</v>
      </c>
      <c r="O27" s="57" t="n">
        <f aca="false">IFERROR(O26/O8,0)</f>
        <v>0.437415008453552</v>
      </c>
      <c r="P27" s="35" t="n">
        <f aca="false">IFERROR(P26/P8,0)</f>
        <v>0.430262869404373</v>
      </c>
      <c r="Q27" s="35" t="n">
        <f aca="false">IFERROR(Q26/Q8,0)</f>
        <v>0.439070161355086</v>
      </c>
      <c r="R27" s="35" t="n">
        <f aca="false">IFERROR(R26/R8,0)</f>
        <v>0.443288303597698</v>
      </c>
      <c r="S27" s="35" t="n">
        <f aca="false">IFERROR(S26/S8,0)</f>
        <v>0.436630707546159</v>
      </c>
      <c r="V27" s="8" t="s">
        <v>602</v>
      </c>
      <c r="W27" s="8" t="s">
        <v>701</v>
      </c>
    </row>
    <row r="28" customFormat="false" ht="15" hidden="false" customHeight="false" outlineLevel="0" collapsed="false">
      <c r="A28" s="8" t="s">
        <v>702</v>
      </c>
      <c r="B28" s="8" t="s">
        <v>259</v>
      </c>
      <c r="C28" s="30" t="n">
        <f aca="false">Ops_Model!C$103</f>
        <v>66.0944861776312</v>
      </c>
      <c r="D28" s="30" t="n">
        <f aca="false">Ops_Model!D$103</f>
        <v>67.500751840985</v>
      </c>
      <c r="E28" s="30" t="n">
        <f aca="false">Ops_Model!E$103</f>
        <v>71.7195488310466</v>
      </c>
      <c r="F28" s="30" t="n">
        <f aca="false">Ops_Model!F$103</f>
        <v>69.6101503360158</v>
      </c>
      <c r="G28" s="30" t="n">
        <f aca="false">Ops_Model!G$103</f>
        <v>70.3132831676927</v>
      </c>
      <c r="H28" s="30" t="n">
        <f aca="false">Ops_Model!H$103</f>
        <v>72.4226816627235</v>
      </c>
      <c r="I28" s="30" t="n">
        <f aca="false">Ops_Model!I$103</f>
        <v>71.7195488310466</v>
      </c>
      <c r="J28" s="30" t="n">
        <f aca="false">Ops_Model!J$103</f>
        <v>72.4226816627235</v>
      </c>
      <c r="K28" s="30" t="n">
        <f aca="false">Ops_Model!K$103</f>
        <v>73.8289473260774</v>
      </c>
      <c r="L28" s="30" t="n">
        <f aca="false">Ops_Model!L$103</f>
        <v>71.7195488310466</v>
      </c>
      <c r="M28" s="30" t="n">
        <f aca="false">Ops_Model!M$103</f>
        <v>68.9070175043389</v>
      </c>
      <c r="N28" s="30" t="n">
        <f aca="false">Ops_Model!N$103</f>
        <v>67.500751840985</v>
      </c>
      <c r="O28" s="42" t="n">
        <f aca="false">SUM(C28:N28)</f>
        <v>843.759398012313</v>
      </c>
      <c r="P28" s="30" t="n">
        <f aca="false">SUM(C28:E28)</f>
        <v>205.314786849663</v>
      </c>
      <c r="Q28" s="30" t="n">
        <f aca="false">SUM(F28:H28)</f>
        <v>212.346115166432</v>
      </c>
      <c r="R28" s="30" t="n">
        <f aca="false">SUM(I28:K28)</f>
        <v>217.971177819847</v>
      </c>
      <c r="S28" s="30" t="n">
        <f aca="false">SUM(L28:N28)</f>
        <v>208.12731817637</v>
      </c>
      <c r="V28" s="8" t="s">
        <v>602</v>
      </c>
      <c r="W28" s="8" t="s">
        <v>703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ED7D31"/>
    <pageSetUpPr fitToPage="true"/>
  </sheetPr>
  <dimension ref="A1:W2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6" topLeftCell="C7" activePane="bottomRight" state="frozen"/>
      <selection pane="topLeft" activeCell="A1" activeCellId="0" sqref="A1"/>
      <selection pane="topRight" activeCell="C1" activeCellId="0" sqref="C1"/>
      <selection pane="bottomLeft" activeCell="A7" activeCellId="0" sqref="A7"/>
      <selection pane="bottomRight" activeCell="A1" activeCellId="0" sqref="A1"/>
    </sheetView>
  </sheetViews>
  <sheetFormatPr defaultColWidth="8.54296875" defaultRowHeight="15" customHeight="false" zeroHeight="false" outlineLevelRow="0" outlineLevelCol="0"/>
  <cols>
    <col collapsed="false" customWidth="true" hidden="false" outlineLevel="0" max="1" min="1" style="0" width="46"/>
    <col collapsed="false" customWidth="true" hidden="false" outlineLevel="0" max="2" min="2" style="0" width="10"/>
    <col collapsed="false" customWidth="true" hidden="false" outlineLevel="0" max="14" min="3" style="0" width="9.51"/>
    <col collapsed="false" customWidth="true" hidden="false" outlineLevel="0" max="15" min="15" style="0" width="11"/>
    <col collapsed="false" customWidth="true" hidden="false" outlineLevel="0" max="19" min="16" style="0" width="10"/>
    <col collapsed="false" customWidth="true" hidden="false" outlineLevel="0" max="20" min="20" style="0" width="11"/>
    <col collapsed="false" customWidth="true" hidden="false" outlineLevel="0" max="21" min="21" style="0" width="9"/>
    <col collapsed="false" customWidth="true" hidden="false" outlineLevel="0" max="22" min="22" style="0" width="24"/>
    <col collapsed="false" customWidth="true" hidden="false" outlineLevel="0" max="23" min="23" style="0" width="64"/>
  </cols>
  <sheetData>
    <row r="1" customFormat="false" ht="19.7" hidden="false" customHeight="false" outlineLevel="0" collapsed="false">
      <c r="A1" s="14" t="s">
        <v>704</v>
      </c>
    </row>
    <row r="2" customFormat="false" ht="15" hidden="false" customHeight="false" outlineLevel="0" collapsed="false">
      <c r="A2" s="4" t="s">
        <v>705</v>
      </c>
    </row>
    <row r="3" customFormat="false" ht="15" hidden="false" customHeight="false" outlineLevel="0" collapsed="false">
      <c r="A3" s="15" t="s">
        <v>2</v>
      </c>
    </row>
    <row r="4" customFormat="false" ht="15" hidden="false" customHeight="false" outlineLevel="0" collapsed="false">
      <c r="A4" s="7" t="s">
        <v>597</v>
      </c>
      <c r="B4" s="52" t="str">
        <f aca="false">Assumptions!$C$6</f>
        <v>Base</v>
      </c>
    </row>
    <row r="6" customFormat="false" ht="24.05" hidden="false" customHeight="false" outlineLevel="0" collapsed="false">
      <c r="A6" s="18" t="s">
        <v>372</v>
      </c>
      <c r="B6" s="19" t="s">
        <v>220</v>
      </c>
      <c r="C6" s="53" t="n">
        <f aca="false">Ops_Model!C$6</f>
        <v>46023</v>
      </c>
      <c r="D6" s="53" t="n">
        <f aca="false">Ops_Model!D$6</f>
        <v>46054</v>
      </c>
      <c r="E6" s="53" t="n">
        <f aca="false">Ops_Model!E$6</f>
        <v>46082</v>
      </c>
      <c r="F6" s="53" t="n">
        <f aca="false">Ops_Model!F$6</f>
        <v>46113</v>
      </c>
      <c r="G6" s="53" t="n">
        <f aca="false">Ops_Model!G$6</f>
        <v>46143</v>
      </c>
      <c r="H6" s="53" t="n">
        <f aca="false">Ops_Model!H$6</f>
        <v>46174</v>
      </c>
      <c r="I6" s="53" t="n">
        <f aca="false">Ops_Model!I$6</f>
        <v>46204</v>
      </c>
      <c r="J6" s="53" t="n">
        <f aca="false">Ops_Model!J$6</f>
        <v>46235</v>
      </c>
      <c r="K6" s="53" t="n">
        <f aca="false">Ops_Model!K$6</f>
        <v>46266</v>
      </c>
      <c r="L6" s="53" t="n">
        <f aca="false">Ops_Model!L$6</f>
        <v>46296</v>
      </c>
      <c r="M6" s="53" t="n">
        <f aca="false">Ops_Model!M$6</f>
        <v>46327</v>
      </c>
      <c r="N6" s="53" t="n">
        <f aca="false">Ops_Model!N$6</f>
        <v>46357</v>
      </c>
      <c r="O6" s="19" t="s">
        <v>598</v>
      </c>
      <c r="P6" s="19" t="s">
        <v>654</v>
      </c>
      <c r="Q6" s="19" t="s">
        <v>655</v>
      </c>
      <c r="R6" s="19" t="s">
        <v>656</v>
      </c>
      <c r="S6" s="19" t="s">
        <v>657</v>
      </c>
      <c r="T6" s="19" t="s">
        <v>658</v>
      </c>
      <c r="U6" s="19" t="s">
        <v>659</v>
      </c>
      <c r="V6" s="19" t="s">
        <v>99</v>
      </c>
      <c r="W6" s="19" t="s">
        <v>599</v>
      </c>
    </row>
    <row r="7" customFormat="false" ht="15" hidden="false" customHeight="false" outlineLevel="0" collapsed="false">
      <c r="A7" s="16" t="s">
        <v>706</v>
      </c>
      <c r="B7" s="17"/>
      <c r="C7" s="17"/>
      <c r="D7" s="17"/>
      <c r="E7" s="17"/>
      <c r="F7" s="17"/>
      <c r="G7" s="17"/>
      <c r="H7" s="17"/>
      <c r="I7" s="17"/>
      <c r="J7" s="17"/>
      <c r="K7" s="17"/>
      <c r="L7" s="17"/>
      <c r="M7" s="17"/>
      <c r="N7" s="17"/>
      <c r="O7" s="17"/>
      <c r="P7" s="17"/>
      <c r="Q7" s="17"/>
      <c r="R7" s="17"/>
      <c r="S7" s="17"/>
      <c r="T7" s="17"/>
      <c r="U7" s="17"/>
      <c r="V7" s="17"/>
      <c r="W7" s="17"/>
    </row>
    <row r="8" customFormat="false" ht="15" hidden="false" customHeight="false" outlineLevel="0" collapsed="false">
      <c r="A8" s="8" t="s">
        <v>447</v>
      </c>
      <c r="B8" s="8" t="s">
        <v>259</v>
      </c>
      <c r="C8" s="30" t="n">
        <f aca="false">Revenue!C$23*Assumptions!$F$17</f>
        <v>4.48658762647429</v>
      </c>
      <c r="D8" s="30" t="n">
        <f aca="false">Revenue!D$23*Assumptions!$F$17</f>
        <v>4.58204693767587</v>
      </c>
      <c r="E8" s="30" t="n">
        <f aca="false">Revenue!E$23*Assumptions!$F$17</f>
        <v>4.86842487128061</v>
      </c>
      <c r="F8" s="30" t="n">
        <f aca="false">Revenue!F$23*Assumptions!$F$17</f>
        <v>4.72523590447824</v>
      </c>
      <c r="G8" s="30" t="n">
        <f aca="false">Revenue!G$23*Assumptions!$F$17</f>
        <v>4.77296556007903</v>
      </c>
      <c r="H8" s="30" t="n">
        <f aca="false">Revenue!H$23*Assumptions!$F$17</f>
        <v>4.9161545268814</v>
      </c>
      <c r="I8" s="30" t="n">
        <f aca="false">Revenue!I$23*Assumptions!$F$17</f>
        <v>4.86842487128061</v>
      </c>
      <c r="J8" s="30" t="n">
        <f aca="false">Revenue!J$23*Assumptions!$F$17</f>
        <v>4.9161545268814</v>
      </c>
      <c r="K8" s="30" t="n">
        <f aca="false">Revenue!K$23*Assumptions!$F$17</f>
        <v>5.01161383808298</v>
      </c>
      <c r="L8" s="30" t="n">
        <f aca="false">Revenue!L$23*Assumptions!$F$17</f>
        <v>4.86842487128061</v>
      </c>
      <c r="M8" s="30" t="n">
        <f aca="false">Revenue!M$23*Assumptions!$F$17</f>
        <v>4.67750624887745</v>
      </c>
      <c r="N8" s="30" t="n">
        <f aca="false">Revenue!N$23*Assumptions!$F$17</f>
        <v>4.58204693767587</v>
      </c>
      <c r="O8" s="42" t="n">
        <f aca="false">SUM(C8:N8)</f>
        <v>57.2755867209483</v>
      </c>
      <c r="P8" s="30" t="n">
        <f aca="false">SUM(C8:E8)</f>
        <v>13.9370594354308</v>
      </c>
      <c r="Q8" s="30" t="n">
        <f aca="false">SUM(F8:H8)</f>
        <v>14.4143559914387</v>
      </c>
      <c r="R8" s="30" t="n">
        <f aca="false">SUM(I8:K8)</f>
        <v>14.796193236245</v>
      </c>
      <c r="S8" s="30" t="n">
        <f aca="false">SUM(L8:N8)</f>
        <v>14.1279780578339</v>
      </c>
      <c r="V8" s="8" t="s">
        <v>602</v>
      </c>
      <c r="W8" s="8" t="s">
        <v>707</v>
      </c>
    </row>
    <row r="9" customFormat="false" ht="15" hidden="false" customHeight="false" outlineLevel="0" collapsed="false">
      <c r="A9" s="8" t="s">
        <v>708</v>
      </c>
      <c r="B9" s="8" t="s">
        <v>259</v>
      </c>
      <c r="C9" s="30" t="n">
        <f aca="false">0</f>
        <v>0</v>
      </c>
      <c r="D9" s="30" t="n">
        <f aca="false">SUM($C$8:C8)/Assumptions!$F$86</f>
        <v>0.0747764604412381</v>
      </c>
      <c r="E9" s="30" t="n">
        <f aca="false">SUM($C$8:D8)/Assumptions!$F$86</f>
        <v>0.151143909402503</v>
      </c>
      <c r="F9" s="30" t="n">
        <f aca="false">SUM($C$8:E8)/Assumptions!$F$86</f>
        <v>0.232284323923846</v>
      </c>
      <c r="G9" s="30" t="n">
        <f aca="false">SUM($C$8:F8)/Assumptions!$F$86</f>
        <v>0.31103825566515</v>
      </c>
      <c r="H9" s="30" t="n">
        <f aca="false">SUM($C$8:G8)/Assumptions!$F$86</f>
        <v>0.390587681666467</v>
      </c>
      <c r="I9" s="30" t="n">
        <f aca="false">SUM($C$8:H8)/Assumptions!$F$86</f>
        <v>0.472523590447824</v>
      </c>
      <c r="J9" s="30" t="n">
        <f aca="false">SUM($C$8:I8)/Assumptions!$F$86</f>
        <v>0.553664004969167</v>
      </c>
      <c r="K9" s="30" t="n">
        <f aca="false">SUM($C$8:J8)/Assumptions!$F$86</f>
        <v>0.635599913750524</v>
      </c>
      <c r="L9" s="30" t="n">
        <f aca="false">SUM($C$8:K8)/Assumptions!$F$86</f>
        <v>0.719126811051907</v>
      </c>
      <c r="M9" s="30" t="n">
        <f aca="false">SUM($C$8:L8)/Assumptions!$F$86</f>
        <v>0.800267225573251</v>
      </c>
      <c r="N9" s="30" t="n">
        <f aca="false">SUM($C$8:M8)/Assumptions!$F$86</f>
        <v>0.878225663054541</v>
      </c>
      <c r="O9" s="42" t="n">
        <f aca="false">SUM(C9:N9)</f>
        <v>5.21923783994642</v>
      </c>
      <c r="P9" s="30" t="n">
        <f aca="false">SUM(C9:E9)</f>
        <v>0.225920369843741</v>
      </c>
      <c r="Q9" s="30" t="n">
        <f aca="false">SUM(F9:H9)</f>
        <v>0.933910261255463</v>
      </c>
      <c r="R9" s="30" t="n">
        <f aca="false">SUM(I9:K9)</f>
        <v>1.66178750916752</v>
      </c>
      <c r="S9" s="30" t="n">
        <f aca="false">SUM(L9:N9)</f>
        <v>2.3976196996797</v>
      </c>
      <c r="V9" s="8" t="s">
        <v>602</v>
      </c>
      <c r="W9" s="8" t="s">
        <v>709</v>
      </c>
    </row>
    <row r="10" customFormat="false" ht="15" hidden="false" customHeight="false" outlineLevel="0" collapsed="false">
      <c r="A10" s="8" t="s">
        <v>710</v>
      </c>
      <c r="B10" s="8" t="s">
        <v>259</v>
      </c>
      <c r="C10" s="30" t="n">
        <f aca="false">Ops_Model!C$100*Assumptions!$F$85</f>
        <v>5.075</v>
      </c>
      <c r="D10" s="30" t="n">
        <f aca="false">Ops_Model!D$100*Assumptions!$F$85</f>
        <v>5.075</v>
      </c>
      <c r="E10" s="30" t="n">
        <f aca="false">Ops_Model!E$100*Assumptions!$F$85</f>
        <v>5.075</v>
      </c>
      <c r="F10" s="30" t="n">
        <f aca="false">Ops_Model!F$100*Assumptions!$F$85</f>
        <v>5.075</v>
      </c>
      <c r="G10" s="30" t="n">
        <f aca="false">Ops_Model!G$100*Assumptions!$F$85</f>
        <v>5.075</v>
      </c>
      <c r="H10" s="30" t="n">
        <f aca="false">Ops_Model!H$100*Assumptions!$F$85</f>
        <v>5.075</v>
      </c>
      <c r="I10" s="30" t="n">
        <f aca="false">Ops_Model!I$100*Assumptions!$F$85</f>
        <v>5.075</v>
      </c>
      <c r="J10" s="30" t="n">
        <f aca="false">Ops_Model!J$100*Assumptions!$F$85</f>
        <v>5.075</v>
      </c>
      <c r="K10" s="30" t="n">
        <f aca="false">Ops_Model!K$100*Assumptions!$F$85</f>
        <v>5.075</v>
      </c>
      <c r="L10" s="30" t="n">
        <f aca="false">Ops_Model!L$100*Assumptions!$F$85</f>
        <v>5.075</v>
      </c>
      <c r="M10" s="30" t="n">
        <f aca="false">Ops_Model!M$100*Assumptions!$F$85</f>
        <v>5.075</v>
      </c>
      <c r="N10" s="30" t="n">
        <f aca="false">Ops_Model!N$100*Assumptions!$F$85</f>
        <v>5.075</v>
      </c>
      <c r="O10" s="42" t="n">
        <f aca="false">SUM(C10:N10)</f>
        <v>60.9</v>
      </c>
      <c r="P10" s="30" t="n">
        <f aca="false">SUM(C10:E10)</f>
        <v>15.225</v>
      </c>
      <c r="Q10" s="30" t="n">
        <f aca="false">SUM(F10:H10)</f>
        <v>15.225</v>
      </c>
      <c r="R10" s="30" t="n">
        <f aca="false">SUM(I10:K10)</f>
        <v>15.225</v>
      </c>
      <c r="S10" s="30" t="n">
        <f aca="false">SUM(L10:N10)</f>
        <v>15.225</v>
      </c>
      <c r="V10" s="8" t="s">
        <v>602</v>
      </c>
      <c r="W10" s="8" t="s">
        <v>711</v>
      </c>
    </row>
    <row r="11" customFormat="false" ht="15" hidden="false" customHeight="false" outlineLevel="0" collapsed="false">
      <c r="A11" s="44" t="s">
        <v>712</v>
      </c>
      <c r="B11" s="45" t="s">
        <v>259</v>
      </c>
      <c r="C11" s="61" t="n">
        <f aca="false">C9+C10</f>
        <v>5.075</v>
      </c>
      <c r="D11" s="61" t="n">
        <f aca="false">D9+D10</f>
        <v>5.14977646044124</v>
      </c>
      <c r="E11" s="61" t="n">
        <f aca="false">E9+E10</f>
        <v>5.2261439094025</v>
      </c>
      <c r="F11" s="61" t="n">
        <f aca="false">F9+F10</f>
        <v>5.30728432392385</v>
      </c>
      <c r="G11" s="61" t="n">
        <f aca="false">G9+G10</f>
        <v>5.38603825566515</v>
      </c>
      <c r="H11" s="61" t="n">
        <f aca="false">H9+H10</f>
        <v>5.46558768166647</v>
      </c>
      <c r="I11" s="61" t="n">
        <f aca="false">I9+I10</f>
        <v>5.54752359044782</v>
      </c>
      <c r="J11" s="61" t="n">
        <f aca="false">J9+J10</f>
        <v>5.62866400496917</v>
      </c>
      <c r="K11" s="61" t="n">
        <f aca="false">K9+K10</f>
        <v>5.71059991375052</v>
      </c>
      <c r="L11" s="61" t="n">
        <f aca="false">L9+L10</f>
        <v>5.79412681105191</v>
      </c>
      <c r="M11" s="61" t="n">
        <f aca="false">M9+M10</f>
        <v>5.87526722557325</v>
      </c>
      <c r="N11" s="61" t="n">
        <f aca="false">N9+N10</f>
        <v>5.95322566305454</v>
      </c>
      <c r="O11" s="62" t="n">
        <f aca="false">SUM(C11:N11)</f>
        <v>66.1192378399464</v>
      </c>
      <c r="P11" s="61" t="n">
        <f aca="false">SUM(C11:E11)</f>
        <v>15.4509203698437</v>
      </c>
      <c r="Q11" s="61" t="n">
        <f aca="false">SUM(F11:H11)</f>
        <v>16.1589102612555</v>
      </c>
      <c r="R11" s="61" t="n">
        <f aca="false">SUM(I11:K11)</f>
        <v>16.8867875091675</v>
      </c>
      <c r="S11" s="61" t="n">
        <f aca="false">SUM(L11:N11)</f>
        <v>17.6226196996797</v>
      </c>
      <c r="T11" s="64"/>
      <c r="U11" s="64"/>
      <c r="V11" s="8" t="s">
        <v>602</v>
      </c>
      <c r="W11" s="8" t="s">
        <v>713</v>
      </c>
    </row>
    <row r="13" customFormat="false" ht="15" hidden="false" customHeight="false" outlineLevel="0" collapsed="false">
      <c r="A13" s="16" t="s">
        <v>714</v>
      </c>
      <c r="B13" s="17"/>
      <c r="C13" s="17"/>
      <c r="D13" s="17"/>
      <c r="E13" s="17"/>
      <c r="F13" s="17"/>
      <c r="G13" s="17"/>
      <c r="H13" s="17"/>
      <c r="I13" s="17"/>
      <c r="J13" s="17"/>
      <c r="K13" s="17"/>
      <c r="L13" s="17"/>
      <c r="M13" s="17"/>
      <c r="N13" s="17"/>
      <c r="O13" s="17"/>
      <c r="P13" s="17"/>
      <c r="Q13" s="17"/>
      <c r="R13" s="17"/>
      <c r="S13" s="17"/>
      <c r="T13" s="17"/>
      <c r="U13" s="17"/>
      <c r="V13" s="17"/>
      <c r="W13" s="17"/>
    </row>
    <row r="14" customFormat="false" ht="15" hidden="false" customHeight="false" outlineLevel="0" collapsed="false">
      <c r="A14" s="8" t="s">
        <v>433</v>
      </c>
      <c r="B14" s="8" t="s">
        <v>259</v>
      </c>
      <c r="C14" s="30" t="n">
        <f aca="false">Revenue!C$23*12*Assumptions!$F$83/365</f>
        <v>118.003400586721</v>
      </c>
      <c r="D14" s="30" t="n">
        <f aca="false">Revenue!D$23*12*Assumptions!$F$83/365</f>
        <v>120.514111237502</v>
      </c>
      <c r="E14" s="30" t="n">
        <f aca="false">Revenue!E$23*12*Assumptions!$F$83/365</f>
        <v>128.046243189846</v>
      </c>
      <c r="F14" s="30" t="n">
        <f aca="false">Revenue!F$23*12*Assumptions!$F$83/365</f>
        <v>124.280177213674</v>
      </c>
      <c r="G14" s="30" t="n">
        <f aca="false">Revenue!G$23*12*Assumptions!$F$83/365</f>
        <v>125.535532539065</v>
      </c>
      <c r="H14" s="30" t="n">
        <f aca="false">Revenue!H$23*12*Assumptions!$F$83/365</f>
        <v>129.301598515237</v>
      </c>
      <c r="I14" s="30" t="n">
        <f aca="false">Revenue!I$23*12*Assumptions!$F$83/365</f>
        <v>128.046243189846</v>
      </c>
      <c r="J14" s="30" t="n">
        <f aca="false">Revenue!J$23*12*Assumptions!$F$83/365</f>
        <v>129.301598515237</v>
      </c>
      <c r="K14" s="30" t="n">
        <f aca="false">Revenue!K$23*12*Assumptions!$F$83/365</f>
        <v>131.812309166018</v>
      </c>
      <c r="L14" s="30" t="n">
        <f aca="false">Revenue!L$23*12*Assumptions!$F$83/365</f>
        <v>128.046243189846</v>
      </c>
      <c r="M14" s="30" t="n">
        <f aca="false">Revenue!M$23*12*Assumptions!$F$83/365</f>
        <v>123.024821888284</v>
      </c>
      <c r="N14" s="30" t="n">
        <f aca="false">Revenue!N$23*12*Assumptions!$F$83/365</f>
        <v>120.514111237502</v>
      </c>
      <c r="O14" s="42" t="n">
        <f aca="false">N14</f>
        <v>120.514111237502</v>
      </c>
      <c r="P14" s="30" t="n">
        <f aca="false">E14</f>
        <v>128.046243189846</v>
      </c>
      <c r="Q14" s="30" t="n">
        <f aca="false">H14</f>
        <v>129.301598515237</v>
      </c>
      <c r="R14" s="30" t="n">
        <f aca="false">K14</f>
        <v>131.812309166018</v>
      </c>
      <c r="S14" s="30" t="n">
        <f aca="false">N14</f>
        <v>120.514111237502</v>
      </c>
      <c r="V14" s="8" t="s">
        <v>602</v>
      </c>
      <c r="W14" s="8" t="s">
        <v>715</v>
      </c>
    </row>
    <row r="15" customFormat="false" ht="15" hidden="false" customHeight="false" outlineLevel="0" collapsed="false">
      <c r="A15" s="8" t="s">
        <v>716</v>
      </c>
      <c r="B15" s="8" t="s">
        <v>259</v>
      </c>
      <c r="C15" s="30" t="n">
        <f aca="false">Ops_Model!C$107</f>
        <v>37.6248669327839</v>
      </c>
      <c r="D15" s="30" t="n">
        <f aca="false">Ops_Model!D$107</f>
        <v>39.1514304160863</v>
      </c>
      <c r="E15" s="30" t="n">
        <f aca="false">Ops_Model!E$107</f>
        <v>38.4642771494936</v>
      </c>
      <c r="F15" s="30" t="n">
        <f aca="false">Ops_Model!F$107</f>
        <v>39.0575996965342</v>
      </c>
      <c r="G15" s="30" t="n">
        <f aca="false">Ops_Model!G$107</f>
        <v>39.2973926065539</v>
      </c>
      <c r="H15" s="30" t="n">
        <f aca="false">Ops_Model!H$107</f>
        <v>38.370443540533</v>
      </c>
      <c r="I15" s="30" t="n">
        <f aca="false">Ops_Model!I$107</f>
        <v>37.8505208514705</v>
      </c>
      <c r="J15" s="30" t="n">
        <f aca="false">Ops_Model!J$107</f>
        <v>36.9402633915427</v>
      </c>
      <c r="K15" s="30" t="n">
        <f aca="false">Ops_Model!K$107</f>
        <v>35.2411808036089</v>
      </c>
      <c r="L15" s="30" t="n">
        <f aca="false">Ops_Model!L$107</f>
        <v>34.7310578276641</v>
      </c>
      <c r="M15" s="30" t="n">
        <f aca="false">Ops_Model!M$107</f>
        <v>35.8049366061769</v>
      </c>
      <c r="N15" s="30" t="n">
        <f aca="false">Ops_Model!N$107</f>
        <v>37.670814758703</v>
      </c>
      <c r="O15" s="42" t="n">
        <f aca="false">N15</f>
        <v>37.670814758703</v>
      </c>
      <c r="P15" s="30" t="n">
        <f aca="false">E15</f>
        <v>38.4642771494936</v>
      </c>
      <c r="Q15" s="30" t="n">
        <f aca="false">H15</f>
        <v>38.370443540533</v>
      </c>
      <c r="R15" s="30" t="n">
        <f aca="false">K15</f>
        <v>35.2411808036089</v>
      </c>
      <c r="S15" s="30" t="n">
        <f aca="false">N15</f>
        <v>37.670814758703</v>
      </c>
      <c r="V15" s="8" t="s">
        <v>602</v>
      </c>
      <c r="W15" s="8" t="s">
        <v>717</v>
      </c>
    </row>
    <row r="16" customFormat="false" ht="15" hidden="false" customHeight="false" outlineLevel="0" collapsed="false">
      <c r="A16" s="8" t="s">
        <v>476</v>
      </c>
      <c r="B16" s="8" t="s">
        <v>259</v>
      </c>
      <c r="C16" s="30" t="n">
        <f aca="false">Ops_Model!C$99*12*Assumptions!$F$84/365</f>
        <v>30.0190740164384</v>
      </c>
      <c r="D16" s="30" t="n">
        <f aca="false">Ops_Model!D$99*12*Assumptions!$F$84/365</f>
        <v>30.0190740164384</v>
      </c>
      <c r="E16" s="30" t="n">
        <f aca="false">Ops_Model!E$99*12*Assumptions!$F$84/365</f>
        <v>30.0190740164384</v>
      </c>
      <c r="F16" s="30" t="n">
        <f aca="false">Ops_Model!F$99*12*Assumptions!$F$84/365</f>
        <v>30.0190740164384</v>
      </c>
      <c r="G16" s="30" t="n">
        <f aca="false">Ops_Model!G$99*12*Assumptions!$F$84/365</f>
        <v>30.0190740164384</v>
      </c>
      <c r="H16" s="30" t="n">
        <f aca="false">Ops_Model!H$99*12*Assumptions!$F$84/365</f>
        <v>30.0190740164384</v>
      </c>
      <c r="I16" s="30" t="n">
        <f aca="false">Ops_Model!I$99*12*Assumptions!$F$84/365</f>
        <v>30.0190740164384</v>
      </c>
      <c r="J16" s="30" t="n">
        <f aca="false">Ops_Model!J$99*12*Assumptions!$F$84/365</f>
        <v>30.0190740164384</v>
      </c>
      <c r="K16" s="30" t="n">
        <f aca="false">Ops_Model!K$99*12*Assumptions!$F$84/365</f>
        <v>30.0190740164384</v>
      </c>
      <c r="L16" s="30" t="n">
        <f aca="false">Ops_Model!L$99*12*Assumptions!$F$84/365</f>
        <v>30.0190740164384</v>
      </c>
      <c r="M16" s="30" t="n">
        <f aca="false">Ops_Model!M$99*12*Assumptions!$F$84/365</f>
        <v>30.0190740164384</v>
      </c>
      <c r="N16" s="30" t="n">
        <f aca="false">Ops_Model!N$99*12*Assumptions!$F$84/365</f>
        <v>30.0190740164384</v>
      </c>
      <c r="O16" s="42" t="n">
        <f aca="false">N16</f>
        <v>30.0190740164384</v>
      </c>
      <c r="P16" s="30" t="n">
        <f aca="false">E16</f>
        <v>30.0190740164384</v>
      </c>
      <c r="Q16" s="30" t="n">
        <f aca="false">H16</f>
        <v>30.0190740164384</v>
      </c>
      <c r="R16" s="30" t="n">
        <f aca="false">K16</f>
        <v>30.0190740164384</v>
      </c>
      <c r="S16" s="30" t="n">
        <f aca="false">N16</f>
        <v>30.0190740164384</v>
      </c>
      <c r="V16" s="8" t="s">
        <v>602</v>
      </c>
      <c r="W16" s="8" t="s">
        <v>718</v>
      </c>
    </row>
    <row r="17" customFormat="false" ht="15" hidden="false" customHeight="false" outlineLevel="0" collapsed="false">
      <c r="A17" s="44" t="s">
        <v>581</v>
      </c>
      <c r="B17" s="45" t="s">
        <v>259</v>
      </c>
      <c r="C17" s="61" t="n">
        <f aca="false">C14+C15-C16</f>
        <v>125.609193503066</v>
      </c>
      <c r="D17" s="61" t="n">
        <f aca="false">D14+D15-D16</f>
        <v>129.64646763715</v>
      </c>
      <c r="E17" s="61" t="n">
        <f aca="false">E14+E15-E16</f>
        <v>136.491446322901</v>
      </c>
      <c r="F17" s="61" t="n">
        <f aca="false">F14+F15-F16</f>
        <v>133.31870289377</v>
      </c>
      <c r="G17" s="61" t="n">
        <f aca="false">G14+G15-G16</f>
        <v>134.81385112918</v>
      </c>
      <c r="H17" s="61" t="n">
        <f aca="false">H14+H15-H16</f>
        <v>137.652968039331</v>
      </c>
      <c r="I17" s="61" t="n">
        <f aca="false">I14+I15-I16</f>
        <v>135.877690024878</v>
      </c>
      <c r="J17" s="61" t="n">
        <f aca="false">J14+J15-J16</f>
        <v>136.222787890341</v>
      </c>
      <c r="K17" s="61" t="n">
        <f aca="false">K14+K15-K16</f>
        <v>137.034415953189</v>
      </c>
      <c r="L17" s="61" t="n">
        <f aca="false">L14+L15-L16</f>
        <v>132.758227001072</v>
      </c>
      <c r="M17" s="61" t="n">
        <f aca="false">M14+M15-M16</f>
        <v>128.810684478022</v>
      </c>
      <c r="N17" s="61" t="n">
        <f aca="false">N14+N15-N16</f>
        <v>128.165851979767</v>
      </c>
      <c r="O17" s="62" t="n">
        <f aca="false">N17</f>
        <v>128.165851979767</v>
      </c>
      <c r="P17" s="61" t="n">
        <f aca="false">E17</f>
        <v>136.491446322901</v>
      </c>
      <c r="Q17" s="61" t="n">
        <f aca="false">H17</f>
        <v>137.652968039331</v>
      </c>
      <c r="R17" s="61" t="n">
        <f aca="false">K17</f>
        <v>137.034415953189</v>
      </c>
      <c r="S17" s="61" t="n">
        <f aca="false">N17</f>
        <v>128.165851979767</v>
      </c>
      <c r="T17" s="64"/>
      <c r="U17" s="64"/>
      <c r="V17" s="8" t="s">
        <v>602</v>
      </c>
      <c r="W17" s="8" t="s">
        <v>362</v>
      </c>
    </row>
    <row r="18" customFormat="false" ht="15" hidden="false" customHeight="false" outlineLevel="0" collapsed="false">
      <c r="A18" s="8" t="s">
        <v>552</v>
      </c>
      <c r="B18" s="8" t="s">
        <v>259</v>
      </c>
      <c r="C18" s="30" t="n">
        <f aca="false">C17-Assumptions!$F$93</f>
        <v>5.40403560791944</v>
      </c>
      <c r="D18" s="30" t="n">
        <f aca="false">D17-C17</f>
        <v>4.0372741340837</v>
      </c>
      <c r="E18" s="30" t="n">
        <f aca="false">E17-D17</f>
        <v>6.84497868575122</v>
      </c>
      <c r="F18" s="30" t="n">
        <f aca="false">F17-E17</f>
        <v>-3.17274342913132</v>
      </c>
      <c r="G18" s="30" t="n">
        <f aca="false">G17-F17</f>
        <v>1.49514823541023</v>
      </c>
      <c r="H18" s="30" t="n">
        <f aca="false">H17-G17</f>
        <v>2.83911691015109</v>
      </c>
      <c r="I18" s="30" t="n">
        <f aca="false">I17-H17</f>
        <v>-1.77527801445316</v>
      </c>
      <c r="J18" s="30" t="n">
        <f aca="false">J17-I17</f>
        <v>0.345097865462918</v>
      </c>
      <c r="K18" s="30" t="n">
        <f aca="false">K17-J17</f>
        <v>0.811628062847404</v>
      </c>
      <c r="L18" s="30" t="n">
        <f aca="false">L17-K17</f>
        <v>-4.27618895211671</v>
      </c>
      <c r="M18" s="30" t="n">
        <f aca="false">M17-L17</f>
        <v>-3.9475425230498</v>
      </c>
      <c r="N18" s="30" t="n">
        <f aca="false">N17-M17</f>
        <v>-0.644832498255141</v>
      </c>
      <c r="O18" s="42" t="n">
        <f aca="false">SUM(C18:N18)</f>
        <v>7.96069408461986</v>
      </c>
      <c r="P18" s="30" t="n">
        <f aca="false">SUM(C18:E18)</f>
        <v>16.2862884277544</v>
      </c>
      <c r="Q18" s="30" t="n">
        <f aca="false">SUM(F18:H18)</f>
        <v>1.16152171643</v>
      </c>
      <c r="R18" s="30" t="n">
        <f aca="false">SUM(I18:K18)</f>
        <v>-0.618552086142842</v>
      </c>
      <c r="S18" s="30" t="n">
        <f aca="false">SUM(L18:N18)</f>
        <v>-8.86856397342166</v>
      </c>
      <c r="V18" s="8" t="s">
        <v>602</v>
      </c>
      <c r="W18" s="8" t="s">
        <v>719</v>
      </c>
    </row>
    <row r="20" customFormat="false" ht="15" hidden="false" customHeight="false" outlineLevel="0" collapsed="false">
      <c r="A20" s="16" t="s">
        <v>720</v>
      </c>
      <c r="B20" s="17"/>
      <c r="C20" s="17"/>
      <c r="D20" s="17"/>
      <c r="E20" s="17"/>
      <c r="F20" s="17"/>
      <c r="G20" s="17"/>
      <c r="H20" s="17"/>
      <c r="I20" s="17"/>
      <c r="J20" s="17"/>
      <c r="K20" s="17"/>
      <c r="L20" s="17"/>
      <c r="M20" s="17"/>
      <c r="N20" s="17"/>
      <c r="O20" s="17"/>
      <c r="P20" s="17"/>
      <c r="Q20" s="17"/>
      <c r="R20" s="17"/>
      <c r="S20" s="17"/>
      <c r="T20" s="17"/>
      <c r="U20" s="17"/>
      <c r="V20" s="17"/>
      <c r="W20" s="17"/>
    </row>
    <row r="21" customFormat="false" ht="15" hidden="false" customHeight="false" outlineLevel="0" collapsed="false">
      <c r="A21" s="8" t="s">
        <v>366</v>
      </c>
      <c r="B21" s="8" t="s">
        <v>259</v>
      </c>
      <c r="C21" s="30" t="n">
        <f aca="false">PnL!C$21</f>
        <v>28.4937875528305</v>
      </c>
      <c r="D21" s="30" t="n">
        <f aca="false">PnL!D$21</f>
        <v>29.7070673654493</v>
      </c>
      <c r="E21" s="30" t="n">
        <f aca="false">PnL!E$21</f>
        <v>32.6976701571668</v>
      </c>
      <c r="F21" s="30" t="n">
        <f aca="false">PnL!F$21</f>
        <v>31.2496039320329</v>
      </c>
      <c r="G21" s="30" t="n">
        <f aca="false">PnL!G$21</f>
        <v>31.7040132346635</v>
      </c>
      <c r="H21" s="30" t="n">
        <f aca="false">PnL!H$21</f>
        <v>33.1112277372484</v>
      </c>
      <c r="I21" s="30" t="n">
        <f aca="false">PnL!I$21</f>
        <v>32.5635604371086</v>
      </c>
      <c r="J21" s="30" t="n">
        <f aca="false">PnL!J$21</f>
        <v>32.983873033276</v>
      </c>
      <c r="K21" s="30" t="n">
        <f aca="false">PnL!K$21</f>
        <v>33.8873029461784</v>
      </c>
      <c r="L21" s="30" t="n">
        <f aca="false">PnL!L$21</f>
        <v>32.3575413855955</v>
      </c>
      <c r="M21" s="30" t="n">
        <f aca="false">PnL!M$21</f>
        <v>30.343046721525</v>
      </c>
      <c r="N21" s="30" t="n">
        <f aca="false">PnL!N$21</f>
        <v>29.3032703214004</v>
      </c>
      <c r="O21" s="42" t="n">
        <f aca="false">SUM(C21:N21)</f>
        <v>378.401964824475</v>
      </c>
      <c r="P21" s="30" t="n">
        <f aca="false">SUM(C21:E21)</f>
        <v>90.8985250754466</v>
      </c>
      <c r="Q21" s="30" t="n">
        <f aca="false">SUM(F21:H21)</f>
        <v>96.0648449039447</v>
      </c>
      <c r="R21" s="30" t="n">
        <f aca="false">SUM(I21:K21)</f>
        <v>99.434736416563</v>
      </c>
      <c r="S21" s="30" t="n">
        <f aca="false">SUM(L21:N21)</f>
        <v>92.0038584285208</v>
      </c>
      <c r="V21" s="8" t="s">
        <v>602</v>
      </c>
      <c r="W21" s="8" t="s">
        <v>721</v>
      </c>
    </row>
    <row r="22" customFormat="false" ht="15" hidden="false" customHeight="false" outlineLevel="0" collapsed="false">
      <c r="A22" s="8" t="s">
        <v>722</v>
      </c>
      <c r="B22" s="8" t="s">
        <v>259</v>
      </c>
      <c r="C22" s="30" t="n">
        <f aca="false">C11</f>
        <v>5.075</v>
      </c>
      <c r="D22" s="30" t="n">
        <f aca="false">D11</f>
        <v>5.14977646044124</v>
      </c>
      <c r="E22" s="30" t="n">
        <f aca="false">E11</f>
        <v>5.2261439094025</v>
      </c>
      <c r="F22" s="30" t="n">
        <f aca="false">F11</f>
        <v>5.30728432392385</v>
      </c>
      <c r="G22" s="30" t="n">
        <f aca="false">G11</f>
        <v>5.38603825566515</v>
      </c>
      <c r="H22" s="30" t="n">
        <f aca="false">H11</f>
        <v>5.46558768166647</v>
      </c>
      <c r="I22" s="30" t="n">
        <f aca="false">I11</f>
        <v>5.54752359044782</v>
      </c>
      <c r="J22" s="30" t="n">
        <f aca="false">J11</f>
        <v>5.62866400496917</v>
      </c>
      <c r="K22" s="30" t="n">
        <f aca="false">K11</f>
        <v>5.71059991375052</v>
      </c>
      <c r="L22" s="30" t="n">
        <f aca="false">L11</f>
        <v>5.79412681105191</v>
      </c>
      <c r="M22" s="30" t="n">
        <f aca="false">M11</f>
        <v>5.87526722557325</v>
      </c>
      <c r="N22" s="30" t="n">
        <f aca="false">N11</f>
        <v>5.95322566305454</v>
      </c>
      <c r="O22" s="42" t="n">
        <f aca="false">SUM(C22:N22)</f>
        <v>66.1192378399464</v>
      </c>
      <c r="P22" s="30" t="n">
        <f aca="false">SUM(C22:E22)</f>
        <v>15.4509203698437</v>
      </c>
      <c r="Q22" s="30" t="n">
        <f aca="false">SUM(F22:H22)</f>
        <v>16.1589102612555</v>
      </c>
      <c r="R22" s="30" t="n">
        <f aca="false">SUM(I22:K22)</f>
        <v>16.8867875091675</v>
      </c>
      <c r="S22" s="30" t="n">
        <f aca="false">SUM(L22:N22)</f>
        <v>17.6226196996797</v>
      </c>
      <c r="V22" s="8" t="s">
        <v>602</v>
      </c>
      <c r="W22" s="8" t="s">
        <v>723</v>
      </c>
    </row>
    <row r="23" customFormat="false" ht="15" hidden="false" customHeight="false" outlineLevel="0" collapsed="false">
      <c r="A23" s="8" t="s">
        <v>724</v>
      </c>
      <c r="B23" s="8" t="s">
        <v>259</v>
      </c>
      <c r="C23" s="30" t="n">
        <f aca="false">-C8</f>
        <v>-4.48658762647429</v>
      </c>
      <c r="D23" s="30" t="n">
        <f aca="false">-D8</f>
        <v>-4.58204693767587</v>
      </c>
      <c r="E23" s="30" t="n">
        <f aca="false">-E8</f>
        <v>-4.86842487128061</v>
      </c>
      <c r="F23" s="30" t="n">
        <f aca="false">-F8</f>
        <v>-4.72523590447824</v>
      </c>
      <c r="G23" s="30" t="n">
        <f aca="false">-G8</f>
        <v>-4.77296556007903</v>
      </c>
      <c r="H23" s="30" t="n">
        <f aca="false">-H8</f>
        <v>-4.9161545268814</v>
      </c>
      <c r="I23" s="30" t="n">
        <f aca="false">-I8</f>
        <v>-4.86842487128061</v>
      </c>
      <c r="J23" s="30" t="n">
        <f aca="false">-J8</f>
        <v>-4.9161545268814</v>
      </c>
      <c r="K23" s="30" t="n">
        <f aca="false">-K8</f>
        <v>-5.01161383808298</v>
      </c>
      <c r="L23" s="30" t="n">
        <f aca="false">-L8</f>
        <v>-4.86842487128061</v>
      </c>
      <c r="M23" s="30" t="n">
        <f aca="false">-M8</f>
        <v>-4.67750624887745</v>
      </c>
      <c r="N23" s="30" t="n">
        <f aca="false">-N8</f>
        <v>-4.58204693767587</v>
      </c>
      <c r="O23" s="42" t="n">
        <f aca="false">SUM(C23:N23)</f>
        <v>-57.2755867209483</v>
      </c>
      <c r="P23" s="30" t="n">
        <f aca="false">SUM(C23:E23)</f>
        <v>-13.9370594354308</v>
      </c>
      <c r="Q23" s="30" t="n">
        <f aca="false">SUM(F23:H23)</f>
        <v>-14.4143559914387</v>
      </c>
      <c r="R23" s="30" t="n">
        <f aca="false">SUM(I23:K23)</f>
        <v>-14.796193236245</v>
      </c>
      <c r="S23" s="30" t="n">
        <f aca="false">SUM(L23:N23)</f>
        <v>-14.1279780578339</v>
      </c>
      <c r="V23" s="8" t="s">
        <v>602</v>
      </c>
      <c r="W23" s="8" t="s">
        <v>723</v>
      </c>
    </row>
    <row r="24" customFormat="false" ht="15" hidden="false" customHeight="false" outlineLevel="0" collapsed="false">
      <c r="A24" s="8" t="s">
        <v>725</v>
      </c>
      <c r="B24" s="8" t="s">
        <v>259</v>
      </c>
      <c r="C24" s="30" t="n">
        <f aca="false">-C18</f>
        <v>-5.40403560791944</v>
      </c>
      <c r="D24" s="30" t="n">
        <f aca="false">-D18</f>
        <v>-4.0372741340837</v>
      </c>
      <c r="E24" s="30" t="n">
        <f aca="false">-E18</f>
        <v>-6.84497868575122</v>
      </c>
      <c r="F24" s="30" t="n">
        <f aca="false">-F18</f>
        <v>3.17274342913132</v>
      </c>
      <c r="G24" s="30" t="n">
        <f aca="false">-G18</f>
        <v>-1.49514823541023</v>
      </c>
      <c r="H24" s="30" t="n">
        <f aca="false">-H18</f>
        <v>-2.83911691015109</v>
      </c>
      <c r="I24" s="30" t="n">
        <f aca="false">-I18</f>
        <v>1.77527801445316</v>
      </c>
      <c r="J24" s="30" t="n">
        <f aca="false">-J18</f>
        <v>-0.345097865462918</v>
      </c>
      <c r="K24" s="30" t="n">
        <f aca="false">-K18</f>
        <v>-0.811628062847404</v>
      </c>
      <c r="L24" s="30" t="n">
        <f aca="false">-L18</f>
        <v>4.27618895211671</v>
      </c>
      <c r="M24" s="30" t="n">
        <f aca="false">-M18</f>
        <v>3.9475425230498</v>
      </c>
      <c r="N24" s="30" t="n">
        <f aca="false">-N18</f>
        <v>0.644832498255141</v>
      </c>
      <c r="O24" s="42" t="n">
        <f aca="false">SUM(C24:N24)</f>
        <v>-7.96069408461986</v>
      </c>
      <c r="P24" s="30" t="n">
        <f aca="false">SUM(C24:E24)</f>
        <v>-16.2862884277544</v>
      </c>
      <c r="Q24" s="30" t="n">
        <f aca="false">SUM(F24:H24)</f>
        <v>-1.16152171643</v>
      </c>
      <c r="R24" s="30" t="n">
        <f aca="false">SUM(I24:K24)</f>
        <v>0.618552086142842</v>
      </c>
      <c r="S24" s="30" t="n">
        <f aca="false">SUM(L24:N24)</f>
        <v>8.86856397342166</v>
      </c>
      <c r="V24" s="8" t="s">
        <v>602</v>
      </c>
      <c r="W24" s="8" t="s">
        <v>726</v>
      </c>
    </row>
    <row r="25" customFormat="false" ht="15" hidden="false" customHeight="false" outlineLevel="0" collapsed="false">
      <c r="A25" s="44" t="s">
        <v>367</v>
      </c>
      <c r="B25" s="45" t="s">
        <v>259</v>
      </c>
      <c r="C25" s="61" t="n">
        <f aca="false">C21+C22+C23+C24</f>
        <v>23.6781643184368</v>
      </c>
      <c r="D25" s="61" t="n">
        <f aca="false">D21+D22+D23+D24</f>
        <v>26.2375227541309</v>
      </c>
      <c r="E25" s="61" t="n">
        <f aca="false">E21+E22+E23+E24</f>
        <v>26.2104105095375</v>
      </c>
      <c r="F25" s="61" t="n">
        <f aca="false">F21+F22+F23+F24</f>
        <v>35.0043957806098</v>
      </c>
      <c r="G25" s="61" t="n">
        <f aca="false">G21+G22+G23+G24</f>
        <v>30.8219376948394</v>
      </c>
      <c r="H25" s="61" t="n">
        <f aca="false">H21+H22+H23+H24</f>
        <v>30.8215439818823</v>
      </c>
      <c r="I25" s="61" t="n">
        <f aca="false">I21+I22+I23+I24</f>
        <v>35.017937170729</v>
      </c>
      <c r="J25" s="61" t="n">
        <f aca="false">J21+J22+J23+J24</f>
        <v>33.3512846459009</v>
      </c>
      <c r="K25" s="61" t="n">
        <f aca="false">K21+K22+K23+K24</f>
        <v>33.7746609589985</v>
      </c>
      <c r="L25" s="61" t="n">
        <f aca="false">L21+L22+L23+L24</f>
        <v>37.5594322774835</v>
      </c>
      <c r="M25" s="61" t="n">
        <f aca="false">M21+M22+M23+M24</f>
        <v>35.4883502212706</v>
      </c>
      <c r="N25" s="61" t="n">
        <f aca="false">N21+N22+N23+N24</f>
        <v>31.3192815450342</v>
      </c>
      <c r="O25" s="62" t="n">
        <f aca="false">SUM(C25:N25)</f>
        <v>379.284921858853</v>
      </c>
      <c r="P25" s="61" t="n">
        <f aca="false">SUM(C25:E25)</f>
        <v>76.1260975821052</v>
      </c>
      <c r="Q25" s="61" t="n">
        <f aca="false">SUM(F25:H25)</f>
        <v>96.6478774573315</v>
      </c>
      <c r="R25" s="61" t="n">
        <f aca="false">SUM(I25:K25)</f>
        <v>102.143882775628</v>
      </c>
      <c r="S25" s="61" t="n">
        <f aca="false">SUM(L25:N25)</f>
        <v>104.367064043788</v>
      </c>
      <c r="T25" s="64"/>
      <c r="U25" s="64"/>
      <c r="V25" s="8" t="s">
        <v>602</v>
      </c>
      <c r="W25" s="8" t="s">
        <v>727</v>
      </c>
    </row>
    <row r="26" customFormat="false" ht="15" hidden="false" customHeight="false" outlineLevel="0" collapsed="false">
      <c r="A26" s="8" t="s">
        <v>368</v>
      </c>
      <c r="B26" s="8" t="s">
        <v>226</v>
      </c>
      <c r="C26" s="35" t="n">
        <f aca="false">IFERROR(C25/Revenue!C$23,0)</f>
        <v>0.263877207910948</v>
      </c>
      <c r="D26" s="35" t="n">
        <f aca="false">IFERROR(D25/Revenue!D$23,0)</f>
        <v>0.286307878454856</v>
      </c>
      <c r="E26" s="35" t="n">
        <f aca="false">IFERROR(E25/Revenue!E$23,0)</f>
        <v>0.269187788684546</v>
      </c>
      <c r="F26" s="35" t="n">
        <f aca="false">IFERROR(F25/Revenue!F$23,0)</f>
        <v>0.370398393733477</v>
      </c>
      <c r="G26" s="35" t="n">
        <f aca="false">IFERROR(G25/Revenue!G$23,0)</f>
        <v>0.322880369728972</v>
      </c>
      <c r="H26" s="35" t="n">
        <f aca="false">IFERROR(H25/Revenue!H$23,0)</f>
        <v>0.313472082837825</v>
      </c>
      <c r="I26" s="35" t="n">
        <f aca="false">IFERROR(I25/Revenue!I$23,0)</f>
        <v>0.359643396956824</v>
      </c>
      <c r="J26" s="35" t="n">
        <f aca="false">IFERROR(J25/Revenue!J$23,0)</f>
        <v>0.339200939103287</v>
      </c>
      <c r="K26" s="35" t="n">
        <f aca="false">IFERROR(K25/Revenue!K$23,0)</f>
        <v>0.336963920707006</v>
      </c>
      <c r="L26" s="35" t="n">
        <f aca="false">IFERROR(L25/Revenue!L$23,0)</f>
        <v>0.385745218120247</v>
      </c>
      <c r="M26" s="35" t="n">
        <f aca="false">IFERROR(M25/Revenue!M$23,0)</f>
        <v>0.379351179165045</v>
      </c>
      <c r="N26" s="35" t="n">
        <f aca="false">IFERROR(N25/Revenue!N$23,0)</f>
        <v>0.341760810954505</v>
      </c>
      <c r="O26" s="57" t="n">
        <f aca="false">IFERROR(O25/Revenue!O$23,0)</f>
        <v>0.331105226129557</v>
      </c>
      <c r="P26" s="35" t="n">
        <f aca="false">IFERROR(P25/Revenue!P$23,0)</f>
        <v>0.27310674082575</v>
      </c>
      <c r="Q26" s="35" t="n">
        <f aca="false">IFERROR(Q25/Revenue!Q$23,0)</f>
        <v>0.335248683724528</v>
      </c>
      <c r="R26" s="35" t="n">
        <f aca="false">IFERROR(R25/Revenue!R$23,0)</f>
        <v>0.34516946739184</v>
      </c>
      <c r="S26" s="35" t="n">
        <f aca="false">IFERROR(S25/Revenue!S$23,0)</f>
        <v>0.369363059655649</v>
      </c>
      <c r="V26" s="8" t="s">
        <v>602</v>
      </c>
      <c r="W26" s="8" t="s">
        <v>728</v>
      </c>
    </row>
    <row r="27" customFormat="false" ht="15" hidden="false" customHeight="false" outlineLevel="0" collapsed="false">
      <c r="A27" s="8" t="s">
        <v>729</v>
      </c>
      <c r="B27" s="8" t="s">
        <v>563</v>
      </c>
      <c r="C27" s="49" t="n">
        <f aca="false">IFERROR(C25/C21,0)</f>
        <v>0.830993923659147</v>
      </c>
      <c r="D27" s="49" t="n">
        <f aca="false">IFERROR(D25/D21,0)</f>
        <v>0.883208107732856</v>
      </c>
      <c r="E27" s="49" t="n">
        <f aca="false">IFERROR(E25/E21,0)</f>
        <v>0.801598718916448</v>
      </c>
      <c r="F27" s="49" t="n">
        <f aca="false">IFERROR(F25/F21,0)</f>
        <v>1.1201548620182</v>
      </c>
      <c r="G27" s="49" t="n">
        <f aca="false">IFERROR(G25/G21,0)</f>
        <v>0.972177795495629</v>
      </c>
      <c r="H27" s="49" t="n">
        <f aca="false">IFERROR(H25/H21,0)</f>
        <v>0.930848720756124</v>
      </c>
      <c r="I27" s="49" t="n">
        <f aca="false">IFERROR(I25/I21,0)</f>
        <v>1.07537187889391</v>
      </c>
      <c r="J27" s="49" t="n">
        <f aca="false">IFERROR(J25/J21,0)</f>
        <v>1.01113912887835</v>
      </c>
      <c r="K27" s="49" t="n">
        <f aca="false">IFERROR(K25/K21,0)</f>
        <v>0.996675982524819</v>
      </c>
      <c r="L27" s="49" t="n">
        <f aca="false">IFERROR(L25/L21,0)</f>
        <v>1.16076285988168</v>
      </c>
      <c r="M27" s="49" t="n">
        <f aca="false">IFERROR(M25/M21,0)</f>
        <v>1.16957108977773</v>
      </c>
      <c r="N27" s="49" t="n">
        <f aca="false">IFERROR(N25/N21,0)</f>
        <v>1.06879816489839</v>
      </c>
      <c r="O27" s="65" t="n">
        <f aca="false">IFERROR(O25/O21,0)</f>
        <v>1.00233338385224</v>
      </c>
      <c r="P27" s="49" t="n">
        <f aca="false">IFERROR(P25/P21,0)</f>
        <v>0.837484409333594</v>
      </c>
      <c r="Q27" s="49" t="n">
        <f aca="false">IFERROR(Q25/Q21,0)</f>
        <v>1.00606915624514</v>
      </c>
      <c r="R27" s="49" t="n">
        <f aca="false">IFERROR(R25/R21,0)</f>
        <v>1.02724547232384</v>
      </c>
      <c r="S27" s="49" t="n">
        <f aca="false">IFERROR(S25/S21,0)</f>
        <v>1.13437703403355</v>
      </c>
      <c r="V27" s="8" t="s">
        <v>602</v>
      </c>
      <c r="W27" s="8" t="s">
        <v>730</v>
      </c>
    </row>
    <row r="28" customFormat="false" ht="15" hidden="false" customHeight="false" outlineLevel="0" collapsed="false">
      <c r="A28" s="8" t="s">
        <v>731</v>
      </c>
      <c r="B28" s="8" t="s">
        <v>259</v>
      </c>
      <c r="C28" s="30" t="n">
        <f aca="false">C25</f>
        <v>23.6781643184368</v>
      </c>
      <c r="D28" s="30" t="n">
        <f aca="false">C28+D25</f>
        <v>49.9156870725677</v>
      </c>
      <c r="E28" s="30" t="n">
        <f aca="false">D28+E25</f>
        <v>76.1260975821052</v>
      </c>
      <c r="F28" s="30" t="n">
        <f aca="false">E28+F25</f>
        <v>111.130493362715</v>
      </c>
      <c r="G28" s="30" t="n">
        <f aca="false">F28+G25</f>
        <v>141.952431057554</v>
      </c>
      <c r="H28" s="30" t="n">
        <f aca="false">G28+H25</f>
        <v>172.773975039437</v>
      </c>
      <c r="I28" s="30" t="n">
        <f aca="false">H28+I25</f>
        <v>207.791912210166</v>
      </c>
      <c r="J28" s="30" t="n">
        <f aca="false">I28+J25</f>
        <v>241.143196856067</v>
      </c>
      <c r="K28" s="30" t="n">
        <f aca="false">J28+K25</f>
        <v>274.917857815065</v>
      </c>
      <c r="L28" s="30" t="n">
        <f aca="false">K28+L25</f>
        <v>312.477290092549</v>
      </c>
      <c r="M28" s="30" t="n">
        <f aca="false">L28+M25</f>
        <v>347.965640313819</v>
      </c>
      <c r="N28" s="30" t="n">
        <f aca="false">M28+N25</f>
        <v>379.284921858853</v>
      </c>
      <c r="O28" s="42" t="n">
        <f aca="false">N28</f>
        <v>379.284921858853</v>
      </c>
      <c r="P28" s="30" t="n">
        <f aca="false">E28</f>
        <v>76.1260975821052</v>
      </c>
      <c r="Q28" s="30" t="n">
        <f aca="false">H28</f>
        <v>172.773975039437</v>
      </c>
      <c r="R28" s="30" t="n">
        <f aca="false">K28</f>
        <v>274.917857815065</v>
      </c>
      <c r="S28" s="30" t="n">
        <f aca="false">N28</f>
        <v>379.284921858853</v>
      </c>
      <c r="V28" s="8" t="s">
        <v>602</v>
      </c>
      <c r="W28" s="8" t="s">
        <v>732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7030A0"/>
    <pageSetUpPr fitToPage="true"/>
  </sheetPr>
  <dimension ref="A1:R11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6" topLeftCell="C7" activePane="bottomRight" state="frozen"/>
      <selection pane="topLeft" activeCell="A1" activeCellId="0" sqref="A1"/>
      <selection pane="topRight" activeCell="C1" activeCellId="0" sqref="C1"/>
      <selection pane="bottomLeft" activeCell="A7" activeCellId="0" sqref="A7"/>
      <selection pane="bottomRight" activeCell="A1" activeCellId="0" sqref="A1"/>
    </sheetView>
  </sheetViews>
  <sheetFormatPr defaultColWidth="8.54296875" defaultRowHeight="15" customHeight="false" zeroHeight="false" outlineLevelRow="0" outlineLevelCol="0"/>
  <cols>
    <col collapsed="false" customWidth="true" hidden="false" outlineLevel="0" max="1" min="1" style="0" width="46"/>
    <col collapsed="false" customWidth="true" hidden="false" outlineLevel="0" max="2" min="2" style="0" width="10"/>
    <col collapsed="false" customWidth="true" hidden="false" outlineLevel="0" max="14" min="3" style="0" width="9.51"/>
    <col collapsed="false" customWidth="true" hidden="false" outlineLevel="0" max="15" min="15" style="0" width="11"/>
    <col collapsed="false" customWidth="true" hidden="false" outlineLevel="0" max="16" min="16" style="0" width="12"/>
    <col collapsed="false" customWidth="true" hidden="false" outlineLevel="0" max="17" min="17" style="0" width="30"/>
    <col collapsed="false" customWidth="true" hidden="false" outlineLevel="0" max="18" min="18" style="0" width="50"/>
  </cols>
  <sheetData>
    <row r="1" customFormat="false" ht="19.7" hidden="false" customHeight="false" outlineLevel="0" collapsed="false">
      <c r="A1" s="14" t="s">
        <v>733</v>
      </c>
    </row>
    <row r="2" customFormat="false" ht="15" hidden="false" customHeight="false" outlineLevel="0" collapsed="false">
      <c r="A2" s="4" t="s">
        <v>734</v>
      </c>
    </row>
    <row r="3" customFormat="false" ht="15" hidden="false" customHeight="false" outlineLevel="0" collapsed="false">
      <c r="A3" s="15" t="s">
        <v>2</v>
      </c>
    </row>
    <row r="6" customFormat="false" ht="15" hidden="false" customHeight="false" outlineLevel="0" collapsed="false">
      <c r="A6" s="18" t="s">
        <v>372</v>
      </c>
      <c r="B6" s="19" t="s">
        <v>220</v>
      </c>
      <c r="C6" s="53" t="n">
        <f aca="false">Ops_Model!C$6</f>
        <v>46023</v>
      </c>
      <c r="D6" s="53" t="n">
        <f aca="false">Ops_Model!D$6</f>
        <v>46054</v>
      </c>
      <c r="E6" s="53" t="n">
        <f aca="false">Ops_Model!E$6</f>
        <v>46082</v>
      </c>
      <c r="F6" s="53" t="n">
        <f aca="false">Ops_Model!F$6</f>
        <v>46113</v>
      </c>
      <c r="G6" s="53" t="n">
        <f aca="false">Ops_Model!G$6</f>
        <v>46143</v>
      </c>
      <c r="H6" s="53" t="n">
        <f aca="false">Ops_Model!H$6</f>
        <v>46174</v>
      </c>
      <c r="I6" s="53" t="n">
        <f aca="false">Ops_Model!I$6</f>
        <v>46204</v>
      </c>
      <c r="J6" s="53" t="n">
        <f aca="false">Ops_Model!J$6</f>
        <v>46235</v>
      </c>
      <c r="K6" s="53" t="n">
        <f aca="false">Ops_Model!K$6</f>
        <v>46266</v>
      </c>
      <c r="L6" s="53" t="n">
        <f aca="false">Ops_Model!L$6</f>
        <v>46296</v>
      </c>
      <c r="M6" s="53" t="n">
        <f aca="false">Ops_Model!M$6</f>
        <v>46327</v>
      </c>
      <c r="N6" s="53" t="n">
        <f aca="false">Ops_Model!N$6</f>
        <v>46357</v>
      </c>
      <c r="O6" s="19" t="s">
        <v>598</v>
      </c>
      <c r="P6" s="19" t="s">
        <v>735</v>
      </c>
      <c r="Q6" s="19" t="s">
        <v>99</v>
      </c>
      <c r="R6" s="19" t="s">
        <v>599</v>
      </c>
    </row>
    <row r="8" customFormat="false" ht="15" hidden="false" customHeight="false" outlineLevel="0" collapsed="false">
      <c r="A8" s="16" t="s">
        <v>736</v>
      </c>
      <c r="B8" s="17"/>
      <c r="C8" s="17"/>
      <c r="D8" s="17"/>
      <c r="E8" s="17"/>
      <c r="F8" s="17"/>
      <c r="G8" s="17"/>
      <c r="H8" s="17"/>
      <c r="I8" s="17"/>
      <c r="J8" s="17"/>
      <c r="K8" s="17"/>
      <c r="L8" s="17"/>
      <c r="M8" s="17"/>
      <c r="N8" s="17"/>
      <c r="O8" s="17"/>
      <c r="P8" s="17"/>
      <c r="Q8" s="17"/>
      <c r="R8" s="17"/>
    </row>
    <row r="9" customFormat="false" ht="15" hidden="false" customHeight="false" outlineLevel="0" collapsed="false">
      <c r="A9" s="8" t="s">
        <v>225</v>
      </c>
      <c r="C9" s="25" t="n">
        <f aca="false">Assumptions!$D$10</f>
        <v>0.15</v>
      </c>
      <c r="Q9" s="8" t="s">
        <v>737</v>
      </c>
    </row>
    <row r="10" customFormat="false" ht="15" hidden="false" customHeight="false" outlineLevel="0" collapsed="false">
      <c r="A10" s="8" t="s">
        <v>228</v>
      </c>
      <c r="C10" s="25" t="n">
        <f aca="false">Assumptions!$D$11</f>
        <v>-0.01</v>
      </c>
      <c r="Q10" s="8" t="s">
        <v>737</v>
      </c>
    </row>
    <row r="11" customFormat="false" ht="15" hidden="false" customHeight="false" outlineLevel="0" collapsed="false">
      <c r="A11" s="8" t="s">
        <v>230</v>
      </c>
      <c r="C11" s="25" t="n">
        <f aca="false">Assumptions!$D$12</f>
        <v>0</v>
      </c>
      <c r="Q11" s="8" t="s">
        <v>737</v>
      </c>
    </row>
    <row r="12" customFormat="false" ht="15" hidden="false" customHeight="false" outlineLevel="0" collapsed="false">
      <c r="A12" s="8" t="s">
        <v>233</v>
      </c>
      <c r="C12" s="25" t="n">
        <f aca="false">Assumptions!$D$13</f>
        <v>0.78</v>
      </c>
      <c r="Q12" s="8" t="s">
        <v>737</v>
      </c>
    </row>
    <row r="13" customFormat="false" ht="15" hidden="false" customHeight="false" outlineLevel="0" collapsed="false">
      <c r="A13" s="8" t="s">
        <v>235</v>
      </c>
      <c r="C13" s="25" t="n">
        <f aca="false">Assumptions!$D$14</f>
        <v>0.03</v>
      </c>
      <c r="Q13" s="8" t="s">
        <v>737</v>
      </c>
    </row>
    <row r="14" customFormat="false" ht="15" hidden="false" customHeight="false" outlineLevel="0" collapsed="false">
      <c r="A14" s="8" t="s">
        <v>237</v>
      </c>
      <c r="C14" s="25" t="n">
        <f aca="false">Assumptions!$D$15</f>
        <v>0.05</v>
      </c>
      <c r="Q14" s="8" t="s">
        <v>737</v>
      </c>
    </row>
    <row r="15" customFormat="false" ht="15" hidden="false" customHeight="false" outlineLevel="0" collapsed="false">
      <c r="A15" s="8" t="s">
        <v>239</v>
      </c>
      <c r="C15" s="25" t="n">
        <f aca="false">Assumptions!$D$16</f>
        <v>0.03</v>
      </c>
      <c r="Q15" s="8" t="s">
        <v>737</v>
      </c>
    </row>
    <row r="16" customFormat="false" ht="15" hidden="false" customHeight="false" outlineLevel="0" collapsed="false">
      <c r="A16" s="8" t="s">
        <v>241</v>
      </c>
      <c r="C16" s="25" t="n">
        <f aca="false">Assumptions!$D$17</f>
        <v>0.05</v>
      </c>
      <c r="Q16" s="8" t="s">
        <v>737</v>
      </c>
    </row>
    <row r="18" customFormat="false" ht="15" hidden="false" customHeight="false" outlineLevel="0" collapsed="false">
      <c r="A18" s="16" t="s">
        <v>738</v>
      </c>
      <c r="B18" s="17"/>
      <c r="C18" s="17"/>
      <c r="D18" s="17"/>
      <c r="E18" s="17"/>
      <c r="F18" s="17"/>
      <c r="G18" s="17"/>
      <c r="H18" s="17"/>
      <c r="I18" s="17"/>
      <c r="J18" s="17"/>
      <c r="K18" s="17"/>
      <c r="L18" s="17"/>
      <c r="M18" s="17"/>
      <c r="N18" s="17"/>
      <c r="O18" s="17"/>
      <c r="P18" s="17"/>
      <c r="Q18" s="17"/>
      <c r="R18" s="17"/>
    </row>
    <row r="19" customFormat="false" ht="15" hidden="false" customHeight="false" outlineLevel="0" collapsed="false">
      <c r="A19" s="8" t="s">
        <v>604</v>
      </c>
      <c r="B19" s="8" t="s">
        <v>300</v>
      </c>
      <c r="C19" s="34" t="n">
        <f aca="false">Assumptions!$C$52*(1+$C$9+Assumptions!$C$48)*Assumptions!C$73/12</f>
        <v>64.0428815182901</v>
      </c>
      <c r="D19" s="34" t="n">
        <f aca="false">Assumptions!$C$52*(1+$C$9+Assumptions!$C$48)*Assumptions!D$73/12</f>
        <v>65.4054960186793</v>
      </c>
      <c r="E19" s="34" t="n">
        <f aca="false">Assumptions!$C$52*(1+$C$9+Assumptions!$C$48)*Assumptions!E$73/12</f>
        <v>69.4933395198467</v>
      </c>
      <c r="F19" s="34" t="n">
        <f aca="false">Assumptions!$C$52*(1+$C$9+Assumptions!$C$48)*Assumptions!F$73/12</f>
        <v>67.449417769263</v>
      </c>
      <c r="G19" s="34" t="n">
        <f aca="false">Assumptions!$C$52*(1+$C$9+Assumptions!$C$48)*Assumptions!G$73/12</f>
        <v>68.1307250194576</v>
      </c>
      <c r="H19" s="34" t="n">
        <f aca="false">Assumptions!$C$52*(1+$C$9+Assumptions!$C$48)*Assumptions!H$73/12</f>
        <v>70.1746467700413</v>
      </c>
      <c r="I19" s="34" t="n">
        <f aca="false">Assumptions!$C$52*(1+$C$9+Assumptions!$C$48)*Assumptions!I$73/12</f>
        <v>69.4933395198467</v>
      </c>
      <c r="J19" s="34" t="n">
        <f aca="false">Assumptions!$C$52*(1+$C$9+Assumptions!$C$48)*Assumptions!J$73/12</f>
        <v>70.1746467700413</v>
      </c>
      <c r="K19" s="34" t="n">
        <f aca="false">Assumptions!$C$52*(1+$C$9+Assumptions!$C$48)*Assumptions!K$73/12</f>
        <v>71.5372612704305</v>
      </c>
      <c r="L19" s="34" t="n">
        <f aca="false">Assumptions!$C$52*(1+$C$9+Assumptions!$C$48)*Assumptions!L$73/12</f>
        <v>69.4933395198467</v>
      </c>
      <c r="M19" s="34" t="n">
        <f aca="false">Assumptions!$C$52*(1+$C$9+Assumptions!$C$48)*Assumptions!M$73/12</f>
        <v>66.7681105190684</v>
      </c>
      <c r="N19" s="34" t="n">
        <f aca="false">Assumptions!$C$52*(1+$C$9+Assumptions!$C$48)*Assumptions!N$73/12</f>
        <v>65.4054960186793</v>
      </c>
      <c r="O19" s="56" t="n">
        <f aca="false">SUM(C19:N19)</f>
        <v>817.568700233491</v>
      </c>
      <c r="P19" s="56" t="n">
        <f aca="false">SUM(C19:G19)</f>
        <v>334.521859845537</v>
      </c>
      <c r="Q19" s="8" t="s">
        <v>739</v>
      </c>
      <c r="R19" s="8"/>
    </row>
    <row r="20" customFormat="false" ht="15" hidden="false" customHeight="false" outlineLevel="0" collapsed="false">
      <c r="A20" s="8" t="s">
        <v>290</v>
      </c>
      <c r="B20" s="8" t="s">
        <v>300</v>
      </c>
      <c r="C20" s="34" t="n">
        <f aca="false">Assumptions!$C$47</f>
        <v>88</v>
      </c>
      <c r="D20" s="34" t="n">
        <f aca="false">Assumptions!$C$47</f>
        <v>88</v>
      </c>
      <c r="E20" s="34" t="n">
        <f aca="false">Assumptions!$C$47</f>
        <v>88</v>
      </c>
      <c r="F20" s="34" t="n">
        <f aca="false">Assumptions!$C$47</f>
        <v>88</v>
      </c>
      <c r="G20" s="34" t="n">
        <f aca="false">Assumptions!$C$47</f>
        <v>88</v>
      </c>
      <c r="H20" s="34" t="n">
        <f aca="false">Assumptions!$C$47</f>
        <v>88</v>
      </c>
      <c r="I20" s="34" t="n">
        <f aca="false">Assumptions!$C$47</f>
        <v>88</v>
      </c>
      <c r="J20" s="34" t="n">
        <f aca="false">Assumptions!$C$47</f>
        <v>88</v>
      </c>
      <c r="K20" s="34" t="n">
        <f aca="false">Assumptions!$C$47</f>
        <v>88</v>
      </c>
      <c r="L20" s="34" t="n">
        <f aca="false">Assumptions!$C$47</f>
        <v>88</v>
      </c>
      <c r="M20" s="34" t="n">
        <f aca="false">Assumptions!$C$47</f>
        <v>88</v>
      </c>
      <c r="N20" s="34" t="n">
        <f aca="false">Assumptions!$C$47</f>
        <v>88</v>
      </c>
      <c r="O20" s="56" t="n">
        <f aca="false">SUM(C20:N20)</f>
        <v>1056</v>
      </c>
      <c r="P20" s="56" t="n">
        <f aca="false">SUM(C20:G20)</f>
        <v>440</v>
      </c>
      <c r="Q20" s="8" t="s">
        <v>739</v>
      </c>
      <c r="R20" s="8"/>
    </row>
    <row r="21" customFormat="false" ht="15" hidden="false" customHeight="false" outlineLevel="0" collapsed="false">
      <c r="A21" s="8" t="s">
        <v>607</v>
      </c>
      <c r="B21" s="8" t="s">
        <v>226</v>
      </c>
      <c r="C21" s="35" t="n">
        <f aca="false">$C$12</f>
        <v>0.78</v>
      </c>
      <c r="D21" s="35" t="n">
        <f aca="false">$C$12</f>
        <v>0.78</v>
      </c>
      <c r="E21" s="35" t="n">
        <f aca="false">$C$12</f>
        <v>0.78</v>
      </c>
      <c r="F21" s="35" t="n">
        <f aca="false">$C$12</f>
        <v>0.78</v>
      </c>
      <c r="G21" s="35" t="n">
        <f aca="false">$C$12</f>
        <v>0.78</v>
      </c>
      <c r="H21" s="35" t="n">
        <f aca="false">$C$12</f>
        <v>0.78</v>
      </c>
      <c r="I21" s="35" t="n">
        <f aca="false">$C$12</f>
        <v>0.78</v>
      </c>
      <c r="J21" s="35" t="n">
        <f aca="false">$C$12</f>
        <v>0.78</v>
      </c>
      <c r="K21" s="35" t="n">
        <f aca="false">$C$12</f>
        <v>0.78</v>
      </c>
      <c r="L21" s="35" t="n">
        <f aca="false">$C$12</f>
        <v>0.78</v>
      </c>
      <c r="M21" s="35" t="n">
        <f aca="false">$C$12</f>
        <v>0.78</v>
      </c>
      <c r="N21" s="35" t="n">
        <f aca="false">$C$12</f>
        <v>0.78</v>
      </c>
      <c r="O21" s="57" t="n">
        <f aca="false">IFERROR(O22/O20,0)</f>
        <v>0.78</v>
      </c>
      <c r="P21" s="57" t="n">
        <f aca="false">IFERROR(P22/P20,0)</f>
        <v>0.78</v>
      </c>
      <c r="Q21" s="8" t="s">
        <v>739</v>
      </c>
      <c r="R21" s="8"/>
    </row>
    <row r="22" customFormat="false" ht="15" hidden="false" customHeight="false" outlineLevel="0" collapsed="false">
      <c r="A22" s="8" t="s">
        <v>302</v>
      </c>
      <c r="B22" s="8" t="s">
        <v>300</v>
      </c>
      <c r="C22" s="34" t="n">
        <f aca="false">C20*C21</f>
        <v>68.64</v>
      </c>
      <c r="D22" s="34" t="n">
        <f aca="false">D20*D21</f>
        <v>68.64</v>
      </c>
      <c r="E22" s="34" t="n">
        <f aca="false">E20*E21</f>
        <v>68.64</v>
      </c>
      <c r="F22" s="34" t="n">
        <f aca="false">F20*F21</f>
        <v>68.64</v>
      </c>
      <c r="G22" s="34" t="n">
        <f aca="false">G20*G21</f>
        <v>68.64</v>
      </c>
      <c r="H22" s="34" t="n">
        <f aca="false">H20*H21</f>
        <v>68.64</v>
      </c>
      <c r="I22" s="34" t="n">
        <f aca="false">I20*I21</f>
        <v>68.64</v>
      </c>
      <c r="J22" s="34" t="n">
        <f aca="false">J20*J21</f>
        <v>68.64</v>
      </c>
      <c r="K22" s="34" t="n">
        <f aca="false">K20*K21</f>
        <v>68.64</v>
      </c>
      <c r="L22" s="34" t="n">
        <f aca="false">L20*L21</f>
        <v>68.64</v>
      </c>
      <c r="M22" s="34" t="n">
        <f aca="false">M20*M21</f>
        <v>68.64</v>
      </c>
      <c r="N22" s="34" t="n">
        <f aca="false">N20*N21</f>
        <v>68.64</v>
      </c>
      <c r="O22" s="56" t="n">
        <f aca="false">SUM(C22:N22)</f>
        <v>823.68</v>
      </c>
      <c r="P22" s="56" t="n">
        <f aca="false">SUM(C22:G22)</f>
        <v>343.2</v>
      </c>
      <c r="Q22" s="8" t="s">
        <v>739</v>
      </c>
      <c r="R22" s="8" t="s">
        <v>609</v>
      </c>
    </row>
    <row r="23" customFormat="false" ht="15" hidden="false" customHeight="false" outlineLevel="0" collapsed="false">
      <c r="A23" s="8" t="s">
        <v>610</v>
      </c>
      <c r="B23" s="8" t="s">
        <v>226</v>
      </c>
      <c r="C23" s="35" t="n">
        <f aca="false">MIN(1,MAX(0,Assumptions!$C$44+$C$11))</f>
        <v>0.95</v>
      </c>
      <c r="D23" s="35" t="n">
        <f aca="false">MIN(1,MAX(0,Assumptions!$C$44+$C$11))</f>
        <v>0.95</v>
      </c>
      <c r="E23" s="35" t="n">
        <f aca="false">MIN(1,MAX(0,Assumptions!$C$44+$C$11))</f>
        <v>0.95</v>
      </c>
      <c r="F23" s="35" t="n">
        <f aca="false">MIN(1,MAX(0,Assumptions!$C$44+$C$11))</f>
        <v>0.95</v>
      </c>
      <c r="G23" s="35" t="n">
        <f aca="false">MIN(1,MAX(0,Assumptions!$C$44+$C$11))</f>
        <v>0.95</v>
      </c>
      <c r="H23" s="35" t="n">
        <f aca="false">MIN(1,MAX(0,Assumptions!$C$44+$C$11))</f>
        <v>0.95</v>
      </c>
      <c r="I23" s="35" t="n">
        <f aca="false">MIN(1,MAX(0,Assumptions!$C$44+$C$11))</f>
        <v>0.95</v>
      </c>
      <c r="J23" s="35" t="n">
        <f aca="false">MIN(1,MAX(0,Assumptions!$C$44+$C$11))</f>
        <v>0.95</v>
      </c>
      <c r="K23" s="35" t="n">
        <f aca="false">MIN(1,MAX(0,Assumptions!$C$44+$C$11))</f>
        <v>0.95</v>
      </c>
      <c r="L23" s="35" t="n">
        <f aca="false">MIN(1,MAX(0,Assumptions!$C$44+$C$11))</f>
        <v>0.95</v>
      </c>
      <c r="M23" s="35" t="n">
        <f aca="false">MIN(1,MAX(0,Assumptions!$C$44+$C$11))</f>
        <v>0.95</v>
      </c>
      <c r="N23" s="35" t="n">
        <f aca="false">MIN(1,MAX(0,Assumptions!$C$44+$C$11))</f>
        <v>0.95</v>
      </c>
      <c r="O23" s="57" t="n">
        <f aca="false">IFERROR(O24/O22,0)</f>
        <v>0.95</v>
      </c>
      <c r="P23" s="57" t="n">
        <f aca="false">IFERROR(P24/P22,0)</f>
        <v>0.95</v>
      </c>
      <c r="Q23" s="8" t="s">
        <v>739</v>
      </c>
      <c r="R23" s="8"/>
    </row>
    <row r="24" customFormat="false" ht="15" hidden="false" customHeight="false" outlineLevel="0" collapsed="false">
      <c r="A24" s="8" t="s">
        <v>612</v>
      </c>
      <c r="B24" s="8" t="s">
        <v>300</v>
      </c>
      <c r="C24" s="34" t="n">
        <f aca="false">C22*C23</f>
        <v>65.208</v>
      </c>
      <c r="D24" s="34" t="n">
        <f aca="false">D22*D23</f>
        <v>65.208</v>
      </c>
      <c r="E24" s="34" t="n">
        <f aca="false">E22*E23</f>
        <v>65.208</v>
      </c>
      <c r="F24" s="34" t="n">
        <f aca="false">F22*F23</f>
        <v>65.208</v>
      </c>
      <c r="G24" s="34" t="n">
        <f aca="false">G22*G23</f>
        <v>65.208</v>
      </c>
      <c r="H24" s="34" t="n">
        <f aca="false">H22*H23</f>
        <v>65.208</v>
      </c>
      <c r="I24" s="34" t="n">
        <f aca="false">I22*I23</f>
        <v>65.208</v>
      </c>
      <c r="J24" s="34" t="n">
        <f aca="false">J22*J23</f>
        <v>65.208</v>
      </c>
      <c r="K24" s="34" t="n">
        <f aca="false">K22*K23</f>
        <v>65.208</v>
      </c>
      <c r="L24" s="34" t="n">
        <f aca="false">L22*L23</f>
        <v>65.208</v>
      </c>
      <c r="M24" s="34" t="n">
        <f aca="false">M22*M23</f>
        <v>65.208</v>
      </c>
      <c r="N24" s="34" t="n">
        <f aca="false">N22*N23</f>
        <v>65.208</v>
      </c>
      <c r="O24" s="56" t="n">
        <f aca="false">SUM(C24:N24)</f>
        <v>782.496</v>
      </c>
      <c r="P24" s="56" t="n">
        <f aca="false">SUM(C24:G24)</f>
        <v>326.04</v>
      </c>
      <c r="Q24" s="8" t="s">
        <v>739</v>
      </c>
      <c r="R24" s="8" t="s">
        <v>613</v>
      </c>
    </row>
    <row r="25" customFormat="false" ht="15" hidden="false" customHeight="false" outlineLevel="0" collapsed="false">
      <c r="A25" s="8" t="s">
        <v>357</v>
      </c>
      <c r="B25" s="8" t="s">
        <v>300</v>
      </c>
      <c r="C25" s="34" t="n">
        <f aca="false">Assumptions!$C$68</f>
        <v>58.2313889055193</v>
      </c>
      <c r="D25" s="34" t="n">
        <f aca="false">C28</f>
        <v>59.3965073872292</v>
      </c>
      <c r="E25" s="34" t="n">
        <f aca="false">D28</f>
        <v>59.1990113685499</v>
      </c>
      <c r="F25" s="34" t="n">
        <f aca="false">E28</f>
        <v>54.9136718487032</v>
      </c>
      <c r="G25" s="34" t="n">
        <f aca="false">F28</f>
        <v>52.6722540794402</v>
      </c>
      <c r="H25" s="34" t="n">
        <f aca="false">G28</f>
        <v>49.7495290599826</v>
      </c>
      <c r="I25" s="34" t="n">
        <f aca="false">H28</f>
        <v>44.7828822899413</v>
      </c>
      <c r="J25" s="34" t="n">
        <f aca="false">I28</f>
        <v>40.4975427700945</v>
      </c>
      <c r="K25" s="34" t="n">
        <f aca="false">J28</f>
        <v>35.5308960000532</v>
      </c>
      <c r="L25" s="34" t="n">
        <f aca="false">K28</f>
        <v>29.2016347296228</v>
      </c>
      <c r="M25" s="34" t="n">
        <f aca="false">L28</f>
        <v>24.916295209776</v>
      </c>
      <c r="N25" s="34" t="n">
        <f aca="false">M28</f>
        <v>23.3561846907076</v>
      </c>
      <c r="O25" s="56" t="n">
        <f aca="false">C25</f>
        <v>58.2313889055193</v>
      </c>
      <c r="P25" s="56" t="n">
        <f aca="false">C25</f>
        <v>58.2313889055193</v>
      </c>
      <c r="Q25" s="8" t="s">
        <v>739</v>
      </c>
      <c r="R25" s="8"/>
    </row>
    <row r="26" customFormat="false" ht="15" hidden="false" customHeight="false" outlineLevel="0" collapsed="false">
      <c r="A26" s="8" t="s">
        <v>615</v>
      </c>
      <c r="B26" s="8" t="s">
        <v>300</v>
      </c>
      <c r="C26" s="34" t="n">
        <f aca="false">C25+C24</f>
        <v>123.439388905519</v>
      </c>
      <c r="D26" s="34" t="n">
        <f aca="false">D25+D24</f>
        <v>124.604507387229</v>
      </c>
      <c r="E26" s="34" t="n">
        <f aca="false">E25+E24</f>
        <v>124.40701136855</v>
      </c>
      <c r="F26" s="34" t="n">
        <f aca="false">F25+F24</f>
        <v>120.121671848703</v>
      </c>
      <c r="G26" s="34" t="n">
        <f aca="false">G25+G24</f>
        <v>117.88025407944</v>
      </c>
      <c r="H26" s="34" t="n">
        <f aca="false">H25+H24</f>
        <v>114.957529059983</v>
      </c>
      <c r="I26" s="34" t="n">
        <f aca="false">I25+I24</f>
        <v>109.990882289941</v>
      </c>
      <c r="J26" s="34" t="n">
        <f aca="false">J25+J24</f>
        <v>105.705542770095</v>
      </c>
      <c r="K26" s="34" t="n">
        <f aca="false">K25+K24</f>
        <v>100.738896000053</v>
      </c>
      <c r="L26" s="34" t="n">
        <f aca="false">L25+L24</f>
        <v>94.4096347296228</v>
      </c>
      <c r="M26" s="34" t="n">
        <f aca="false">M25+M24</f>
        <v>90.124295209776</v>
      </c>
      <c r="N26" s="34" t="n">
        <f aca="false">N25+N24</f>
        <v>88.5641846907076</v>
      </c>
      <c r="Q26" s="8" t="s">
        <v>739</v>
      </c>
      <c r="R26" s="8"/>
    </row>
    <row r="27" customFormat="false" ht="15" hidden="false" customHeight="false" outlineLevel="0" collapsed="false">
      <c r="A27" s="7" t="s">
        <v>299</v>
      </c>
      <c r="B27" s="8" t="s">
        <v>300</v>
      </c>
      <c r="C27" s="34" t="n">
        <f aca="false">MIN(C19,C26)</f>
        <v>64.0428815182901</v>
      </c>
      <c r="D27" s="34" t="n">
        <f aca="false">MIN(D19,D26)</f>
        <v>65.4054960186793</v>
      </c>
      <c r="E27" s="34" t="n">
        <f aca="false">MIN(E19,E26)</f>
        <v>69.4933395198467</v>
      </c>
      <c r="F27" s="34" t="n">
        <f aca="false">MIN(F19,F26)</f>
        <v>67.449417769263</v>
      </c>
      <c r="G27" s="34" t="n">
        <f aca="false">MIN(G19,G26)</f>
        <v>68.1307250194576</v>
      </c>
      <c r="H27" s="34" t="n">
        <f aca="false">MIN(H19,H26)</f>
        <v>70.1746467700413</v>
      </c>
      <c r="I27" s="34" t="n">
        <f aca="false">MIN(I19,I26)</f>
        <v>69.4933395198467</v>
      </c>
      <c r="J27" s="34" t="n">
        <f aca="false">MIN(J19,J26)</f>
        <v>70.1746467700413</v>
      </c>
      <c r="K27" s="34" t="n">
        <f aca="false">MIN(K19,K26)</f>
        <v>71.5372612704305</v>
      </c>
      <c r="L27" s="34" t="n">
        <f aca="false">MIN(L19,L26)</f>
        <v>69.4933395198467</v>
      </c>
      <c r="M27" s="34" t="n">
        <f aca="false">MIN(M19,M26)</f>
        <v>66.7681105190684</v>
      </c>
      <c r="N27" s="34" t="n">
        <f aca="false">MIN(N19,N26)</f>
        <v>65.4054960186793</v>
      </c>
      <c r="O27" s="56" t="n">
        <f aca="false">SUM(C27:N27)</f>
        <v>817.568700233491</v>
      </c>
      <c r="P27" s="56" t="n">
        <f aca="false">SUM(C27:G27)</f>
        <v>334.521859845537</v>
      </c>
      <c r="Q27" s="8" t="s">
        <v>739</v>
      </c>
      <c r="R27" s="8" t="s">
        <v>740</v>
      </c>
    </row>
    <row r="28" customFormat="false" ht="15" hidden="false" customHeight="false" outlineLevel="0" collapsed="false">
      <c r="A28" s="8" t="s">
        <v>618</v>
      </c>
      <c r="B28" s="8" t="s">
        <v>300</v>
      </c>
      <c r="C28" s="34" t="n">
        <f aca="false">C26-C27</f>
        <v>59.3965073872292</v>
      </c>
      <c r="D28" s="34" t="n">
        <f aca="false">D26-D27</f>
        <v>59.1990113685499</v>
      </c>
      <c r="E28" s="34" t="n">
        <f aca="false">E26-E27</f>
        <v>54.9136718487032</v>
      </c>
      <c r="F28" s="34" t="n">
        <f aca="false">F26-F27</f>
        <v>52.6722540794402</v>
      </c>
      <c r="G28" s="34" t="n">
        <f aca="false">G26-G27</f>
        <v>49.7495290599826</v>
      </c>
      <c r="H28" s="34" t="n">
        <f aca="false">H26-H27</f>
        <v>44.7828822899413</v>
      </c>
      <c r="I28" s="34" t="n">
        <f aca="false">I26-I27</f>
        <v>40.4975427700945</v>
      </c>
      <c r="J28" s="34" t="n">
        <f aca="false">J26-J27</f>
        <v>35.5308960000532</v>
      </c>
      <c r="K28" s="34" t="n">
        <f aca="false">K26-K27</f>
        <v>29.2016347296228</v>
      </c>
      <c r="L28" s="34" t="n">
        <f aca="false">L26-L27</f>
        <v>24.916295209776</v>
      </c>
      <c r="M28" s="34" t="n">
        <f aca="false">M26-M27</f>
        <v>23.3561846907076</v>
      </c>
      <c r="N28" s="34" t="n">
        <f aca="false">N26-N27</f>
        <v>23.1586886720283</v>
      </c>
      <c r="O28" s="56" t="n">
        <f aca="false">N28</f>
        <v>23.1586886720283</v>
      </c>
      <c r="P28" s="56" t="n">
        <f aca="false">G28</f>
        <v>49.7495290599826</v>
      </c>
      <c r="Q28" s="8" t="s">
        <v>739</v>
      </c>
      <c r="R28" s="8" t="s">
        <v>741</v>
      </c>
    </row>
    <row r="29" customFormat="false" ht="15" hidden="false" customHeight="false" outlineLevel="0" collapsed="false">
      <c r="A29" s="8" t="s">
        <v>742</v>
      </c>
      <c r="B29" s="8" t="s">
        <v>300</v>
      </c>
      <c r="C29" s="34" t="n">
        <f aca="false">C19-C27</f>
        <v>0</v>
      </c>
      <c r="D29" s="34" t="n">
        <f aca="false">D19-D27</f>
        <v>0</v>
      </c>
      <c r="E29" s="34" t="n">
        <f aca="false">E19-E27</f>
        <v>0</v>
      </c>
      <c r="F29" s="34" t="n">
        <f aca="false">F19-F27</f>
        <v>0</v>
      </c>
      <c r="G29" s="34" t="n">
        <f aca="false">G19-G27</f>
        <v>0</v>
      </c>
      <c r="H29" s="34" t="n">
        <f aca="false">H19-H27</f>
        <v>0</v>
      </c>
      <c r="I29" s="34" t="n">
        <f aca="false">I19-I27</f>
        <v>0</v>
      </c>
      <c r="J29" s="34" t="n">
        <f aca="false">J19-J27</f>
        <v>0</v>
      </c>
      <c r="K29" s="34" t="n">
        <f aca="false">K19-K27</f>
        <v>0</v>
      </c>
      <c r="L29" s="34" t="n">
        <f aca="false">L19-L27</f>
        <v>0</v>
      </c>
      <c r="M29" s="34" t="n">
        <f aca="false">M19-M27</f>
        <v>0</v>
      </c>
      <c r="N29" s="34" t="n">
        <f aca="false">N19-N27</f>
        <v>0</v>
      </c>
      <c r="O29" s="56" t="n">
        <f aca="false">SUM(C29:N29)</f>
        <v>0</v>
      </c>
      <c r="P29" s="56" t="n">
        <f aca="false">SUM(C29:G29)</f>
        <v>0</v>
      </c>
      <c r="Q29" s="8" t="s">
        <v>739</v>
      </c>
      <c r="R29" s="8"/>
    </row>
    <row r="30" customFormat="false" ht="15" hidden="false" customHeight="false" outlineLevel="0" collapsed="false">
      <c r="A30" s="8" t="s">
        <v>624</v>
      </c>
      <c r="B30" s="8" t="s">
        <v>281</v>
      </c>
      <c r="C30" s="36" t="n">
        <f aca="false">Assumptions!$C$43*(1+$C$10)</f>
        <v>0.594</v>
      </c>
      <c r="D30" s="36" t="n">
        <f aca="false">Assumptions!$C$43*(1+$C$10)</f>
        <v>0.594</v>
      </c>
      <c r="E30" s="36" t="n">
        <f aca="false">Assumptions!$C$43*(1+$C$10)</f>
        <v>0.594</v>
      </c>
      <c r="F30" s="36" t="n">
        <f aca="false">Assumptions!$C$43*(1+$C$10)</f>
        <v>0.594</v>
      </c>
      <c r="G30" s="36" t="n">
        <f aca="false">Assumptions!$C$43*(1+$C$10)</f>
        <v>0.594</v>
      </c>
      <c r="H30" s="36" t="n">
        <f aca="false">Assumptions!$C$43*(1+$C$10)</f>
        <v>0.594</v>
      </c>
      <c r="I30" s="36" t="n">
        <f aca="false">Assumptions!$C$43*(1+$C$10)</f>
        <v>0.594</v>
      </c>
      <c r="J30" s="36" t="n">
        <f aca="false">Assumptions!$C$43*(1+$C$10)</f>
        <v>0.594</v>
      </c>
      <c r="K30" s="36" t="n">
        <f aca="false">Assumptions!$C$43*(1+$C$10)</f>
        <v>0.594</v>
      </c>
      <c r="L30" s="36" t="n">
        <f aca="false">Assumptions!$C$43*(1+$C$10)</f>
        <v>0.594</v>
      </c>
      <c r="M30" s="36" t="n">
        <f aca="false">Assumptions!$C$43*(1+$C$10)</f>
        <v>0.594</v>
      </c>
      <c r="N30" s="36" t="n">
        <f aca="false">Assumptions!$C$43*(1+$C$10)</f>
        <v>0.594</v>
      </c>
      <c r="O30" s="60" t="n">
        <f aca="false">IFERROR(O31/O27,0)</f>
        <v>0.594</v>
      </c>
      <c r="P30" s="60" t="n">
        <f aca="false">IFERROR(P31/P27,0)</f>
        <v>0.594</v>
      </c>
      <c r="Q30" s="8" t="s">
        <v>739</v>
      </c>
      <c r="R30" s="8"/>
    </row>
    <row r="31" customFormat="false" ht="15" hidden="false" customHeight="false" outlineLevel="0" collapsed="false">
      <c r="A31" s="7" t="s">
        <v>22</v>
      </c>
      <c r="B31" s="8" t="s">
        <v>259</v>
      </c>
      <c r="C31" s="30" t="n">
        <f aca="false">C27*C30</f>
        <v>38.0414716218643</v>
      </c>
      <c r="D31" s="30" t="n">
        <f aca="false">D27*D30</f>
        <v>38.8508646350955</v>
      </c>
      <c r="E31" s="30" t="n">
        <f aca="false">E27*E30</f>
        <v>41.279043674789</v>
      </c>
      <c r="F31" s="30" t="n">
        <f aca="false">F27*F30</f>
        <v>40.0649541549422</v>
      </c>
      <c r="G31" s="30" t="n">
        <f aca="false">G27*G30</f>
        <v>40.4696506615578</v>
      </c>
      <c r="H31" s="30" t="n">
        <f aca="false">H27*H30</f>
        <v>41.6837401814045</v>
      </c>
      <c r="I31" s="30" t="n">
        <f aca="false">I27*I30</f>
        <v>41.279043674789</v>
      </c>
      <c r="J31" s="30" t="n">
        <f aca="false">J27*J30</f>
        <v>41.6837401814045</v>
      </c>
      <c r="K31" s="30" t="n">
        <f aca="false">K27*K30</f>
        <v>42.4931331946357</v>
      </c>
      <c r="L31" s="30" t="n">
        <f aca="false">L27*L30</f>
        <v>41.279043674789</v>
      </c>
      <c r="M31" s="30" t="n">
        <f aca="false">M27*M30</f>
        <v>39.6602576483266</v>
      </c>
      <c r="N31" s="30" t="n">
        <f aca="false">N27*N30</f>
        <v>38.8508646350955</v>
      </c>
      <c r="O31" s="42" t="n">
        <f aca="false">SUM(C31:N31)</f>
        <v>485.635807938694</v>
      </c>
      <c r="P31" s="42" t="n">
        <f aca="false">SUM(C31:G31)</f>
        <v>198.705984748249</v>
      </c>
      <c r="Q31" s="8" t="s">
        <v>739</v>
      </c>
      <c r="R31" s="8" t="s">
        <v>626</v>
      </c>
    </row>
    <row r="32" customFormat="false" ht="15" hidden="false" customHeight="false" outlineLevel="0" collapsed="false">
      <c r="A32" s="8" t="s">
        <v>627</v>
      </c>
      <c r="B32" s="8" t="s">
        <v>281</v>
      </c>
      <c r="C32" s="36" t="n">
        <f aca="false">Assumptions!$C$45*(1+$C$13)</f>
        <v>0.1442</v>
      </c>
      <c r="D32" s="36" t="n">
        <f aca="false">Assumptions!$C$45*(1+$C$13)</f>
        <v>0.1442</v>
      </c>
      <c r="E32" s="36" t="n">
        <f aca="false">Assumptions!$C$45*(1+$C$13)</f>
        <v>0.1442</v>
      </c>
      <c r="F32" s="36" t="n">
        <f aca="false">Assumptions!$C$45*(1+$C$13)</f>
        <v>0.1442</v>
      </c>
      <c r="G32" s="36" t="n">
        <f aca="false">Assumptions!$C$45*(1+$C$13)</f>
        <v>0.1442</v>
      </c>
      <c r="H32" s="36" t="n">
        <f aca="false">Assumptions!$C$45*(1+$C$13)</f>
        <v>0.1442</v>
      </c>
      <c r="I32" s="36" t="n">
        <f aca="false">Assumptions!$C$45*(1+$C$13)</f>
        <v>0.1442</v>
      </c>
      <c r="J32" s="36" t="n">
        <f aca="false">Assumptions!$C$45*(1+$C$13)</f>
        <v>0.1442</v>
      </c>
      <c r="K32" s="36" t="n">
        <f aca="false">Assumptions!$C$45*(1+$C$13)</f>
        <v>0.1442</v>
      </c>
      <c r="L32" s="36" t="n">
        <f aca="false">Assumptions!$C$45*(1+$C$13)</f>
        <v>0.1442</v>
      </c>
      <c r="M32" s="36" t="n">
        <f aca="false">Assumptions!$C$45*(1+$C$13)</f>
        <v>0.1442</v>
      </c>
      <c r="N32" s="36" t="n">
        <f aca="false">Assumptions!$C$45*(1+$C$13)</f>
        <v>0.1442</v>
      </c>
      <c r="O32" s="60" t="n">
        <f aca="false">IFERROR(O33/O22,0)</f>
        <v>0.1442</v>
      </c>
      <c r="P32" s="60" t="n">
        <f aca="false">IFERROR(P33/P22,0)</f>
        <v>0.1442</v>
      </c>
      <c r="Q32" s="8" t="s">
        <v>739</v>
      </c>
      <c r="R32" s="8"/>
    </row>
    <row r="33" customFormat="false" ht="15" hidden="false" customHeight="false" outlineLevel="0" collapsed="false">
      <c r="A33" s="8" t="s">
        <v>306</v>
      </c>
      <c r="B33" s="8" t="s">
        <v>259</v>
      </c>
      <c r="C33" s="30" t="n">
        <f aca="false">C22*C32</f>
        <v>9.897888</v>
      </c>
      <c r="D33" s="30" t="n">
        <f aca="false">D22*D32</f>
        <v>9.897888</v>
      </c>
      <c r="E33" s="30" t="n">
        <f aca="false">E22*E32</f>
        <v>9.897888</v>
      </c>
      <c r="F33" s="30" t="n">
        <f aca="false">F22*F32</f>
        <v>9.897888</v>
      </c>
      <c r="G33" s="30" t="n">
        <f aca="false">G22*G32</f>
        <v>9.897888</v>
      </c>
      <c r="H33" s="30" t="n">
        <f aca="false">H22*H32</f>
        <v>9.897888</v>
      </c>
      <c r="I33" s="30" t="n">
        <f aca="false">I22*I32</f>
        <v>9.897888</v>
      </c>
      <c r="J33" s="30" t="n">
        <f aca="false">J22*J32</f>
        <v>9.897888</v>
      </c>
      <c r="K33" s="30" t="n">
        <f aca="false">K22*K32</f>
        <v>9.897888</v>
      </c>
      <c r="L33" s="30" t="n">
        <f aca="false">L22*L32</f>
        <v>9.897888</v>
      </c>
      <c r="M33" s="30" t="n">
        <f aca="false">M22*M32</f>
        <v>9.897888</v>
      </c>
      <c r="N33" s="30" t="n">
        <f aca="false">N22*N32</f>
        <v>9.897888</v>
      </c>
      <c r="O33" s="42" t="n">
        <f aca="false">SUM(C33:N33)</f>
        <v>118.774656</v>
      </c>
      <c r="P33" s="42" t="n">
        <f aca="false">SUM(C33:G33)</f>
        <v>49.48944</v>
      </c>
      <c r="Q33" s="8" t="s">
        <v>739</v>
      </c>
      <c r="R33" s="8" t="s">
        <v>743</v>
      </c>
    </row>
    <row r="34" customFormat="false" ht="15" hidden="false" customHeight="false" outlineLevel="0" collapsed="false">
      <c r="A34" s="8" t="s">
        <v>308</v>
      </c>
      <c r="B34" s="8" t="s">
        <v>259</v>
      </c>
      <c r="C34" s="30" t="n">
        <f aca="false">Assumptions!$C$46</f>
        <v>5.8</v>
      </c>
      <c r="D34" s="30" t="n">
        <f aca="false">Assumptions!$C$46</f>
        <v>5.8</v>
      </c>
      <c r="E34" s="30" t="n">
        <f aca="false">Assumptions!$C$46</f>
        <v>5.8</v>
      </c>
      <c r="F34" s="30" t="n">
        <f aca="false">Assumptions!$C$46</f>
        <v>5.8</v>
      </c>
      <c r="G34" s="30" t="n">
        <f aca="false">Assumptions!$C$46</f>
        <v>5.8</v>
      </c>
      <c r="H34" s="30" t="n">
        <f aca="false">Assumptions!$C$46</f>
        <v>5.8</v>
      </c>
      <c r="I34" s="30" t="n">
        <f aca="false">Assumptions!$C$46</f>
        <v>5.8</v>
      </c>
      <c r="J34" s="30" t="n">
        <f aca="false">Assumptions!$C$46</f>
        <v>5.8</v>
      </c>
      <c r="K34" s="30" t="n">
        <f aca="false">Assumptions!$C$46</f>
        <v>5.8</v>
      </c>
      <c r="L34" s="30" t="n">
        <f aca="false">Assumptions!$C$46</f>
        <v>5.8</v>
      </c>
      <c r="M34" s="30" t="n">
        <f aca="false">Assumptions!$C$46</f>
        <v>5.8</v>
      </c>
      <c r="N34" s="30" t="n">
        <f aca="false">Assumptions!$C$46</f>
        <v>5.8</v>
      </c>
      <c r="O34" s="42" t="n">
        <f aca="false">SUM(C34:N34)</f>
        <v>69.6</v>
      </c>
      <c r="P34" s="42" t="n">
        <f aca="false">SUM(C34:G34)</f>
        <v>29</v>
      </c>
      <c r="Q34" s="8" t="s">
        <v>739</v>
      </c>
      <c r="R34" s="8"/>
    </row>
    <row r="35" customFormat="false" ht="15" hidden="false" customHeight="false" outlineLevel="0" collapsed="false">
      <c r="A35" s="8" t="s">
        <v>630</v>
      </c>
      <c r="B35" s="8" t="s">
        <v>259</v>
      </c>
      <c r="C35" s="30" t="n">
        <f aca="false">C33+C34</f>
        <v>15.697888</v>
      </c>
      <c r="D35" s="30" t="n">
        <f aca="false">D33+D34</f>
        <v>15.697888</v>
      </c>
      <c r="E35" s="30" t="n">
        <f aca="false">E33+E34</f>
        <v>15.697888</v>
      </c>
      <c r="F35" s="30" t="n">
        <f aca="false">F33+F34</f>
        <v>15.697888</v>
      </c>
      <c r="G35" s="30" t="n">
        <f aca="false">G33+G34</f>
        <v>15.697888</v>
      </c>
      <c r="H35" s="30" t="n">
        <f aca="false">H33+H34</f>
        <v>15.697888</v>
      </c>
      <c r="I35" s="30" t="n">
        <f aca="false">I33+I34</f>
        <v>15.697888</v>
      </c>
      <c r="J35" s="30" t="n">
        <f aca="false">J33+J34</f>
        <v>15.697888</v>
      </c>
      <c r="K35" s="30" t="n">
        <f aca="false">K33+K34</f>
        <v>15.697888</v>
      </c>
      <c r="L35" s="30" t="n">
        <f aca="false">L33+L34</f>
        <v>15.697888</v>
      </c>
      <c r="M35" s="30" t="n">
        <f aca="false">M33+M34</f>
        <v>15.697888</v>
      </c>
      <c r="N35" s="30" t="n">
        <f aca="false">N33+N34</f>
        <v>15.697888</v>
      </c>
      <c r="O35" s="42" t="n">
        <f aca="false">SUM(C35:N35)</f>
        <v>188.374656</v>
      </c>
      <c r="P35" s="42" t="n">
        <f aca="false">SUM(C35:G35)</f>
        <v>78.48944</v>
      </c>
      <c r="Q35" s="8" t="s">
        <v>739</v>
      </c>
      <c r="R35" s="8" t="s">
        <v>744</v>
      </c>
    </row>
    <row r="36" customFormat="false" ht="15" hidden="false" customHeight="false" outlineLevel="0" collapsed="false">
      <c r="A36" s="8" t="s">
        <v>316</v>
      </c>
      <c r="B36" s="8" t="s">
        <v>281</v>
      </c>
      <c r="C36" s="36" t="n">
        <f aca="false">IFERROR(C35/C24,0)</f>
        <v>0.240735615261931</v>
      </c>
      <c r="D36" s="36" t="n">
        <f aca="false">IFERROR(D35/D24,0)</f>
        <v>0.240735615261931</v>
      </c>
      <c r="E36" s="36" t="n">
        <f aca="false">IFERROR(E35/E24,0)</f>
        <v>0.240735615261931</v>
      </c>
      <c r="F36" s="36" t="n">
        <f aca="false">IFERROR(F35/F24,0)</f>
        <v>0.240735615261931</v>
      </c>
      <c r="G36" s="36" t="n">
        <f aca="false">IFERROR(G35/G24,0)</f>
        <v>0.240735615261931</v>
      </c>
      <c r="H36" s="36" t="n">
        <f aca="false">IFERROR(H35/H24,0)</f>
        <v>0.240735615261931</v>
      </c>
      <c r="I36" s="36" t="n">
        <f aca="false">IFERROR(I35/I24,0)</f>
        <v>0.240735615261931</v>
      </c>
      <c r="J36" s="36" t="n">
        <f aca="false">IFERROR(J35/J24,0)</f>
        <v>0.240735615261931</v>
      </c>
      <c r="K36" s="36" t="n">
        <f aca="false">IFERROR(K35/K24,0)</f>
        <v>0.240735615261931</v>
      </c>
      <c r="L36" s="36" t="n">
        <f aca="false">IFERROR(L35/L24,0)</f>
        <v>0.240735615261931</v>
      </c>
      <c r="M36" s="36" t="n">
        <f aca="false">IFERROR(M35/M24,0)</f>
        <v>0.240735615261931</v>
      </c>
      <c r="N36" s="36" t="n">
        <f aca="false">IFERROR(N35/N24,0)</f>
        <v>0.240735615261931</v>
      </c>
      <c r="O36" s="60" t="n">
        <f aca="false">IFERROR(O35/O24,0)</f>
        <v>0.240735615261931</v>
      </c>
      <c r="P36" s="60" t="n">
        <f aca="false">IFERROR(P35/P24,0)</f>
        <v>0.240735615261931</v>
      </c>
      <c r="Q36" s="8" t="s">
        <v>739</v>
      </c>
      <c r="R36" s="8"/>
    </row>
    <row r="37" customFormat="false" ht="15" hidden="false" customHeight="false" outlineLevel="0" collapsed="false">
      <c r="A37" s="8" t="s">
        <v>632</v>
      </c>
      <c r="B37" s="8" t="s">
        <v>259</v>
      </c>
      <c r="C37" s="30" t="n">
        <f aca="false">Assumptions!$C$69</f>
        <v>14.3814678387081</v>
      </c>
      <c r="D37" s="30" t="n">
        <f aca="false">C40</f>
        <v>14.4735703661365</v>
      </c>
      <c r="E37" s="30" t="n">
        <f aca="false">D40</f>
        <v>14.334316986399</v>
      </c>
      <c r="F37" s="30" t="n">
        <f aca="false">E40</f>
        <v>13.2563159533709</v>
      </c>
      <c r="G37" s="30" t="n">
        <f aca="false">F40</f>
        <v>12.6961535235771</v>
      </c>
      <c r="H37" s="30" t="n">
        <f aca="false">G40</f>
        <v>11.9832639057225</v>
      </c>
      <c r="I37" s="30" t="n">
        <f aca="false">H40</f>
        <v>10.7834761027017</v>
      </c>
      <c r="J37" s="30" t="n">
        <f aca="false">I40</f>
        <v>9.75017340557946</v>
      </c>
      <c r="K37" s="30" t="n">
        <f aca="false">J40</f>
        <v>8.55387900681042</v>
      </c>
      <c r="L37" s="30" t="n">
        <f aca="false">K40</f>
        <v>7.02996826251124</v>
      </c>
      <c r="M37" s="30" t="n">
        <f aca="false">L40</f>
        <v>5.99826466593034</v>
      </c>
      <c r="N37" s="30" t="n">
        <f aca="false">M40</f>
        <v>5.62267197278775</v>
      </c>
      <c r="O37" s="42" t="n">
        <f aca="false">C37</f>
        <v>14.3814678387081</v>
      </c>
      <c r="P37" s="42" t="n">
        <f aca="false">C37</f>
        <v>14.3814678387081</v>
      </c>
      <c r="Q37" s="8" t="s">
        <v>739</v>
      </c>
      <c r="R37" s="8"/>
    </row>
    <row r="38" customFormat="false" ht="15" hidden="false" customHeight="false" outlineLevel="0" collapsed="false">
      <c r="A38" s="8" t="s">
        <v>634</v>
      </c>
      <c r="B38" s="8" t="s">
        <v>281</v>
      </c>
      <c r="C38" s="36" t="n">
        <f aca="false">IFERROR((C37+C35)/C26,0)</f>
        <v>0.24367712855198</v>
      </c>
      <c r="D38" s="36" t="n">
        <f aca="false">IFERROR((D37+D35)/D26,0)</f>
        <v>0.24213777654426</v>
      </c>
      <c r="E38" s="36" t="n">
        <f aca="false">IFERROR((E37+E35)/E26,0)</f>
        <v>0.241402832975627</v>
      </c>
      <c r="F38" s="36" t="n">
        <f aca="false">IFERROR((F37+F35)/F26,0)</f>
        <v>0.241040634115046</v>
      </c>
      <c r="G38" s="36" t="n">
        <f aca="false">IFERROR((G37+G35)/G26,0)</f>
        <v>0.240871906370699</v>
      </c>
      <c r="H38" s="36" t="n">
        <f aca="false">IFERROR((H37+H35)/H26,0)</f>
        <v>0.240794597205364</v>
      </c>
      <c r="I38" s="36" t="n">
        <f aca="false">IFERROR((I37+I35)/I26,0)</f>
        <v>0.24075962981091</v>
      </c>
      <c r="J38" s="36" t="n">
        <f aca="false">IFERROR((J37+J35)/J26,0)</f>
        <v>0.240744815633065</v>
      </c>
      <c r="K38" s="36" t="n">
        <f aca="false">IFERROR((K37+K35)/K26,0)</f>
        <v>0.240738860259076</v>
      </c>
      <c r="L38" s="36" t="n">
        <f aca="false">IFERROR((L37+L35)/L26,0)</f>
        <v>0.240736618964801</v>
      </c>
      <c r="M38" s="36" t="n">
        <f aca="false">IFERROR((M37+M35)/M26,0)</f>
        <v>0.240735892751558</v>
      </c>
      <c r="N38" s="36" t="n">
        <f aca="false">IFERROR((N37+N35)/N26,0)</f>
        <v>0.240735688441614</v>
      </c>
      <c r="Q38" s="8" t="s">
        <v>739</v>
      </c>
      <c r="R38" s="8" t="s">
        <v>745</v>
      </c>
    </row>
    <row r="39" customFormat="false" ht="15" hidden="false" customHeight="false" outlineLevel="0" collapsed="false">
      <c r="A39" s="8" t="s">
        <v>746</v>
      </c>
      <c r="B39" s="8" t="s">
        <v>259</v>
      </c>
      <c r="C39" s="30" t="n">
        <f aca="false">C27*C38</f>
        <v>15.6057854725716</v>
      </c>
      <c r="D39" s="30" t="n">
        <f aca="false">D27*D38</f>
        <v>15.8371413797374</v>
      </c>
      <c r="E39" s="30" t="n">
        <f aca="false">E27*E38</f>
        <v>16.7758890330281</v>
      </c>
      <c r="F39" s="30" t="n">
        <f aca="false">F27*F38</f>
        <v>16.2580504297938</v>
      </c>
      <c r="G39" s="30" t="n">
        <f aca="false">G27*G38</f>
        <v>16.4107776178546</v>
      </c>
      <c r="H39" s="30" t="n">
        <f aca="false">H27*H38</f>
        <v>16.8976758030208</v>
      </c>
      <c r="I39" s="30" t="n">
        <f aca="false">I27*I38</f>
        <v>16.7311906971222</v>
      </c>
      <c r="J39" s="30" t="n">
        <f aca="false">J27*J38</f>
        <v>16.894182398769</v>
      </c>
      <c r="K39" s="30" t="n">
        <f aca="false">K27*K38</f>
        <v>17.2217987442992</v>
      </c>
      <c r="L39" s="30" t="n">
        <f aca="false">L27*L38</f>
        <v>16.7295915965809</v>
      </c>
      <c r="M39" s="30" t="n">
        <f aca="false">M27*M38</f>
        <v>16.0734806931426</v>
      </c>
      <c r="N39" s="30" t="n">
        <f aca="false">N27*N38</f>
        <v>15.745437111922</v>
      </c>
      <c r="O39" s="42" t="n">
        <f aca="false">SUM(C39:N39)</f>
        <v>197.181000977842</v>
      </c>
      <c r="P39" s="42" t="n">
        <f aca="false">SUM(C39:G39)</f>
        <v>80.8876439329856</v>
      </c>
      <c r="Q39" s="8" t="s">
        <v>739</v>
      </c>
      <c r="R39" s="8" t="s">
        <v>636</v>
      </c>
    </row>
    <row r="40" customFormat="false" ht="15" hidden="false" customHeight="false" outlineLevel="0" collapsed="false">
      <c r="A40" s="8" t="s">
        <v>637</v>
      </c>
      <c r="B40" s="8" t="s">
        <v>259</v>
      </c>
      <c r="C40" s="30" t="n">
        <f aca="false">C37+C35-C39</f>
        <v>14.4735703661365</v>
      </c>
      <c r="D40" s="30" t="n">
        <f aca="false">D37+D35-D39</f>
        <v>14.334316986399</v>
      </c>
      <c r="E40" s="30" t="n">
        <f aca="false">E37+E35-E39</f>
        <v>13.2563159533709</v>
      </c>
      <c r="F40" s="30" t="n">
        <f aca="false">F37+F35-F39</f>
        <v>12.6961535235771</v>
      </c>
      <c r="G40" s="30" t="n">
        <f aca="false">G37+G35-G39</f>
        <v>11.9832639057225</v>
      </c>
      <c r="H40" s="30" t="n">
        <f aca="false">H37+H35-H39</f>
        <v>10.7834761027017</v>
      </c>
      <c r="I40" s="30" t="n">
        <f aca="false">I37+I35-I39</f>
        <v>9.75017340557946</v>
      </c>
      <c r="J40" s="30" t="n">
        <f aca="false">J37+J35-J39</f>
        <v>8.55387900681042</v>
      </c>
      <c r="K40" s="30" t="n">
        <f aca="false">K37+K35-K39</f>
        <v>7.02996826251124</v>
      </c>
      <c r="L40" s="30" t="n">
        <f aca="false">L37+L35-L39</f>
        <v>5.99826466593034</v>
      </c>
      <c r="M40" s="30" t="n">
        <f aca="false">M37+M35-M39</f>
        <v>5.62267197278775</v>
      </c>
      <c r="N40" s="30" t="n">
        <f aca="false">N37+N35-N39</f>
        <v>5.57512286086575</v>
      </c>
      <c r="O40" s="42" t="n">
        <f aca="false">N40</f>
        <v>5.57512286086575</v>
      </c>
      <c r="P40" s="42" t="n">
        <f aca="false">G40</f>
        <v>11.9832639057225</v>
      </c>
      <c r="Q40" s="8" t="s">
        <v>739</v>
      </c>
      <c r="R40" s="8" t="s">
        <v>747</v>
      </c>
    </row>
    <row r="41" customFormat="false" ht="15" hidden="false" customHeight="false" outlineLevel="0" collapsed="false">
      <c r="A41" s="7" t="s">
        <v>748</v>
      </c>
      <c r="B41" s="8" t="s">
        <v>259</v>
      </c>
      <c r="C41" s="30" t="n">
        <f aca="false">C31-C39</f>
        <v>22.4356861492927</v>
      </c>
      <c r="D41" s="30" t="n">
        <f aca="false">D31-D39</f>
        <v>23.013723255358</v>
      </c>
      <c r="E41" s="30" t="n">
        <f aca="false">E31-E39</f>
        <v>24.5031546417608</v>
      </c>
      <c r="F41" s="30" t="n">
        <f aca="false">F31-F39</f>
        <v>23.8069037251484</v>
      </c>
      <c r="G41" s="30" t="n">
        <f aca="false">G31-G39</f>
        <v>24.0588730437032</v>
      </c>
      <c r="H41" s="30" t="n">
        <f aca="false">H31-H39</f>
        <v>24.7860643783837</v>
      </c>
      <c r="I41" s="30" t="n">
        <f aca="false">I31-I39</f>
        <v>24.5478529776668</v>
      </c>
      <c r="J41" s="30" t="n">
        <f aca="false">J31-J39</f>
        <v>24.7895577826355</v>
      </c>
      <c r="K41" s="30" t="n">
        <f aca="false">K31-K39</f>
        <v>25.2713344503365</v>
      </c>
      <c r="L41" s="30" t="n">
        <f aca="false">L31-L39</f>
        <v>24.5494520782081</v>
      </c>
      <c r="M41" s="30" t="n">
        <f aca="false">M31-M39</f>
        <v>23.586776955184</v>
      </c>
      <c r="N41" s="30" t="n">
        <f aca="false">N31-N39</f>
        <v>23.1054275231735</v>
      </c>
      <c r="O41" s="42" t="n">
        <f aca="false">SUM(C41:N41)</f>
        <v>288.454806960851</v>
      </c>
      <c r="P41" s="42" t="n">
        <f aca="false">SUM(C41:G41)</f>
        <v>117.818340815263</v>
      </c>
      <c r="Q41" s="8" t="s">
        <v>739</v>
      </c>
      <c r="R41" s="8" t="s">
        <v>313</v>
      </c>
    </row>
    <row r="42" customFormat="false" ht="15" hidden="false" customHeight="false" outlineLevel="0" collapsed="false">
      <c r="A42" s="8" t="s">
        <v>314</v>
      </c>
      <c r="B42" s="8" t="s">
        <v>226</v>
      </c>
      <c r="C42" s="35" t="n">
        <f aca="false">IFERROR(C41/C31,0)</f>
        <v>0.589769143851885</v>
      </c>
      <c r="D42" s="35" t="n">
        <f aca="false">IFERROR(D41/D31,0)</f>
        <v>0.592360645548384</v>
      </c>
      <c r="E42" s="35" t="n">
        <f aca="false">IFERROR(E41/E31,0)</f>
        <v>0.593597924283455</v>
      </c>
      <c r="F42" s="35" t="n">
        <f aca="false">IFERROR(F41/F31,0)</f>
        <v>0.594207686675006</v>
      </c>
      <c r="G42" s="35" t="n">
        <f aca="false">IFERROR(G41/G31,0)</f>
        <v>0.594491740116669</v>
      </c>
      <c r="H42" s="35" t="n">
        <f aca="false">IFERROR(H41/H31,0)</f>
        <v>0.594621890226659</v>
      </c>
      <c r="I42" s="35" t="n">
        <f aca="false">IFERROR(I41/I31,0)</f>
        <v>0.594680757894091</v>
      </c>
      <c r="J42" s="35" t="n">
        <f aca="false">IFERROR(J41/J31,0)</f>
        <v>0.594705697587433</v>
      </c>
      <c r="K42" s="35" t="n">
        <f aca="false">IFERROR(K41/K31,0)</f>
        <v>0.594715723469569</v>
      </c>
      <c r="L42" s="35" t="n">
        <f aca="false">IFERROR(L41/L31,0)</f>
        <v>0.594719496692254</v>
      </c>
      <c r="M42" s="35" t="n">
        <f aca="false">IFERROR(M41/M31,0)</f>
        <v>0.594720719273472</v>
      </c>
      <c r="N42" s="35" t="n">
        <f aca="false">IFERROR(N41/N31,0)</f>
        <v>0.594721063229606</v>
      </c>
      <c r="O42" s="57" t="n">
        <f aca="false">IFERROR(O41/O31,0)</f>
        <v>0.593973513166611</v>
      </c>
      <c r="P42" s="57" t="n">
        <f aca="false">IFERROR(P41/P31,0)</f>
        <v>0.592927993409627</v>
      </c>
      <c r="Q42" s="8" t="s">
        <v>739</v>
      </c>
      <c r="R42" s="8"/>
    </row>
    <row r="44" customFormat="false" ht="15" hidden="false" customHeight="false" outlineLevel="0" collapsed="false">
      <c r="A44" s="16" t="s">
        <v>749</v>
      </c>
      <c r="B44" s="17"/>
      <c r="C44" s="17"/>
      <c r="D44" s="17"/>
      <c r="E44" s="17"/>
      <c r="F44" s="17"/>
      <c r="G44" s="17"/>
      <c r="H44" s="17"/>
      <c r="I44" s="17"/>
      <c r="J44" s="17"/>
      <c r="K44" s="17"/>
      <c r="L44" s="17"/>
      <c r="M44" s="17"/>
      <c r="N44" s="17"/>
      <c r="O44" s="17"/>
      <c r="P44" s="17"/>
      <c r="Q44" s="17"/>
      <c r="R44" s="17"/>
    </row>
    <row r="45" customFormat="false" ht="15" hidden="false" customHeight="false" outlineLevel="0" collapsed="false">
      <c r="A45" s="8" t="s">
        <v>604</v>
      </c>
      <c r="B45" s="8" t="s">
        <v>300</v>
      </c>
      <c r="C45" s="34" t="n">
        <f aca="false">Assumptions!$D$52*(1+$C$9+Assumptions!$D$48)*Assumptions!C$73/12</f>
        <v>40.4481356957622</v>
      </c>
      <c r="D45" s="34" t="n">
        <f aca="false">Assumptions!$D$52*(1+$C$9+Assumptions!$D$48)*Assumptions!D$73/12</f>
        <v>41.3087343275869</v>
      </c>
      <c r="E45" s="34" t="n">
        <f aca="false">Assumptions!$D$52*(1+$C$9+Assumptions!$D$48)*Assumptions!E$73/12</f>
        <v>43.8905302230611</v>
      </c>
      <c r="F45" s="34" t="n">
        <f aca="false">Assumptions!$D$52*(1+$C$9+Assumptions!$D$48)*Assumptions!F$73/12</f>
        <v>42.599632275324</v>
      </c>
      <c r="G45" s="34" t="n">
        <f aca="false">Assumptions!$D$52*(1+$C$9+Assumptions!$D$48)*Assumptions!G$73/12</f>
        <v>43.0299315912364</v>
      </c>
      <c r="H45" s="34" t="n">
        <f aca="false">Assumptions!$D$52*(1+$C$9+Assumptions!$D$48)*Assumptions!H$73/12</f>
        <v>44.3208295389735</v>
      </c>
      <c r="I45" s="34" t="n">
        <f aca="false">Assumptions!$D$52*(1+$C$9+Assumptions!$D$48)*Assumptions!I$73/12</f>
        <v>43.8905302230611</v>
      </c>
      <c r="J45" s="34" t="n">
        <f aca="false">Assumptions!$D$52*(1+$C$9+Assumptions!$D$48)*Assumptions!J$73/12</f>
        <v>44.3208295389735</v>
      </c>
      <c r="K45" s="34" t="n">
        <f aca="false">Assumptions!$D$52*(1+$C$9+Assumptions!$D$48)*Assumptions!K$73/12</f>
        <v>45.1814281707982</v>
      </c>
      <c r="L45" s="34" t="n">
        <f aca="false">Assumptions!$D$52*(1+$C$9+Assumptions!$D$48)*Assumptions!L$73/12</f>
        <v>43.8905302230611</v>
      </c>
      <c r="M45" s="34" t="n">
        <f aca="false">Assumptions!$D$52*(1+$C$9+Assumptions!$D$48)*Assumptions!M$73/12</f>
        <v>42.1693329594116</v>
      </c>
      <c r="N45" s="34" t="n">
        <f aca="false">Assumptions!$D$52*(1+$C$9+Assumptions!$D$48)*Assumptions!N$73/12</f>
        <v>41.3087343275869</v>
      </c>
      <c r="O45" s="56" t="n">
        <f aca="false">SUM(C45:N45)</f>
        <v>516.359179094837</v>
      </c>
      <c r="P45" s="56" t="n">
        <f aca="false">SUM(C45:G45)</f>
        <v>211.276964112971</v>
      </c>
      <c r="Q45" s="8" t="s">
        <v>739</v>
      </c>
      <c r="R45" s="8"/>
    </row>
    <row r="46" customFormat="false" ht="15" hidden="false" customHeight="false" outlineLevel="0" collapsed="false">
      <c r="A46" s="8" t="s">
        <v>290</v>
      </c>
      <c r="B46" s="8" t="s">
        <v>300</v>
      </c>
      <c r="C46" s="34" t="n">
        <f aca="false">Assumptions!$D$47</f>
        <v>60</v>
      </c>
      <c r="D46" s="34" t="n">
        <f aca="false">Assumptions!$D$47</f>
        <v>60</v>
      </c>
      <c r="E46" s="34" t="n">
        <f aca="false">Assumptions!$D$47</f>
        <v>60</v>
      </c>
      <c r="F46" s="34" t="n">
        <f aca="false">Assumptions!$D$47</f>
        <v>60</v>
      </c>
      <c r="G46" s="34" t="n">
        <f aca="false">Assumptions!$D$47</f>
        <v>60</v>
      </c>
      <c r="H46" s="34" t="n">
        <f aca="false">Assumptions!$D$47</f>
        <v>60</v>
      </c>
      <c r="I46" s="34" t="n">
        <f aca="false">Assumptions!$D$47</f>
        <v>60</v>
      </c>
      <c r="J46" s="34" t="n">
        <f aca="false">Assumptions!$D$47</f>
        <v>60</v>
      </c>
      <c r="K46" s="34" t="n">
        <f aca="false">Assumptions!$D$47</f>
        <v>60</v>
      </c>
      <c r="L46" s="34" t="n">
        <f aca="false">Assumptions!$D$47</f>
        <v>60</v>
      </c>
      <c r="M46" s="34" t="n">
        <f aca="false">Assumptions!$D$47</f>
        <v>60</v>
      </c>
      <c r="N46" s="34" t="n">
        <f aca="false">Assumptions!$D$47</f>
        <v>60</v>
      </c>
      <c r="O46" s="56" t="n">
        <f aca="false">SUM(C46:N46)</f>
        <v>720</v>
      </c>
      <c r="P46" s="56" t="n">
        <f aca="false">SUM(C46:G46)</f>
        <v>300</v>
      </c>
      <c r="Q46" s="8" t="s">
        <v>739</v>
      </c>
      <c r="R46" s="8"/>
    </row>
    <row r="47" customFormat="false" ht="15" hidden="false" customHeight="false" outlineLevel="0" collapsed="false">
      <c r="A47" s="8" t="s">
        <v>607</v>
      </c>
      <c r="B47" s="8" t="s">
        <v>226</v>
      </c>
      <c r="C47" s="35" t="n">
        <f aca="false">$C$12</f>
        <v>0.78</v>
      </c>
      <c r="D47" s="35" t="n">
        <f aca="false">$C$12</f>
        <v>0.78</v>
      </c>
      <c r="E47" s="35" t="n">
        <f aca="false">$C$12</f>
        <v>0.78</v>
      </c>
      <c r="F47" s="35" t="n">
        <f aca="false">$C$12</f>
        <v>0.78</v>
      </c>
      <c r="G47" s="35" t="n">
        <f aca="false">$C$12</f>
        <v>0.78</v>
      </c>
      <c r="H47" s="35" t="n">
        <f aca="false">$C$12</f>
        <v>0.78</v>
      </c>
      <c r="I47" s="35" t="n">
        <f aca="false">$C$12</f>
        <v>0.78</v>
      </c>
      <c r="J47" s="35" t="n">
        <f aca="false">$C$12</f>
        <v>0.78</v>
      </c>
      <c r="K47" s="35" t="n">
        <f aca="false">$C$12</f>
        <v>0.78</v>
      </c>
      <c r="L47" s="35" t="n">
        <f aca="false">$C$12</f>
        <v>0.78</v>
      </c>
      <c r="M47" s="35" t="n">
        <f aca="false">$C$12</f>
        <v>0.78</v>
      </c>
      <c r="N47" s="35" t="n">
        <f aca="false">$C$12</f>
        <v>0.78</v>
      </c>
      <c r="O47" s="57" t="n">
        <f aca="false">IFERROR(O48/O46,0)</f>
        <v>0.78</v>
      </c>
      <c r="P47" s="57" t="n">
        <f aca="false">IFERROR(P48/P46,0)</f>
        <v>0.78</v>
      </c>
      <c r="Q47" s="8" t="s">
        <v>739</v>
      </c>
      <c r="R47" s="8"/>
    </row>
    <row r="48" customFormat="false" ht="15" hidden="false" customHeight="false" outlineLevel="0" collapsed="false">
      <c r="A48" s="8" t="s">
        <v>302</v>
      </c>
      <c r="B48" s="8" t="s">
        <v>300</v>
      </c>
      <c r="C48" s="34" t="n">
        <f aca="false">C46*C47</f>
        <v>46.8</v>
      </c>
      <c r="D48" s="34" t="n">
        <f aca="false">D46*D47</f>
        <v>46.8</v>
      </c>
      <c r="E48" s="34" t="n">
        <f aca="false">E46*E47</f>
        <v>46.8</v>
      </c>
      <c r="F48" s="34" t="n">
        <f aca="false">F46*F47</f>
        <v>46.8</v>
      </c>
      <c r="G48" s="34" t="n">
        <f aca="false">G46*G47</f>
        <v>46.8</v>
      </c>
      <c r="H48" s="34" t="n">
        <f aca="false">H46*H47</f>
        <v>46.8</v>
      </c>
      <c r="I48" s="34" t="n">
        <f aca="false">I46*I47</f>
        <v>46.8</v>
      </c>
      <c r="J48" s="34" t="n">
        <f aca="false">J46*J47</f>
        <v>46.8</v>
      </c>
      <c r="K48" s="34" t="n">
        <f aca="false">K46*K47</f>
        <v>46.8</v>
      </c>
      <c r="L48" s="34" t="n">
        <f aca="false">L46*L47</f>
        <v>46.8</v>
      </c>
      <c r="M48" s="34" t="n">
        <f aca="false">M46*M47</f>
        <v>46.8</v>
      </c>
      <c r="N48" s="34" t="n">
        <f aca="false">N46*N47</f>
        <v>46.8</v>
      </c>
      <c r="O48" s="56" t="n">
        <f aca="false">SUM(C48:N48)</f>
        <v>561.6</v>
      </c>
      <c r="P48" s="56" t="n">
        <f aca="false">SUM(C48:G48)</f>
        <v>234</v>
      </c>
      <c r="Q48" s="8" t="s">
        <v>739</v>
      </c>
      <c r="R48" s="8" t="s">
        <v>609</v>
      </c>
    </row>
    <row r="49" customFormat="false" ht="15" hidden="false" customHeight="false" outlineLevel="0" collapsed="false">
      <c r="A49" s="8" t="s">
        <v>610</v>
      </c>
      <c r="B49" s="8" t="s">
        <v>226</v>
      </c>
      <c r="C49" s="35" t="n">
        <f aca="false">MIN(1,MAX(0,Assumptions!$D$44+$C$11))</f>
        <v>0.93</v>
      </c>
      <c r="D49" s="35" t="n">
        <f aca="false">MIN(1,MAX(0,Assumptions!$D$44+$C$11))</f>
        <v>0.93</v>
      </c>
      <c r="E49" s="35" t="n">
        <f aca="false">MIN(1,MAX(0,Assumptions!$D$44+$C$11))</f>
        <v>0.93</v>
      </c>
      <c r="F49" s="35" t="n">
        <f aca="false">MIN(1,MAX(0,Assumptions!$D$44+$C$11))</f>
        <v>0.93</v>
      </c>
      <c r="G49" s="35" t="n">
        <f aca="false">MIN(1,MAX(0,Assumptions!$D$44+$C$11))</f>
        <v>0.93</v>
      </c>
      <c r="H49" s="35" t="n">
        <f aca="false">MIN(1,MAX(0,Assumptions!$D$44+$C$11))</f>
        <v>0.93</v>
      </c>
      <c r="I49" s="35" t="n">
        <f aca="false">MIN(1,MAX(0,Assumptions!$D$44+$C$11))</f>
        <v>0.93</v>
      </c>
      <c r="J49" s="35" t="n">
        <f aca="false">MIN(1,MAX(0,Assumptions!$D$44+$C$11))</f>
        <v>0.93</v>
      </c>
      <c r="K49" s="35" t="n">
        <f aca="false">MIN(1,MAX(0,Assumptions!$D$44+$C$11))</f>
        <v>0.93</v>
      </c>
      <c r="L49" s="35" t="n">
        <f aca="false">MIN(1,MAX(0,Assumptions!$D$44+$C$11))</f>
        <v>0.93</v>
      </c>
      <c r="M49" s="35" t="n">
        <f aca="false">MIN(1,MAX(0,Assumptions!$D$44+$C$11))</f>
        <v>0.93</v>
      </c>
      <c r="N49" s="35" t="n">
        <f aca="false">MIN(1,MAX(0,Assumptions!$D$44+$C$11))</f>
        <v>0.93</v>
      </c>
      <c r="O49" s="57" t="n">
        <f aca="false">IFERROR(O50/O48,0)</f>
        <v>0.93</v>
      </c>
      <c r="P49" s="57" t="n">
        <f aca="false">IFERROR(P50/P48,0)</f>
        <v>0.93</v>
      </c>
      <c r="Q49" s="8" t="s">
        <v>739</v>
      </c>
      <c r="R49" s="8"/>
    </row>
    <row r="50" customFormat="false" ht="15" hidden="false" customHeight="false" outlineLevel="0" collapsed="false">
      <c r="A50" s="8" t="s">
        <v>612</v>
      </c>
      <c r="B50" s="8" t="s">
        <v>300</v>
      </c>
      <c r="C50" s="34" t="n">
        <f aca="false">C48*C49</f>
        <v>43.524</v>
      </c>
      <c r="D50" s="34" t="n">
        <f aca="false">D48*D49</f>
        <v>43.524</v>
      </c>
      <c r="E50" s="34" t="n">
        <f aca="false">E48*E49</f>
        <v>43.524</v>
      </c>
      <c r="F50" s="34" t="n">
        <f aca="false">F48*F49</f>
        <v>43.524</v>
      </c>
      <c r="G50" s="34" t="n">
        <f aca="false">G48*G49</f>
        <v>43.524</v>
      </c>
      <c r="H50" s="34" t="n">
        <f aca="false">H48*H49</f>
        <v>43.524</v>
      </c>
      <c r="I50" s="34" t="n">
        <f aca="false">I48*I49</f>
        <v>43.524</v>
      </c>
      <c r="J50" s="34" t="n">
        <f aca="false">J48*J49</f>
        <v>43.524</v>
      </c>
      <c r="K50" s="34" t="n">
        <f aca="false">K48*K49</f>
        <v>43.524</v>
      </c>
      <c r="L50" s="34" t="n">
        <f aca="false">L48*L49</f>
        <v>43.524</v>
      </c>
      <c r="M50" s="34" t="n">
        <f aca="false">M48*M49</f>
        <v>43.524</v>
      </c>
      <c r="N50" s="34" t="n">
        <f aca="false">N48*N49</f>
        <v>43.524</v>
      </c>
      <c r="O50" s="56" t="n">
        <f aca="false">SUM(C50:N50)</f>
        <v>522.288</v>
      </c>
      <c r="P50" s="56" t="n">
        <f aca="false">SUM(C50:G50)</f>
        <v>217.62</v>
      </c>
      <c r="Q50" s="8" t="s">
        <v>739</v>
      </c>
      <c r="R50" s="8" t="s">
        <v>613</v>
      </c>
    </row>
    <row r="51" customFormat="false" ht="15" hidden="false" customHeight="false" outlineLevel="0" collapsed="false">
      <c r="A51" s="8" t="s">
        <v>357</v>
      </c>
      <c r="B51" s="8" t="s">
        <v>300</v>
      </c>
      <c r="C51" s="34" t="n">
        <f aca="false">Assumptions!$D$68</f>
        <v>36.777719308749</v>
      </c>
      <c r="D51" s="34" t="n">
        <f aca="false">C54</f>
        <v>39.8535836129869</v>
      </c>
      <c r="E51" s="34" t="n">
        <f aca="false">D54</f>
        <v>42.0688492854</v>
      </c>
      <c r="F51" s="34" t="n">
        <f aca="false">E54</f>
        <v>41.7023190623389</v>
      </c>
      <c r="G51" s="34" t="n">
        <f aca="false">F54</f>
        <v>42.6266867870149</v>
      </c>
      <c r="H51" s="34" t="n">
        <f aca="false">G54</f>
        <v>43.1207551957785</v>
      </c>
      <c r="I51" s="34" t="n">
        <f aca="false">H54</f>
        <v>42.3239256568051</v>
      </c>
      <c r="J51" s="34" t="n">
        <f aca="false">I54</f>
        <v>41.957395433744</v>
      </c>
      <c r="K51" s="34" t="n">
        <f aca="false">J54</f>
        <v>41.1605658947705</v>
      </c>
      <c r="L51" s="34" t="n">
        <f aca="false">K54</f>
        <v>39.5031377239723</v>
      </c>
      <c r="M51" s="34" t="n">
        <f aca="false">L54</f>
        <v>39.1366075009112</v>
      </c>
      <c r="N51" s="34" t="n">
        <f aca="false">M54</f>
        <v>40.4912745414996</v>
      </c>
      <c r="O51" s="56" t="n">
        <f aca="false">C51</f>
        <v>36.777719308749</v>
      </c>
      <c r="P51" s="56" t="n">
        <f aca="false">C51</f>
        <v>36.777719308749</v>
      </c>
      <c r="Q51" s="8" t="s">
        <v>739</v>
      </c>
      <c r="R51" s="8"/>
    </row>
    <row r="52" customFormat="false" ht="15" hidden="false" customHeight="false" outlineLevel="0" collapsed="false">
      <c r="A52" s="8" t="s">
        <v>615</v>
      </c>
      <c r="B52" s="8" t="s">
        <v>300</v>
      </c>
      <c r="C52" s="34" t="n">
        <f aca="false">C51+C50</f>
        <v>80.301719308749</v>
      </c>
      <c r="D52" s="34" t="n">
        <f aca="false">D51+D50</f>
        <v>83.3775836129869</v>
      </c>
      <c r="E52" s="34" t="n">
        <f aca="false">E51+E50</f>
        <v>85.5928492854</v>
      </c>
      <c r="F52" s="34" t="n">
        <f aca="false">F51+F50</f>
        <v>85.2263190623389</v>
      </c>
      <c r="G52" s="34" t="n">
        <f aca="false">G51+G50</f>
        <v>86.1506867870149</v>
      </c>
      <c r="H52" s="34" t="n">
        <f aca="false">H51+H50</f>
        <v>86.6447551957785</v>
      </c>
      <c r="I52" s="34" t="n">
        <f aca="false">I51+I50</f>
        <v>85.8479256568051</v>
      </c>
      <c r="J52" s="34" t="n">
        <f aca="false">J51+J50</f>
        <v>85.481395433744</v>
      </c>
      <c r="K52" s="34" t="n">
        <f aca="false">K51+K50</f>
        <v>84.6845658947705</v>
      </c>
      <c r="L52" s="34" t="n">
        <f aca="false">L51+L50</f>
        <v>83.0271377239723</v>
      </c>
      <c r="M52" s="34" t="n">
        <f aca="false">M51+M50</f>
        <v>82.6606075009112</v>
      </c>
      <c r="N52" s="34" t="n">
        <f aca="false">N51+N50</f>
        <v>84.0152745414996</v>
      </c>
      <c r="Q52" s="8" t="s">
        <v>739</v>
      </c>
      <c r="R52" s="8"/>
    </row>
    <row r="53" customFormat="false" ht="15" hidden="false" customHeight="false" outlineLevel="0" collapsed="false">
      <c r="A53" s="7" t="s">
        <v>299</v>
      </c>
      <c r="B53" s="8" t="s">
        <v>300</v>
      </c>
      <c r="C53" s="34" t="n">
        <f aca="false">MIN(C45,C52)</f>
        <v>40.4481356957622</v>
      </c>
      <c r="D53" s="34" t="n">
        <f aca="false">MIN(D45,D52)</f>
        <v>41.3087343275869</v>
      </c>
      <c r="E53" s="34" t="n">
        <f aca="false">MIN(E45,E52)</f>
        <v>43.8905302230611</v>
      </c>
      <c r="F53" s="34" t="n">
        <f aca="false">MIN(F45,F52)</f>
        <v>42.599632275324</v>
      </c>
      <c r="G53" s="34" t="n">
        <f aca="false">MIN(G45,G52)</f>
        <v>43.0299315912364</v>
      </c>
      <c r="H53" s="34" t="n">
        <f aca="false">MIN(H45,H52)</f>
        <v>44.3208295389735</v>
      </c>
      <c r="I53" s="34" t="n">
        <f aca="false">MIN(I45,I52)</f>
        <v>43.8905302230611</v>
      </c>
      <c r="J53" s="34" t="n">
        <f aca="false">MIN(J45,J52)</f>
        <v>44.3208295389735</v>
      </c>
      <c r="K53" s="34" t="n">
        <f aca="false">MIN(K45,K52)</f>
        <v>45.1814281707982</v>
      </c>
      <c r="L53" s="34" t="n">
        <f aca="false">MIN(L45,L52)</f>
        <v>43.8905302230611</v>
      </c>
      <c r="M53" s="34" t="n">
        <f aca="false">MIN(M45,M52)</f>
        <v>42.1693329594116</v>
      </c>
      <c r="N53" s="34" t="n">
        <f aca="false">MIN(N45,N52)</f>
        <v>41.3087343275869</v>
      </c>
      <c r="O53" s="56" t="n">
        <f aca="false">SUM(C53:N53)</f>
        <v>516.359179094837</v>
      </c>
      <c r="P53" s="56" t="n">
        <f aca="false">SUM(C53:G53)</f>
        <v>211.276964112971</v>
      </c>
      <c r="Q53" s="8" t="s">
        <v>739</v>
      </c>
      <c r="R53" s="8" t="s">
        <v>740</v>
      </c>
    </row>
    <row r="54" customFormat="false" ht="15" hidden="false" customHeight="false" outlineLevel="0" collapsed="false">
      <c r="A54" s="8" t="s">
        <v>618</v>
      </c>
      <c r="B54" s="8" t="s">
        <v>300</v>
      </c>
      <c r="C54" s="34" t="n">
        <f aca="false">C52-C53</f>
        <v>39.8535836129869</v>
      </c>
      <c r="D54" s="34" t="n">
        <f aca="false">D52-D53</f>
        <v>42.0688492854</v>
      </c>
      <c r="E54" s="34" t="n">
        <f aca="false">E52-E53</f>
        <v>41.7023190623389</v>
      </c>
      <c r="F54" s="34" t="n">
        <f aca="false">F52-F53</f>
        <v>42.6266867870149</v>
      </c>
      <c r="G54" s="34" t="n">
        <f aca="false">G52-G53</f>
        <v>43.1207551957785</v>
      </c>
      <c r="H54" s="34" t="n">
        <f aca="false">H52-H53</f>
        <v>42.3239256568051</v>
      </c>
      <c r="I54" s="34" t="n">
        <f aca="false">I52-I53</f>
        <v>41.957395433744</v>
      </c>
      <c r="J54" s="34" t="n">
        <f aca="false">J52-J53</f>
        <v>41.1605658947705</v>
      </c>
      <c r="K54" s="34" t="n">
        <f aca="false">K52-K53</f>
        <v>39.5031377239723</v>
      </c>
      <c r="L54" s="34" t="n">
        <f aca="false">L52-L53</f>
        <v>39.1366075009112</v>
      </c>
      <c r="M54" s="34" t="n">
        <f aca="false">M52-M53</f>
        <v>40.4912745414996</v>
      </c>
      <c r="N54" s="34" t="n">
        <f aca="false">N52-N53</f>
        <v>42.7065402139127</v>
      </c>
      <c r="O54" s="56" t="n">
        <f aca="false">N54</f>
        <v>42.7065402139127</v>
      </c>
      <c r="P54" s="56" t="n">
        <f aca="false">G54</f>
        <v>43.1207551957785</v>
      </c>
      <c r="Q54" s="8" t="s">
        <v>739</v>
      </c>
      <c r="R54" s="8" t="s">
        <v>741</v>
      </c>
    </row>
    <row r="55" customFormat="false" ht="15" hidden="false" customHeight="false" outlineLevel="0" collapsed="false">
      <c r="A55" s="8" t="s">
        <v>742</v>
      </c>
      <c r="B55" s="8" t="s">
        <v>300</v>
      </c>
      <c r="C55" s="34" t="n">
        <f aca="false">C45-C53</f>
        <v>0</v>
      </c>
      <c r="D55" s="34" t="n">
        <f aca="false">D45-D53</f>
        <v>0</v>
      </c>
      <c r="E55" s="34" t="n">
        <f aca="false">E45-E53</f>
        <v>0</v>
      </c>
      <c r="F55" s="34" t="n">
        <f aca="false">F45-F53</f>
        <v>0</v>
      </c>
      <c r="G55" s="34" t="n">
        <f aca="false">G45-G53</f>
        <v>0</v>
      </c>
      <c r="H55" s="34" t="n">
        <f aca="false">H45-H53</f>
        <v>0</v>
      </c>
      <c r="I55" s="34" t="n">
        <f aca="false">I45-I53</f>
        <v>0</v>
      </c>
      <c r="J55" s="34" t="n">
        <f aca="false">J45-J53</f>
        <v>0</v>
      </c>
      <c r="K55" s="34" t="n">
        <f aca="false">K45-K53</f>
        <v>0</v>
      </c>
      <c r="L55" s="34" t="n">
        <f aca="false">L45-L53</f>
        <v>0</v>
      </c>
      <c r="M55" s="34" t="n">
        <f aca="false">M45-M53</f>
        <v>0</v>
      </c>
      <c r="N55" s="34" t="n">
        <f aca="false">N45-N53</f>
        <v>0</v>
      </c>
      <c r="O55" s="56" t="n">
        <f aca="false">SUM(C55:N55)</f>
        <v>0</v>
      </c>
      <c r="P55" s="56" t="n">
        <f aca="false">SUM(C55:G55)</f>
        <v>0</v>
      </c>
      <c r="Q55" s="8" t="s">
        <v>739</v>
      </c>
      <c r="R55" s="8"/>
    </row>
    <row r="56" customFormat="false" ht="15" hidden="false" customHeight="false" outlineLevel="0" collapsed="false">
      <c r="A56" s="8" t="s">
        <v>624</v>
      </c>
      <c r="B56" s="8" t="s">
        <v>281</v>
      </c>
      <c r="C56" s="36" t="n">
        <f aca="false">Assumptions!$D$43*(1+$C$10)</f>
        <v>0.9405</v>
      </c>
      <c r="D56" s="36" t="n">
        <f aca="false">Assumptions!$D$43*(1+$C$10)</f>
        <v>0.9405</v>
      </c>
      <c r="E56" s="36" t="n">
        <f aca="false">Assumptions!$D$43*(1+$C$10)</f>
        <v>0.9405</v>
      </c>
      <c r="F56" s="36" t="n">
        <f aca="false">Assumptions!$D$43*(1+$C$10)</f>
        <v>0.9405</v>
      </c>
      <c r="G56" s="36" t="n">
        <f aca="false">Assumptions!$D$43*(1+$C$10)</f>
        <v>0.9405</v>
      </c>
      <c r="H56" s="36" t="n">
        <f aca="false">Assumptions!$D$43*(1+$C$10)</f>
        <v>0.9405</v>
      </c>
      <c r="I56" s="36" t="n">
        <f aca="false">Assumptions!$D$43*(1+$C$10)</f>
        <v>0.9405</v>
      </c>
      <c r="J56" s="36" t="n">
        <f aca="false">Assumptions!$D$43*(1+$C$10)</f>
        <v>0.9405</v>
      </c>
      <c r="K56" s="36" t="n">
        <f aca="false">Assumptions!$D$43*(1+$C$10)</f>
        <v>0.9405</v>
      </c>
      <c r="L56" s="36" t="n">
        <f aca="false">Assumptions!$D$43*(1+$C$10)</f>
        <v>0.9405</v>
      </c>
      <c r="M56" s="36" t="n">
        <f aca="false">Assumptions!$D$43*(1+$C$10)</f>
        <v>0.9405</v>
      </c>
      <c r="N56" s="36" t="n">
        <f aca="false">Assumptions!$D$43*(1+$C$10)</f>
        <v>0.9405</v>
      </c>
      <c r="O56" s="60" t="n">
        <f aca="false">IFERROR(O57/O53,0)</f>
        <v>0.9405</v>
      </c>
      <c r="P56" s="60" t="n">
        <f aca="false">IFERROR(P57/P53,0)</f>
        <v>0.9405</v>
      </c>
      <c r="Q56" s="8" t="s">
        <v>739</v>
      </c>
      <c r="R56" s="8"/>
    </row>
    <row r="57" customFormat="false" ht="15" hidden="false" customHeight="false" outlineLevel="0" collapsed="false">
      <c r="A57" s="7" t="s">
        <v>22</v>
      </c>
      <c r="B57" s="8" t="s">
        <v>259</v>
      </c>
      <c r="C57" s="30" t="n">
        <f aca="false">C53*C56</f>
        <v>38.0414716218643</v>
      </c>
      <c r="D57" s="30" t="n">
        <f aca="false">D53*D56</f>
        <v>38.8508646350955</v>
      </c>
      <c r="E57" s="30" t="n">
        <f aca="false">E53*E56</f>
        <v>41.279043674789</v>
      </c>
      <c r="F57" s="30" t="n">
        <f aca="false">F53*F56</f>
        <v>40.0649541549422</v>
      </c>
      <c r="G57" s="30" t="n">
        <f aca="false">G53*G56</f>
        <v>40.4696506615578</v>
      </c>
      <c r="H57" s="30" t="n">
        <f aca="false">H53*H56</f>
        <v>41.6837401814045</v>
      </c>
      <c r="I57" s="30" t="n">
        <f aca="false">I53*I56</f>
        <v>41.279043674789</v>
      </c>
      <c r="J57" s="30" t="n">
        <f aca="false">J53*J56</f>
        <v>41.6837401814045</v>
      </c>
      <c r="K57" s="30" t="n">
        <f aca="false">K53*K56</f>
        <v>42.4931331946357</v>
      </c>
      <c r="L57" s="30" t="n">
        <f aca="false">L53*L56</f>
        <v>41.279043674789</v>
      </c>
      <c r="M57" s="30" t="n">
        <f aca="false">M53*M56</f>
        <v>39.6602576483267</v>
      </c>
      <c r="N57" s="30" t="n">
        <f aca="false">N53*N56</f>
        <v>38.8508646350955</v>
      </c>
      <c r="O57" s="42" t="n">
        <f aca="false">SUM(C57:N57)</f>
        <v>485.635807938694</v>
      </c>
      <c r="P57" s="42" t="n">
        <f aca="false">SUM(C57:G57)</f>
        <v>198.705984748249</v>
      </c>
      <c r="Q57" s="8" t="s">
        <v>739</v>
      </c>
      <c r="R57" s="8" t="s">
        <v>626</v>
      </c>
    </row>
    <row r="58" customFormat="false" ht="15" hidden="false" customHeight="false" outlineLevel="0" collapsed="false">
      <c r="A58" s="8" t="s">
        <v>627</v>
      </c>
      <c r="B58" s="8" t="s">
        <v>281</v>
      </c>
      <c r="C58" s="36" t="n">
        <f aca="false">Assumptions!$D$45*(1+$C$13)</f>
        <v>0.2163</v>
      </c>
      <c r="D58" s="36" t="n">
        <f aca="false">Assumptions!$D$45*(1+$C$13)</f>
        <v>0.2163</v>
      </c>
      <c r="E58" s="36" t="n">
        <f aca="false">Assumptions!$D$45*(1+$C$13)</f>
        <v>0.2163</v>
      </c>
      <c r="F58" s="36" t="n">
        <f aca="false">Assumptions!$D$45*(1+$C$13)</f>
        <v>0.2163</v>
      </c>
      <c r="G58" s="36" t="n">
        <f aca="false">Assumptions!$D$45*(1+$C$13)</f>
        <v>0.2163</v>
      </c>
      <c r="H58" s="36" t="n">
        <f aca="false">Assumptions!$D$45*(1+$C$13)</f>
        <v>0.2163</v>
      </c>
      <c r="I58" s="36" t="n">
        <f aca="false">Assumptions!$D$45*(1+$C$13)</f>
        <v>0.2163</v>
      </c>
      <c r="J58" s="36" t="n">
        <f aca="false">Assumptions!$D$45*(1+$C$13)</f>
        <v>0.2163</v>
      </c>
      <c r="K58" s="36" t="n">
        <f aca="false">Assumptions!$D$45*(1+$C$13)</f>
        <v>0.2163</v>
      </c>
      <c r="L58" s="36" t="n">
        <f aca="false">Assumptions!$D$45*(1+$C$13)</f>
        <v>0.2163</v>
      </c>
      <c r="M58" s="36" t="n">
        <f aca="false">Assumptions!$D$45*(1+$C$13)</f>
        <v>0.2163</v>
      </c>
      <c r="N58" s="36" t="n">
        <f aca="false">Assumptions!$D$45*(1+$C$13)</f>
        <v>0.2163</v>
      </c>
      <c r="O58" s="60" t="n">
        <f aca="false">IFERROR(O59/O48,0)</f>
        <v>0.2163</v>
      </c>
      <c r="P58" s="60" t="n">
        <f aca="false">IFERROR(P59/P48,0)</f>
        <v>0.2163</v>
      </c>
      <c r="Q58" s="8" t="s">
        <v>739</v>
      </c>
      <c r="R58" s="8"/>
    </row>
    <row r="59" customFormat="false" ht="15" hidden="false" customHeight="false" outlineLevel="0" collapsed="false">
      <c r="A59" s="8" t="s">
        <v>306</v>
      </c>
      <c r="B59" s="8" t="s">
        <v>259</v>
      </c>
      <c r="C59" s="30" t="n">
        <f aca="false">C48*C58</f>
        <v>10.12284</v>
      </c>
      <c r="D59" s="30" t="n">
        <f aca="false">D48*D58</f>
        <v>10.12284</v>
      </c>
      <c r="E59" s="30" t="n">
        <f aca="false">E48*E58</f>
        <v>10.12284</v>
      </c>
      <c r="F59" s="30" t="n">
        <f aca="false">F48*F58</f>
        <v>10.12284</v>
      </c>
      <c r="G59" s="30" t="n">
        <f aca="false">G48*G58</f>
        <v>10.12284</v>
      </c>
      <c r="H59" s="30" t="n">
        <f aca="false">H48*H58</f>
        <v>10.12284</v>
      </c>
      <c r="I59" s="30" t="n">
        <f aca="false">I48*I58</f>
        <v>10.12284</v>
      </c>
      <c r="J59" s="30" t="n">
        <f aca="false">J48*J58</f>
        <v>10.12284</v>
      </c>
      <c r="K59" s="30" t="n">
        <f aca="false">K48*K58</f>
        <v>10.12284</v>
      </c>
      <c r="L59" s="30" t="n">
        <f aca="false">L48*L58</f>
        <v>10.12284</v>
      </c>
      <c r="M59" s="30" t="n">
        <f aca="false">M48*M58</f>
        <v>10.12284</v>
      </c>
      <c r="N59" s="30" t="n">
        <f aca="false">N48*N58</f>
        <v>10.12284</v>
      </c>
      <c r="O59" s="42" t="n">
        <f aca="false">SUM(C59:N59)</f>
        <v>121.47408</v>
      </c>
      <c r="P59" s="42" t="n">
        <f aca="false">SUM(C59:G59)</f>
        <v>50.6142</v>
      </c>
      <c r="Q59" s="8" t="s">
        <v>739</v>
      </c>
      <c r="R59" s="8" t="s">
        <v>743</v>
      </c>
    </row>
    <row r="60" customFormat="false" ht="15" hidden="false" customHeight="false" outlineLevel="0" collapsed="false">
      <c r="A60" s="8" t="s">
        <v>308</v>
      </c>
      <c r="B60" s="8" t="s">
        <v>259</v>
      </c>
      <c r="C60" s="30" t="n">
        <f aca="false">Assumptions!$D$46</f>
        <v>6.2</v>
      </c>
      <c r="D60" s="30" t="n">
        <f aca="false">Assumptions!$D$46</f>
        <v>6.2</v>
      </c>
      <c r="E60" s="30" t="n">
        <f aca="false">Assumptions!$D$46</f>
        <v>6.2</v>
      </c>
      <c r="F60" s="30" t="n">
        <f aca="false">Assumptions!$D$46</f>
        <v>6.2</v>
      </c>
      <c r="G60" s="30" t="n">
        <f aca="false">Assumptions!$D$46</f>
        <v>6.2</v>
      </c>
      <c r="H60" s="30" t="n">
        <f aca="false">Assumptions!$D$46</f>
        <v>6.2</v>
      </c>
      <c r="I60" s="30" t="n">
        <f aca="false">Assumptions!$D$46</f>
        <v>6.2</v>
      </c>
      <c r="J60" s="30" t="n">
        <f aca="false">Assumptions!$D$46</f>
        <v>6.2</v>
      </c>
      <c r="K60" s="30" t="n">
        <f aca="false">Assumptions!$D$46</f>
        <v>6.2</v>
      </c>
      <c r="L60" s="30" t="n">
        <f aca="false">Assumptions!$D$46</f>
        <v>6.2</v>
      </c>
      <c r="M60" s="30" t="n">
        <f aca="false">Assumptions!$D$46</f>
        <v>6.2</v>
      </c>
      <c r="N60" s="30" t="n">
        <f aca="false">Assumptions!$D$46</f>
        <v>6.2</v>
      </c>
      <c r="O60" s="42" t="n">
        <f aca="false">SUM(C60:N60)</f>
        <v>74.4</v>
      </c>
      <c r="P60" s="42" t="n">
        <f aca="false">SUM(C60:G60)</f>
        <v>31</v>
      </c>
      <c r="Q60" s="8" t="s">
        <v>739</v>
      </c>
      <c r="R60" s="8"/>
    </row>
    <row r="61" customFormat="false" ht="15" hidden="false" customHeight="false" outlineLevel="0" collapsed="false">
      <c r="A61" s="8" t="s">
        <v>630</v>
      </c>
      <c r="B61" s="8" t="s">
        <v>259</v>
      </c>
      <c r="C61" s="30" t="n">
        <f aca="false">C59+C60</f>
        <v>16.32284</v>
      </c>
      <c r="D61" s="30" t="n">
        <f aca="false">D59+D60</f>
        <v>16.32284</v>
      </c>
      <c r="E61" s="30" t="n">
        <f aca="false">E59+E60</f>
        <v>16.32284</v>
      </c>
      <c r="F61" s="30" t="n">
        <f aca="false">F59+F60</f>
        <v>16.32284</v>
      </c>
      <c r="G61" s="30" t="n">
        <f aca="false">G59+G60</f>
        <v>16.32284</v>
      </c>
      <c r="H61" s="30" t="n">
        <f aca="false">H59+H60</f>
        <v>16.32284</v>
      </c>
      <c r="I61" s="30" t="n">
        <f aca="false">I59+I60</f>
        <v>16.32284</v>
      </c>
      <c r="J61" s="30" t="n">
        <f aca="false">J59+J60</f>
        <v>16.32284</v>
      </c>
      <c r="K61" s="30" t="n">
        <f aca="false">K59+K60</f>
        <v>16.32284</v>
      </c>
      <c r="L61" s="30" t="n">
        <f aca="false">L59+L60</f>
        <v>16.32284</v>
      </c>
      <c r="M61" s="30" t="n">
        <f aca="false">M59+M60</f>
        <v>16.32284</v>
      </c>
      <c r="N61" s="30" t="n">
        <f aca="false">N59+N60</f>
        <v>16.32284</v>
      </c>
      <c r="O61" s="42" t="n">
        <f aca="false">SUM(C61:N61)</f>
        <v>195.87408</v>
      </c>
      <c r="P61" s="42" t="n">
        <f aca="false">SUM(C61:G61)</f>
        <v>81.6142</v>
      </c>
      <c r="Q61" s="8" t="s">
        <v>739</v>
      </c>
      <c r="R61" s="8" t="s">
        <v>744</v>
      </c>
    </row>
    <row r="62" customFormat="false" ht="15" hidden="false" customHeight="false" outlineLevel="0" collapsed="false">
      <c r="A62" s="8" t="s">
        <v>316</v>
      </c>
      <c r="B62" s="8" t="s">
        <v>281</v>
      </c>
      <c r="C62" s="36" t="n">
        <f aca="false">IFERROR(C61/C50,0)</f>
        <v>0.375030787611433</v>
      </c>
      <c r="D62" s="36" t="n">
        <f aca="false">IFERROR(D61/D50,0)</f>
        <v>0.375030787611433</v>
      </c>
      <c r="E62" s="36" t="n">
        <f aca="false">IFERROR(E61/E50,0)</f>
        <v>0.375030787611433</v>
      </c>
      <c r="F62" s="36" t="n">
        <f aca="false">IFERROR(F61/F50,0)</f>
        <v>0.375030787611433</v>
      </c>
      <c r="G62" s="36" t="n">
        <f aca="false">IFERROR(G61/G50,0)</f>
        <v>0.375030787611433</v>
      </c>
      <c r="H62" s="36" t="n">
        <f aca="false">IFERROR(H61/H50,0)</f>
        <v>0.375030787611433</v>
      </c>
      <c r="I62" s="36" t="n">
        <f aca="false">IFERROR(I61/I50,0)</f>
        <v>0.375030787611433</v>
      </c>
      <c r="J62" s="36" t="n">
        <f aca="false">IFERROR(J61/J50,0)</f>
        <v>0.375030787611433</v>
      </c>
      <c r="K62" s="36" t="n">
        <f aca="false">IFERROR(K61/K50,0)</f>
        <v>0.375030787611433</v>
      </c>
      <c r="L62" s="36" t="n">
        <f aca="false">IFERROR(L61/L50,0)</f>
        <v>0.375030787611433</v>
      </c>
      <c r="M62" s="36" t="n">
        <f aca="false">IFERROR(M61/M50,0)</f>
        <v>0.375030787611433</v>
      </c>
      <c r="N62" s="36" t="n">
        <f aca="false">IFERROR(N61/N50,0)</f>
        <v>0.375030787611433</v>
      </c>
      <c r="O62" s="60" t="n">
        <f aca="false">IFERROR(O61/O50,0)</f>
        <v>0.375030787611433</v>
      </c>
      <c r="P62" s="60" t="n">
        <f aca="false">IFERROR(P61/P50,0)</f>
        <v>0.375030787611433</v>
      </c>
      <c r="Q62" s="8" t="s">
        <v>739</v>
      </c>
      <c r="R62" s="8"/>
    </row>
    <row r="63" customFormat="false" ht="15" hidden="false" customHeight="false" outlineLevel="0" collapsed="false">
      <c r="A63" s="8" t="s">
        <v>632</v>
      </c>
      <c r="B63" s="8" t="s">
        <v>259</v>
      </c>
      <c r="C63" s="30" t="n">
        <f aca="false">Assumptions!$D$69</f>
        <v>14.504646295524</v>
      </c>
      <c r="D63" s="30" t="n">
        <f aca="false">C66</f>
        <v>15.2996201480211</v>
      </c>
      <c r="E63" s="30" t="n">
        <f aca="false">D66</f>
        <v>15.9553737629961</v>
      </c>
      <c r="F63" s="30" t="n">
        <f aca="false">E66</f>
        <v>15.7265049632651</v>
      </c>
      <c r="G63" s="30" t="n">
        <f aca="false">F66</f>
        <v>16.0297594042377</v>
      </c>
      <c r="H63" s="30" t="n">
        <f aca="false">G66</f>
        <v>16.1933534239392</v>
      </c>
      <c r="I63" s="30" t="n">
        <f aca="false">H66</f>
        <v>15.883395942518</v>
      </c>
      <c r="J63" s="30" t="n">
        <f aca="false">I66</f>
        <v>15.7405058600338</v>
      </c>
      <c r="K63" s="30" t="n">
        <f aca="false">J66</f>
        <v>15.4389788957255</v>
      </c>
      <c r="L63" s="30" t="n">
        <f aca="false">K66</f>
        <v>14.8160587817241</v>
      </c>
      <c r="M63" s="30" t="n">
        <f aca="false">L66</f>
        <v>14.6779823204609</v>
      </c>
      <c r="N63" s="30" t="n">
        <f aca="false">M66</f>
        <v>15.1857437967195</v>
      </c>
      <c r="O63" s="42" t="n">
        <f aca="false">C63</f>
        <v>14.504646295524</v>
      </c>
      <c r="P63" s="42" t="n">
        <f aca="false">C63</f>
        <v>14.504646295524</v>
      </c>
      <c r="Q63" s="8" t="s">
        <v>739</v>
      </c>
      <c r="R63" s="8"/>
    </row>
    <row r="64" customFormat="false" ht="15" hidden="false" customHeight="false" outlineLevel="0" collapsed="false">
      <c r="A64" s="8" t="s">
        <v>634</v>
      </c>
      <c r="B64" s="8" t="s">
        <v>281</v>
      </c>
      <c r="C64" s="36" t="n">
        <f aca="false">IFERROR((C63+C61)/C52,0)</f>
        <v>0.383895719305791</v>
      </c>
      <c r="D64" s="36" t="n">
        <f aca="false">IFERROR((D63+D61)/D52,0)</f>
        <v>0.379268129126923</v>
      </c>
      <c r="E64" s="36" t="n">
        <f aca="false">IFERROR((E63+E61)/E52,0)</f>
        <v>0.377113439177237</v>
      </c>
      <c r="F64" s="36" t="n">
        <f aca="false">IFERROR((F63+F61)/F52,0)</f>
        <v>0.37604985544222</v>
      </c>
      <c r="G64" s="36" t="n">
        <f aca="false">IFERROR((G63+G61)/G52,0)</f>
        <v>0.375535014412841</v>
      </c>
      <c r="H64" s="36" t="n">
        <f aca="false">IFERROR((H63+H61)/H52,0)</f>
        <v>0.375281727676039</v>
      </c>
      <c r="I64" s="36" t="n">
        <f aca="false">IFERROR((I63+I61)/I52,0)</f>
        <v>0.375154503689107</v>
      </c>
      <c r="J64" s="36" t="n">
        <f aca="false">IFERROR((J63+J61)/J52,0)</f>
        <v>0.375091511987376</v>
      </c>
      <c r="K64" s="36" t="n">
        <f aca="false">IFERROR((K63+K61)/K52,0)</f>
        <v>0.37506030243094</v>
      </c>
      <c r="L64" s="36" t="n">
        <f aca="false">IFERROR((L63+L61)/L52,0)</f>
        <v>0.375044830345072</v>
      </c>
      <c r="M64" s="36" t="n">
        <f aca="false">IFERROR((M63+M61)/M52,0)</f>
        <v>0.375037436303855</v>
      </c>
      <c r="N64" s="36" t="n">
        <f aca="false">IFERROR((N63+N61)/N52,0)</f>
        <v>0.375033991957686</v>
      </c>
      <c r="Q64" s="8" t="s">
        <v>739</v>
      </c>
      <c r="R64" s="8" t="s">
        <v>745</v>
      </c>
    </row>
    <row r="65" customFormat="false" ht="15" hidden="false" customHeight="false" outlineLevel="0" collapsed="false">
      <c r="A65" s="8" t="s">
        <v>746</v>
      </c>
      <c r="B65" s="8" t="s">
        <v>259</v>
      </c>
      <c r="C65" s="30" t="n">
        <f aca="false">C53*C64</f>
        <v>15.5278661475029</v>
      </c>
      <c r="D65" s="30" t="n">
        <f aca="false">D53*D64</f>
        <v>15.667086385025</v>
      </c>
      <c r="E65" s="30" t="n">
        <f aca="false">E53*E64</f>
        <v>16.551708799731</v>
      </c>
      <c r="F65" s="30" t="n">
        <f aca="false">F53*F64</f>
        <v>16.0195855590273</v>
      </c>
      <c r="G65" s="30" t="n">
        <f aca="false">G53*G64</f>
        <v>16.1592459802985</v>
      </c>
      <c r="H65" s="30" t="n">
        <f aca="false">H53*H64</f>
        <v>16.6327974814212</v>
      </c>
      <c r="I65" s="30" t="n">
        <f aca="false">I53*I64</f>
        <v>16.4657300824842</v>
      </c>
      <c r="J65" s="30" t="n">
        <f aca="false">J53*J64</f>
        <v>16.6243669643083</v>
      </c>
      <c r="K65" s="30" t="n">
        <f aca="false">K53*K64</f>
        <v>16.9457601140014</v>
      </c>
      <c r="L65" s="30" t="n">
        <f aca="false">L53*L64</f>
        <v>16.4609164612632</v>
      </c>
      <c r="M65" s="30" t="n">
        <f aca="false">M53*M64</f>
        <v>15.8150785237414</v>
      </c>
      <c r="N65" s="30" t="n">
        <f aca="false">N53*N64</f>
        <v>15.4921795375944</v>
      </c>
      <c r="O65" s="42" t="n">
        <f aca="false">SUM(C65:N65)</f>
        <v>194.362322036399</v>
      </c>
      <c r="P65" s="42" t="n">
        <f aca="false">SUM(C65:G65)</f>
        <v>79.9254928715847</v>
      </c>
      <c r="Q65" s="8" t="s">
        <v>739</v>
      </c>
      <c r="R65" s="8" t="s">
        <v>636</v>
      </c>
    </row>
    <row r="66" customFormat="false" ht="15" hidden="false" customHeight="false" outlineLevel="0" collapsed="false">
      <c r="A66" s="8" t="s">
        <v>637</v>
      </c>
      <c r="B66" s="8" t="s">
        <v>259</v>
      </c>
      <c r="C66" s="30" t="n">
        <f aca="false">C63+C61-C65</f>
        <v>15.2996201480211</v>
      </c>
      <c r="D66" s="30" t="n">
        <f aca="false">D63+D61-D65</f>
        <v>15.9553737629961</v>
      </c>
      <c r="E66" s="30" t="n">
        <f aca="false">E63+E61-E65</f>
        <v>15.7265049632651</v>
      </c>
      <c r="F66" s="30" t="n">
        <f aca="false">F63+F61-F65</f>
        <v>16.0297594042377</v>
      </c>
      <c r="G66" s="30" t="n">
        <f aca="false">G63+G61-G65</f>
        <v>16.1933534239392</v>
      </c>
      <c r="H66" s="30" t="n">
        <f aca="false">H63+H61-H65</f>
        <v>15.883395942518</v>
      </c>
      <c r="I66" s="30" t="n">
        <f aca="false">I63+I61-I65</f>
        <v>15.7405058600338</v>
      </c>
      <c r="J66" s="30" t="n">
        <f aca="false">J63+J61-J65</f>
        <v>15.4389788957255</v>
      </c>
      <c r="K66" s="30" t="n">
        <f aca="false">K63+K61-K65</f>
        <v>14.8160587817241</v>
      </c>
      <c r="L66" s="30" t="n">
        <f aca="false">L63+L61-L65</f>
        <v>14.6779823204609</v>
      </c>
      <c r="M66" s="30" t="n">
        <f aca="false">M63+M61-M65</f>
        <v>15.1857437967195</v>
      </c>
      <c r="N66" s="30" t="n">
        <f aca="false">N63+N61-N65</f>
        <v>16.0164042591251</v>
      </c>
      <c r="O66" s="42" t="n">
        <f aca="false">N66</f>
        <v>16.0164042591251</v>
      </c>
      <c r="P66" s="42" t="n">
        <f aca="false">G66</f>
        <v>16.1933534239392</v>
      </c>
      <c r="Q66" s="8" t="s">
        <v>739</v>
      </c>
      <c r="R66" s="8" t="s">
        <v>747</v>
      </c>
    </row>
    <row r="67" customFormat="false" ht="15" hidden="false" customHeight="false" outlineLevel="0" collapsed="false">
      <c r="A67" s="7" t="s">
        <v>748</v>
      </c>
      <c r="B67" s="8" t="s">
        <v>259</v>
      </c>
      <c r="C67" s="30" t="n">
        <f aca="false">C57-C65</f>
        <v>22.5136054743614</v>
      </c>
      <c r="D67" s="30" t="n">
        <f aca="false">D57-D65</f>
        <v>23.1837782500705</v>
      </c>
      <c r="E67" s="30" t="n">
        <f aca="false">E57-E65</f>
        <v>24.7273348750579</v>
      </c>
      <c r="F67" s="30" t="n">
        <f aca="false">F57-F65</f>
        <v>24.0453685959149</v>
      </c>
      <c r="G67" s="30" t="n">
        <f aca="false">G57-G65</f>
        <v>24.3104046812593</v>
      </c>
      <c r="H67" s="30" t="n">
        <f aca="false">H57-H65</f>
        <v>25.0509426999834</v>
      </c>
      <c r="I67" s="30" t="n">
        <f aca="false">I57-I65</f>
        <v>24.8133135923047</v>
      </c>
      <c r="J67" s="30" t="n">
        <f aca="false">J57-J65</f>
        <v>25.0593732170962</v>
      </c>
      <c r="K67" s="30" t="n">
        <f aca="false">K57-K65</f>
        <v>25.5473730806343</v>
      </c>
      <c r="L67" s="30" t="n">
        <f aca="false">L57-L65</f>
        <v>24.8181272135258</v>
      </c>
      <c r="M67" s="30" t="n">
        <f aca="false">M57-M65</f>
        <v>23.8451791245853</v>
      </c>
      <c r="N67" s="30" t="n">
        <f aca="false">N57-N65</f>
        <v>23.3586850975011</v>
      </c>
      <c r="O67" s="42" t="n">
        <f aca="false">SUM(C67:N67)</f>
        <v>291.273485902295</v>
      </c>
      <c r="P67" s="42" t="n">
        <f aca="false">SUM(C67:G67)</f>
        <v>118.780491876664</v>
      </c>
      <c r="Q67" s="8" t="s">
        <v>739</v>
      </c>
      <c r="R67" s="8" t="s">
        <v>313</v>
      </c>
    </row>
    <row r="68" customFormat="false" ht="15" hidden="false" customHeight="false" outlineLevel="0" collapsed="false">
      <c r="A68" s="8" t="s">
        <v>314</v>
      </c>
      <c r="B68" s="8" t="s">
        <v>226</v>
      </c>
      <c r="C68" s="35" t="n">
        <f aca="false">IFERROR(C67/C57,0)</f>
        <v>0.59181741700607</v>
      </c>
      <c r="D68" s="35" t="n">
        <f aca="false">IFERROR(D67/D57,0)</f>
        <v>0.596737768073448</v>
      </c>
      <c r="E68" s="35" t="n">
        <f aca="false">IFERROR(E67/E57,0)</f>
        <v>0.599028772804639</v>
      </c>
      <c r="F68" s="35" t="n">
        <f aca="false">IFERROR(F67/F57,0)</f>
        <v>0.600159643336289</v>
      </c>
      <c r="G68" s="35" t="n">
        <f aca="false">IFERROR(G67/G57,0)</f>
        <v>0.600707055382413</v>
      </c>
      <c r="H68" s="35" t="n">
        <f aca="false">IFERROR(H67/H57,0)</f>
        <v>0.600976366107348</v>
      </c>
      <c r="I68" s="35" t="n">
        <f aca="false">IFERROR(I67/I57,0)</f>
        <v>0.601111638820726</v>
      </c>
      <c r="J68" s="35" t="n">
        <f aca="false">IFERROR(J67/J57,0)</f>
        <v>0.601178615643407</v>
      </c>
      <c r="K68" s="35" t="n">
        <f aca="false">IFERROR(K67/K57,0)</f>
        <v>0.601211799648123</v>
      </c>
      <c r="L68" s="35" t="n">
        <f aca="false">IFERROR(L67/L57,0)</f>
        <v>0.601228250563453</v>
      </c>
      <c r="M68" s="35" t="n">
        <f aca="false">IFERROR(M67/M57,0)</f>
        <v>0.60123611238293</v>
      </c>
      <c r="N68" s="35" t="n">
        <f aca="false">IFERROR(N67/N57,0)</f>
        <v>0.601239774632976</v>
      </c>
      <c r="O68" s="57" t="n">
        <f aca="false">IFERROR(O67/O57,0)</f>
        <v>0.599777613472574</v>
      </c>
      <c r="P68" s="57" t="n">
        <f aca="false">IFERROR(P67/P57,0)</f>
        <v>0.597770077369101</v>
      </c>
      <c r="Q68" s="8" t="s">
        <v>739</v>
      </c>
      <c r="R68" s="8"/>
    </row>
    <row r="70" customFormat="false" ht="15" hidden="false" customHeight="false" outlineLevel="0" collapsed="false">
      <c r="A70" s="16" t="s">
        <v>750</v>
      </c>
      <c r="B70" s="17"/>
      <c r="C70" s="17"/>
      <c r="D70" s="17"/>
      <c r="E70" s="17"/>
      <c r="F70" s="17"/>
      <c r="G70" s="17"/>
      <c r="H70" s="17"/>
      <c r="I70" s="17"/>
      <c r="J70" s="17"/>
      <c r="K70" s="17"/>
      <c r="L70" s="17"/>
      <c r="M70" s="17"/>
      <c r="N70" s="17"/>
      <c r="O70" s="17"/>
      <c r="P70" s="17"/>
      <c r="Q70" s="17"/>
      <c r="R70" s="17"/>
    </row>
    <row r="71" customFormat="false" ht="15" hidden="false" customHeight="false" outlineLevel="0" collapsed="false">
      <c r="A71" s="8" t="s">
        <v>604</v>
      </c>
      <c r="B71" s="8" t="s">
        <v>300</v>
      </c>
      <c r="C71" s="34" t="n">
        <f aca="false">Assumptions!$E$52*(1+$C$9+Assumptions!$E$48)*Assumptions!C$73/12</f>
        <v>4.05490471947625</v>
      </c>
      <c r="D71" s="34" t="n">
        <f aca="false">Assumptions!$E$52*(1+$C$9+Assumptions!$E$48)*Assumptions!D$73/12</f>
        <v>4.14117928797574</v>
      </c>
      <c r="E71" s="34" t="n">
        <f aca="false">Assumptions!$E$52*(1+$C$9+Assumptions!$E$48)*Assumptions!E$73/12</f>
        <v>4.40000299347423</v>
      </c>
      <c r="F71" s="34" t="n">
        <f aca="false">Assumptions!$E$52*(1+$C$9+Assumptions!$E$48)*Assumptions!F$73/12</f>
        <v>4.27059114072498</v>
      </c>
      <c r="G71" s="34" t="n">
        <f aca="false">Assumptions!$E$52*(1+$C$9+Assumptions!$E$48)*Assumptions!G$73/12</f>
        <v>4.31372842497473</v>
      </c>
      <c r="H71" s="34" t="n">
        <f aca="false">Assumptions!$E$52*(1+$C$9+Assumptions!$E$48)*Assumptions!H$73/12</f>
        <v>4.44314027772397</v>
      </c>
      <c r="I71" s="34" t="n">
        <f aca="false">Assumptions!$E$52*(1+$C$9+Assumptions!$E$48)*Assumptions!I$73/12</f>
        <v>4.40000299347423</v>
      </c>
      <c r="J71" s="34" t="n">
        <f aca="false">Assumptions!$E$52*(1+$C$9+Assumptions!$E$48)*Assumptions!J$73/12</f>
        <v>4.44314027772397</v>
      </c>
      <c r="K71" s="34" t="n">
        <f aca="false">Assumptions!$E$52*(1+$C$9+Assumptions!$E$48)*Assumptions!K$73/12</f>
        <v>4.52941484622347</v>
      </c>
      <c r="L71" s="34" t="n">
        <f aca="false">Assumptions!$E$52*(1+$C$9+Assumptions!$E$48)*Assumptions!L$73/12</f>
        <v>4.40000299347423</v>
      </c>
      <c r="M71" s="34" t="n">
        <f aca="false">Assumptions!$E$52*(1+$C$9+Assumptions!$E$48)*Assumptions!M$73/12</f>
        <v>4.22745385647524</v>
      </c>
      <c r="N71" s="34" t="n">
        <f aca="false">Assumptions!$E$52*(1+$C$9+Assumptions!$E$48)*Assumptions!N$73/12</f>
        <v>4.14117928797574</v>
      </c>
      <c r="O71" s="56" t="n">
        <f aca="false">SUM(C71:N71)</f>
        <v>51.7647410996968</v>
      </c>
      <c r="P71" s="56" t="n">
        <f aca="false">SUM(C71:G71)</f>
        <v>21.1804065666259</v>
      </c>
      <c r="Q71" s="8" t="s">
        <v>739</v>
      </c>
      <c r="R71" s="8"/>
    </row>
    <row r="72" customFormat="false" ht="15" hidden="false" customHeight="false" outlineLevel="0" collapsed="false">
      <c r="A72" s="8" t="s">
        <v>290</v>
      </c>
      <c r="B72" s="8" t="s">
        <v>300</v>
      </c>
      <c r="C72" s="34" t="n">
        <f aca="false">Assumptions!$E$47</f>
        <v>7</v>
      </c>
      <c r="D72" s="34" t="n">
        <f aca="false">Assumptions!$E$47</f>
        <v>7</v>
      </c>
      <c r="E72" s="34" t="n">
        <f aca="false">Assumptions!$E$47</f>
        <v>7</v>
      </c>
      <c r="F72" s="34" t="n">
        <f aca="false">Assumptions!$E$47</f>
        <v>7</v>
      </c>
      <c r="G72" s="34" t="n">
        <f aca="false">Assumptions!$E$47</f>
        <v>7</v>
      </c>
      <c r="H72" s="34" t="n">
        <f aca="false">Assumptions!$E$47</f>
        <v>7</v>
      </c>
      <c r="I72" s="34" t="n">
        <f aca="false">Assumptions!$E$47</f>
        <v>7</v>
      </c>
      <c r="J72" s="34" t="n">
        <f aca="false">Assumptions!$E$47</f>
        <v>7</v>
      </c>
      <c r="K72" s="34" t="n">
        <f aca="false">Assumptions!$E$47</f>
        <v>7</v>
      </c>
      <c r="L72" s="34" t="n">
        <f aca="false">Assumptions!$E$47</f>
        <v>7</v>
      </c>
      <c r="M72" s="34" t="n">
        <f aca="false">Assumptions!$E$47</f>
        <v>7</v>
      </c>
      <c r="N72" s="34" t="n">
        <f aca="false">Assumptions!$E$47</f>
        <v>7</v>
      </c>
      <c r="O72" s="56" t="n">
        <f aca="false">SUM(C72:N72)</f>
        <v>84</v>
      </c>
      <c r="P72" s="56" t="n">
        <f aca="false">SUM(C72:G72)</f>
        <v>35</v>
      </c>
      <c r="Q72" s="8" t="s">
        <v>739</v>
      </c>
      <c r="R72" s="8"/>
    </row>
    <row r="73" customFormat="false" ht="15" hidden="false" customHeight="false" outlineLevel="0" collapsed="false">
      <c r="A73" s="8" t="s">
        <v>607</v>
      </c>
      <c r="B73" s="8" t="s">
        <v>226</v>
      </c>
      <c r="C73" s="35" t="n">
        <f aca="false">$C$12</f>
        <v>0.78</v>
      </c>
      <c r="D73" s="35" t="n">
        <f aca="false">$C$12</f>
        <v>0.78</v>
      </c>
      <c r="E73" s="35" t="n">
        <f aca="false">$C$12</f>
        <v>0.78</v>
      </c>
      <c r="F73" s="35" t="n">
        <f aca="false">$C$12</f>
        <v>0.78</v>
      </c>
      <c r="G73" s="35" t="n">
        <f aca="false">$C$12</f>
        <v>0.78</v>
      </c>
      <c r="H73" s="35" t="n">
        <f aca="false">$C$12</f>
        <v>0.78</v>
      </c>
      <c r="I73" s="35" t="n">
        <f aca="false">$C$12</f>
        <v>0.78</v>
      </c>
      <c r="J73" s="35" t="n">
        <f aca="false">$C$12</f>
        <v>0.78</v>
      </c>
      <c r="K73" s="35" t="n">
        <f aca="false">$C$12</f>
        <v>0.78</v>
      </c>
      <c r="L73" s="35" t="n">
        <f aca="false">$C$12</f>
        <v>0.78</v>
      </c>
      <c r="M73" s="35" t="n">
        <f aca="false">$C$12</f>
        <v>0.78</v>
      </c>
      <c r="N73" s="35" t="n">
        <f aca="false">$C$12</f>
        <v>0.78</v>
      </c>
      <c r="O73" s="57" t="n">
        <f aca="false">IFERROR(O74/O72,0)</f>
        <v>0.78</v>
      </c>
      <c r="P73" s="57" t="n">
        <f aca="false">IFERROR(P74/P72,0)</f>
        <v>0.78</v>
      </c>
      <c r="Q73" s="8" t="s">
        <v>739</v>
      </c>
      <c r="R73" s="8"/>
    </row>
    <row r="74" customFormat="false" ht="15" hidden="false" customHeight="false" outlineLevel="0" collapsed="false">
      <c r="A74" s="8" t="s">
        <v>302</v>
      </c>
      <c r="B74" s="8" t="s">
        <v>300</v>
      </c>
      <c r="C74" s="34" t="n">
        <f aca="false">C72*C73</f>
        <v>5.46</v>
      </c>
      <c r="D74" s="34" t="n">
        <f aca="false">D72*D73</f>
        <v>5.46</v>
      </c>
      <c r="E74" s="34" t="n">
        <f aca="false">E72*E73</f>
        <v>5.46</v>
      </c>
      <c r="F74" s="34" t="n">
        <f aca="false">F72*F73</f>
        <v>5.46</v>
      </c>
      <c r="G74" s="34" t="n">
        <f aca="false">G72*G73</f>
        <v>5.46</v>
      </c>
      <c r="H74" s="34" t="n">
        <f aca="false">H72*H73</f>
        <v>5.46</v>
      </c>
      <c r="I74" s="34" t="n">
        <f aca="false">I72*I73</f>
        <v>5.46</v>
      </c>
      <c r="J74" s="34" t="n">
        <f aca="false">J72*J73</f>
        <v>5.46</v>
      </c>
      <c r="K74" s="34" t="n">
        <f aca="false">K72*K73</f>
        <v>5.46</v>
      </c>
      <c r="L74" s="34" t="n">
        <f aca="false">L72*L73</f>
        <v>5.46</v>
      </c>
      <c r="M74" s="34" t="n">
        <f aca="false">M72*M73</f>
        <v>5.46</v>
      </c>
      <c r="N74" s="34" t="n">
        <f aca="false">N72*N73</f>
        <v>5.46</v>
      </c>
      <c r="O74" s="56" t="n">
        <f aca="false">SUM(C74:N74)</f>
        <v>65.52</v>
      </c>
      <c r="P74" s="56" t="n">
        <f aca="false">SUM(C74:G74)</f>
        <v>27.3</v>
      </c>
      <c r="Q74" s="8" t="s">
        <v>739</v>
      </c>
      <c r="R74" s="8" t="s">
        <v>609</v>
      </c>
    </row>
    <row r="75" customFormat="false" ht="15" hidden="false" customHeight="false" outlineLevel="0" collapsed="false">
      <c r="A75" s="8" t="s">
        <v>610</v>
      </c>
      <c r="B75" s="8" t="s">
        <v>226</v>
      </c>
      <c r="C75" s="35" t="n">
        <f aca="false">MIN(1,MAX(0,Assumptions!$E$44+$C$11))</f>
        <v>0.88</v>
      </c>
      <c r="D75" s="35" t="n">
        <f aca="false">MIN(1,MAX(0,Assumptions!$E$44+$C$11))</f>
        <v>0.88</v>
      </c>
      <c r="E75" s="35" t="n">
        <f aca="false">MIN(1,MAX(0,Assumptions!$E$44+$C$11))</f>
        <v>0.88</v>
      </c>
      <c r="F75" s="35" t="n">
        <f aca="false">MIN(1,MAX(0,Assumptions!$E$44+$C$11))</f>
        <v>0.88</v>
      </c>
      <c r="G75" s="35" t="n">
        <f aca="false">MIN(1,MAX(0,Assumptions!$E$44+$C$11))</f>
        <v>0.88</v>
      </c>
      <c r="H75" s="35" t="n">
        <f aca="false">MIN(1,MAX(0,Assumptions!$E$44+$C$11))</f>
        <v>0.88</v>
      </c>
      <c r="I75" s="35" t="n">
        <f aca="false">MIN(1,MAX(0,Assumptions!$E$44+$C$11))</f>
        <v>0.88</v>
      </c>
      <c r="J75" s="35" t="n">
        <f aca="false">MIN(1,MAX(0,Assumptions!$E$44+$C$11))</f>
        <v>0.88</v>
      </c>
      <c r="K75" s="35" t="n">
        <f aca="false">MIN(1,MAX(0,Assumptions!$E$44+$C$11))</f>
        <v>0.88</v>
      </c>
      <c r="L75" s="35" t="n">
        <f aca="false">MIN(1,MAX(0,Assumptions!$E$44+$C$11))</f>
        <v>0.88</v>
      </c>
      <c r="M75" s="35" t="n">
        <f aca="false">MIN(1,MAX(0,Assumptions!$E$44+$C$11))</f>
        <v>0.88</v>
      </c>
      <c r="N75" s="35" t="n">
        <f aca="false">MIN(1,MAX(0,Assumptions!$E$44+$C$11))</f>
        <v>0.88</v>
      </c>
      <c r="O75" s="57" t="n">
        <f aca="false">IFERROR(O76/O74,0)</f>
        <v>0.88</v>
      </c>
      <c r="P75" s="57" t="n">
        <f aca="false">IFERROR(P76/P74,0)</f>
        <v>0.88</v>
      </c>
      <c r="Q75" s="8" t="s">
        <v>739</v>
      </c>
      <c r="R75" s="8"/>
    </row>
    <row r="76" customFormat="false" ht="15" hidden="false" customHeight="false" outlineLevel="0" collapsed="false">
      <c r="A76" s="8" t="s">
        <v>612</v>
      </c>
      <c r="B76" s="8" t="s">
        <v>300</v>
      </c>
      <c r="C76" s="34" t="n">
        <f aca="false">C74*C75</f>
        <v>4.8048</v>
      </c>
      <c r="D76" s="34" t="n">
        <f aca="false">D74*D75</f>
        <v>4.8048</v>
      </c>
      <c r="E76" s="34" t="n">
        <f aca="false">E74*E75</f>
        <v>4.8048</v>
      </c>
      <c r="F76" s="34" t="n">
        <f aca="false">F74*F75</f>
        <v>4.8048</v>
      </c>
      <c r="G76" s="34" t="n">
        <f aca="false">G74*G75</f>
        <v>4.8048</v>
      </c>
      <c r="H76" s="34" t="n">
        <f aca="false">H74*H75</f>
        <v>4.8048</v>
      </c>
      <c r="I76" s="34" t="n">
        <f aca="false">I74*I75</f>
        <v>4.8048</v>
      </c>
      <c r="J76" s="34" t="n">
        <f aca="false">J74*J75</f>
        <v>4.8048</v>
      </c>
      <c r="K76" s="34" t="n">
        <f aca="false">K74*K75</f>
        <v>4.8048</v>
      </c>
      <c r="L76" s="34" t="n">
        <f aca="false">L74*L75</f>
        <v>4.8048</v>
      </c>
      <c r="M76" s="34" t="n">
        <f aca="false">M74*M75</f>
        <v>4.8048</v>
      </c>
      <c r="N76" s="34" t="n">
        <f aca="false">N74*N75</f>
        <v>4.8048</v>
      </c>
      <c r="O76" s="56" t="n">
        <f aca="false">SUM(C76:N76)</f>
        <v>57.6576</v>
      </c>
      <c r="P76" s="56" t="n">
        <f aca="false">SUM(C76:G76)</f>
        <v>24.024</v>
      </c>
      <c r="Q76" s="8" t="s">
        <v>739</v>
      </c>
      <c r="R76" s="8" t="s">
        <v>613</v>
      </c>
    </row>
    <row r="77" customFormat="false" ht="15" hidden="false" customHeight="false" outlineLevel="0" collapsed="false">
      <c r="A77" s="8" t="s">
        <v>357</v>
      </c>
      <c r="B77" s="8" t="s">
        <v>300</v>
      </c>
      <c r="C77" s="34" t="n">
        <f aca="false">Assumptions!$E$68</f>
        <v>3.95754901373829</v>
      </c>
      <c r="D77" s="34" t="n">
        <f aca="false">C80</f>
        <v>4.70744429426204</v>
      </c>
      <c r="E77" s="34" t="n">
        <f aca="false">D80</f>
        <v>5.3710650062863</v>
      </c>
      <c r="F77" s="34" t="n">
        <f aca="false">E80</f>
        <v>5.77586201281207</v>
      </c>
      <c r="G77" s="34" t="n">
        <f aca="false">F80</f>
        <v>6.31007087208709</v>
      </c>
      <c r="H77" s="34" t="n">
        <f aca="false">G80</f>
        <v>6.80114244711235</v>
      </c>
      <c r="I77" s="34" t="n">
        <f aca="false">H80</f>
        <v>7.16280216938838</v>
      </c>
      <c r="J77" s="34" t="n">
        <f aca="false">I80</f>
        <v>7.56759917591415</v>
      </c>
      <c r="K77" s="34" t="n">
        <f aca="false">J80</f>
        <v>7.92925889819018</v>
      </c>
      <c r="L77" s="34" t="n">
        <f aca="false">K80</f>
        <v>8.20464405196671</v>
      </c>
      <c r="M77" s="34" t="n">
        <f aca="false">L80</f>
        <v>8.60944105849248</v>
      </c>
      <c r="N77" s="34" t="n">
        <f aca="false">M80</f>
        <v>9.18678720201725</v>
      </c>
      <c r="O77" s="56" t="n">
        <f aca="false">C77</f>
        <v>3.95754901373829</v>
      </c>
      <c r="P77" s="56" t="n">
        <f aca="false">C77</f>
        <v>3.95754901373829</v>
      </c>
      <c r="Q77" s="8" t="s">
        <v>739</v>
      </c>
      <c r="R77" s="8"/>
    </row>
    <row r="78" customFormat="false" ht="15" hidden="false" customHeight="false" outlineLevel="0" collapsed="false">
      <c r="A78" s="8" t="s">
        <v>615</v>
      </c>
      <c r="B78" s="8" t="s">
        <v>300</v>
      </c>
      <c r="C78" s="34" t="n">
        <f aca="false">C77+C76</f>
        <v>8.76234901373829</v>
      </c>
      <c r="D78" s="34" t="n">
        <f aca="false">D77+D76</f>
        <v>9.51224429426204</v>
      </c>
      <c r="E78" s="34" t="n">
        <f aca="false">E77+E76</f>
        <v>10.1758650062863</v>
      </c>
      <c r="F78" s="34" t="n">
        <f aca="false">F77+F76</f>
        <v>10.5806620128121</v>
      </c>
      <c r="G78" s="34" t="n">
        <f aca="false">G77+G76</f>
        <v>11.1148708720871</v>
      </c>
      <c r="H78" s="34" t="n">
        <f aca="false">H77+H76</f>
        <v>11.6059424471124</v>
      </c>
      <c r="I78" s="34" t="n">
        <f aca="false">I77+I76</f>
        <v>11.9676021693884</v>
      </c>
      <c r="J78" s="34" t="n">
        <f aca="false">J77+J76</f>
        <v>12.3723991759142</v>
      </c>
      <c r="K78" s="34" t="n">
        <f aca="false">K77+K76</f>
        <v>12.7340588981902</v>
      </c>
      <c r="L78" s="34" t="n">
        <f aca="false">L77+L76</f>
        <v>13.0094440519667</v>
      </c>
      <c r="M78" s="34" t="n">
        <f aca="false">M77+M76</f>
        <v>13.4142410584925</v>
      </c>
      <c r="N78" s="34" t="n">
        <f aca="false">N77+N76</f>
        <v>13.9915872020172</v>
      </c>
      <c r="Q78" s="8" t="s">
        <v>739</v>
      </c>
      <c r="R78" s="8"/>
    </row>
    <row r="79" customFormat="false" ht="15" hidden="false" customHeight="false" outlineLevel="0" collapsed="false">
      <c r="A79" s="7" t="s">
        <v>299</v>
      </c>
      <c r="B79" s="8" t="s">
        <v>300</v>
      </c>
      <c r="C79" s="34" t="n">
        <f aca="false">MIN(C71,C78)</f>
        <v>4.05490471947625</v>
      </c>
      <c r="D79" s="34" t="n">
        <f aca="false">MIN(D71,D78)</f>
        <v>4.14117928797574</v>
      </c>
      <c r="E79" s="34" t="n">
        <f aca="false">MIN(E71,E78)</f>
        <v>4.40000299347423</v>
      </c>
      <c r="F79" s="34" t="n">
        <f aca="false">MIN(F71,F78)</f>
        <v>4.27059114072498</v>
      </c>
      <c r="G79" s="34" t="n">
        <f aca="false">MIN(G71,G78)</f>
        <v>4.31372842497473</v>
      </c>
      <c r="H79" s="34" t="n">
        <f aca="false">MIN(H71,H78)</f>
        <v>4.44314027772397</v>
      </c>
      <c r="I79" s="34" t="n">
        <f aca="false">MIN(I71,I78)</f>
        <v>4.40000299347423</v>
      </c>
      <c r="J79" s="34" t="n">
        <f aca="false">MIN(J71,J78)</f>
        <v>4.44314027772397</v>
      </c>
      <c r="K79" s="34" t="n">
        <f aca="false">MIN(K71,K78)</f>
        <v>4.52941484622347</v>
      </c>
      <c r="L79" s="34" t="n">
        <f aca="false">MIN(L71,L78)</f>
        <v>4.40000299347423</v>
      </c>
      <c r="M79" s="34" t="n">
        <f aca="false">MIN(M71,M78)</f>
        <v>4.22745385647524</v>
      </c>
      <c r="N79" s="34" t="n">
        <f aca="false">MIN(N71,N78)</f>
        <v>4.14117928797574</v>
      </c>
      <c r="O79" s="56" t="n">
        <f aca="false">SUM(C79:N79)</f>
        <v>51.7647410996968</v>
      </c>
      <c r="P79" s="56" t="n">
        <f aca="false">SUM(C79:G79)</f>
        <v>21.1804065666259</v>
      </c>
      <c r="Q79" s="8" t="s">
        <v>739</v>
      </c>
      <c r="R79" s="8" t="s">
        <v>740</v>
      </c>
    </row>
    <row r="80" customFormat="false" ht="15" hidden="false" customHeight="false" outlineLevel="0" collapsed="false">
      <c r="A80" s="8" t="s">
        <v>618</v>
      </c>
      <c r="B80" s="8" t="s">
        <v>300</v>
      </c>
      <c r="C80" s="34" t="n">
        <f aca="false">C78-C79</f>
        <v>4.70744429426204</v>
      </c>
      <c r="D80" s="34" t="n">
        <f aca="false">D78-D79</f>
        <v>5.3710650062863</v>
      </c>
      <c r="E80" s="34" t="n">
        <f aca="false">E78-E79</f>
        <v>5.77586201281207</v>
      </c>
      <c r="F80" s="34" t="n">
        <f aca="false">F78-F79</f>
        <v>6.31007087208709</v>
      </c>
      <c r="G80" s="34" t="n">
        <f aca="false">G78-G79</f>
        <v>6.80114244711235</v>
      </c>
      <c r="H80" s="34" t="n">
        <f aca="false">H78-H79</f>
        <v>7.16280216938838</v>
      </c>
      <c r="I80" s="34" t="n">
        <f aca="false">I78-I79</f>
        <v>7.56759917591415</v>
      </c>
      <c r="J80" s="34" t="n">
        <f aca="false">J78-J79</f>
        <v>7.92925889819018</v>
      </c>
      <c r="K80" s="34" t="n">
        <f aca="false">K78-K79</f>
        <v>8.20464405196671</v>
      </c>
      <c r="L80" s="34" t="n">
        <f aca="false">L78-L79</f>
        <v>8.60944105849248</v>
      </c>
      <c r="M80" s="34" t="n">
        <f aca="false">M78-M79</f>
        <v>9.18678720201725</v>
      </c>
      <c r="N80" s="34" t="n">
        <f aca="false">N78-N79</f>
        <v>9.8504079140415</v>
      </c>
      <c r="O80" s="56" t="n">
        <f aca="false">N80</f>
        <v>9.8504079140415</v>
      </c>
      <c r="P80" s="56" t="n">
        <f aca="false">G80</f>
        <v>6.80114244711235</v>
      </c>
      <c r="Q80" s="8" t="s">
        <v>739</v>
      </c>
      <c r="R80" s="8" t="s">
        <v>741</v>
      </c>
    </row>
    <row r="81" customFormat="false" ht="15" hidden="false" customHeight="false" outlineLevel="0" collapsed="false">
      <c r="A81" s="8" t="s">
        <v>742</v>
      </c>
      <c r="B81" s="8" t="s">
        <v>300</v>
      </c>
      <c r="C81" s="34" t="n">
        <f aca="false">C71-C79</f>
        <v>0</v>
      </c>
      <c r="D81" s="34" t="n">
        <f aca="false">D71-D79</f>
        <v>0</v>
      </c>
      <c r="E81" s="34" t="n">
        <f aca="false">E71-E79</f>
        <v>0</v>
      </c>
      <c r="F81" s="34" t="n">
        <f aca="false">F71-F79</f>
        <v>0</v>
      </c>
      <c r="G81" s="34" t="n">
        <f aca="false">G71-G79</f>
        <v>0</v>
      </c>
      <c r="H81" s="34" t="n">
        <f aca="false">H71-H79</f>
        <v>0</v>
      </c>
      <c r="I81" s="34" t="n">
        <f aca="false">I71-I79</f>
        <v>0</v>
      </c>
      <c r="J81" s="34" t="n">
        <f aca="false">J71-J79</f>
        <v>0</v>
      </c>
      <c r="K81" s="34" t="n">
        <f aca="false">K71-K79</f>
        <v>0</v>
      </c>
      <c r="L81" s="34" t="n">
        <f aca="false">L71-L79</f>
        <v>0</v>
      </c>
      <c r="M81" s="34" t="n">
        <f aca="false">M71-M79</f>
        <v>0</v>
      </c>
      <c r="N81" s="34" t="n">
        <f aca="false">N71-N79</f>
        <v>0</v>
      </c>
      <c r="O81" s="56" t="n">
        <f aca="false">SUM(C81:N81)</f>
        <v>0</v>
      </c>
      <c r="P81" s="56" t="n">
        <f aca="false">SUM(C81:G81)</f>
        <v>0</v>
      </c>
      <c r="Q81" s="8" t="s">
        <v>739</v>
      </c>
      <c r="R81" s="8"/>
    </row>
    <row r="82" customFormat="false" ht="15" hidden="false" customHeight="false" outlineLevel="0" collapsed="false">
      <c r="A82" s="8" t="s">
        <v>624</v>
      </c>
      <c r="B82" s="8" t="s">
        <v>281</v>
      </c>
      <c r="C82" s="36" t="n">
        <f aca="false">Assumptions!$E$43*(1+$C$10)</f>
        <v>3.366</v>
      </c>
      <c r="D82" s="36" t="n">
        <f aca="false">Assumptions!$E$43*(1+$C$10)</f>
        <v>3.366</v>
      </c>
      <c r="E82" s="36" t="n">
        <f aca="false">Assumptions!$E$43*(1+$C$10)</f>
        <v>3.366</v>
      </c>
      <c r="F82" s="36" t="n">
        <f aca="false">Assumptions!$E$43*(1+$C$10)</f>
        <v>3.366</v>
      </c>
      <c r="G82" s="36" t="n">
        <f aca="false">Assumptions!$E$43*(1+$C$10)</f>
        <v>3.366</v>
      </c>
      <c r="H82" s="36" t="n">
        <f aca="false">Assumptions!$E$43*(1+$C$10)</f>
        <v>3.366</v>
      </c>
      <c r="I82" s="36" t="n">
        <f aca="false">Assumptions!$E$43*(1+$C$10)</f>
        <v>3.366</v>
      </c>
      <c r="J82" s="36" t="n">
        <f aca="false">Assumptions!$E$43*(1+$C$10)</f>
        <v>3.366</v>
      </c>
      <c r="K82" s="36" t="n">
        <f aca="false">Assumptions!$E$43*(1+$C$10)</f>
        <v>3.366</v>
      </c>
      <c r="L82" s="36" t="n">
        <f aca="false">Assumptions!$E$43*(1+$C$10)</f>
        <v>3.366</v>
      </c>
      <c r="M82" s="36" t="n">
        <f aca="false">Assumptions!$E$43*(1+$C$10)</f>
        <v>3.366</v>
      </c>
      <c r="N82" s="36" t="n">
        <f aca="false">Assumptions!$E$43*(1+$C$10)</f>
        <v>3.366</v>
      </c>
      <c r="O82" s="60" t="n">
        <f aca="false">IFERROR(O83/O79,0)</f>
        <v>3.366</v>
      </c>
      <c r="P82" s="60" t="n">
        <f aca="false">IFERROR(P83/P79,0)</f>
        <v>3.366</v>
      </c>
      <c r="Q82" s="8" t="s">
        <v>739</v>
      </c>
      <c r="R82" s="8"/>
    </row>
    <row r="83" customFormat="false" ht="15" hidden="false" customHeight="false" outlineLevel="0" collapsed="false">
      <c r="A83" s="7" t="s">
        <v>22</v>
      </c>
      <c r="B83" s="8" t="s">
        <v>259</v>
      </c>
      <c r="C83" s="30" t="n">
        <f aca="false">C79*C82</f>
        <v>13.6488092857571</v>
      </c>
      <c r="D83" s="30" t="n">
        <f aca="false">D79*D82</f>
        <v>13.9392094833264</v>
      </c>
      <c r="E83" s="30" t="n">
        <f aca="false">E79*E82</f>
        <v>14.8104100760342</v>
      </c>
      <c r="F83" s="30" t="n">
        <f aca="false">F79*F82</f>
        <v>14.3748097796803</v>
      </c>
      <c r="G83" s="30" t="n">
        <f aca="false">G79*G82</f>
        <v>14.5200098784649</v>
      </c>
      <c r="H83" s="30" t="n">
        <f aca="false">H79*H82</f>
        <v>14.9556101748189</v>
      </c>
      <c r="I83" s="30" t="n">
        <f aca="false">I79*I82</f>
        <v>14.8104100760342</v>
      </c>
      <c r="J83" s="30" t="n">
        <f aca="false">J79*J82</f>
        <v>14.9556101748189</v>
      </c>
      <c r="K83" s="30" t="n">
        <f aca="false">K79*K82</f>
        <v>15.2460103723882</v>
      </c>
      <c r="L83" s="30" t="n">
        <f aca="false">L79*L82</f>
        <v>14.8104100760342</v>
      </c>
      <c r="M83" s="30" t="n">
        <f aca="false">M79*M82</f>
        <v>14.2296096808957</v>
      </c>
      <c r="N83" s="30" t="n">
        <f aca="false">N79*N82</f>
        <v>13.9392094833264</v>
      </c>
      <c r="O83" s="42" t="n">
        <f aca="false">SUM(C83:N83)</f>
        <v>174.240118541579</v>
      </c>
      <c r="P83" s="42" t="n">
        <f aca="false">SUM(C83:G83)</f>
        <v>71.2932485032629</v>
      </c>
      <c r="Q83" s="8" t="s">
        <v>739</v>
      </c>
      <c r="R83" s="8" t="s">
        <v>626</v>
      </c>
    </row>
    <row r="84" customFormat="false" ht="15" hidden="false" customHeight="false" outlineLevel="0" collapsed="false">
      <c r="A84" s="8" t="s">
        <v>627</v>
      </c>
      <c r="B84" s="8" t="s">
        <v>281</v>
      </c>
      <c r="C84" s="36" t="n">
        <f aca="false">Assumptions!$E$45*(1+$C$13)</f>
        <v>0.9785</v>
      </c>
      <c r="D84" s="36" t="n">
        <f aca="false">Assumptions!$E$45*(1+$C$13)</f>
        <v>0.9785</v>
      </c>
      <c r="E84" s="36" t="n">
        <f aca="false">Assumptions!$E$45*(1+$C$13)</f>
        <v>0.9785</v>
      </c>
      <c r="F84" s="36" t="n">
        <f aca="false">Assumptions!$E$45*(1+$C$13)</f>
        <v>0.9785</v>
      </c>
      <c r="G84" s="36" t="n">
        <f aca="false">Assumptions!$E$45*(1+$C$13)</f>
        <v>0.9785</v>
      </c>
      <c r="H84" s="36" t="n">
        <f aca="false">Assumptions!$E$45*(1+$C$13)</f>
        <v>0.9785</v>
      </c>
      <c r="I84" s="36" t="n">
        <f aca="false">Assumptions!$E$45*(1+$C$13)</f>
        <v>0.9785</v>
      </c>
      <c r="J84" s="36" t="n">
        <f aca="false">Assumptions!$E$45*(1+$C$13)</f>
        <v>0.9785</v>
      </c>
      <c r="K84" s="36" t="n">
        <f aca="false">Assumptions!$E$45*(1+$C$13)</f>
        <v>0.9785</v>
      </c>
      <c r="L84" s="36" t="n">
        <f aca="false">Assumptions!$E$45*(1+$C$13)</f>
        <v>0.9785</v>
      </c>
      <c r="M84" s="36" t="n">
        <f aca="false">Assumptions!$E$45*(1+$C$13)</f>
        <v>0.9785</v>
      </c>
      <c r="N84" s="36" t="n">
        <f aca="false">Assumptions!$E$45*(1+$C$13)</f>
        <v>0.9785</v>
      </c>
      <c r="O84" s="60" t="n">
        <f aca="false">IFERROR(O85/O74,0)</f>
        <v>0.9785</v>
      </c>
      <c r="P84" s="60" t="n">
        <f aca="false">IFERROR(P85/P74,0)</f>
        <v>0.9785</v>
      </c>
      <c r="Q84" s="8" t="s">
        <v>739</v>
      </c>
      <c r="R84" s="8"/>
    </row>
    <row r="85" customFormat="false" ht="15" hidden="false" customHeight="false" outlineLevel="0" collapsed="false">
      <c r="A85" s="8" t="s">
        <v>306</v>
      </c>
      <c r="B85" s="8" t="s">
        <v>259</v>
      </c>
      <c r="C85" s="30" t="n">
        <f aca="false">C74*C84</f>
        <v>5.34261</v>
      </c>
      <c r="D85" s="30" t="n">
        <f aca="false">D74*D84</f>
        <v>5.34261</v>
      </c>
      <c r="E85" s="30" t="n">
        <f aca="false">E74*E84</f>
        <v>5.34261</v>
      </c>
      <c r="F85" s="30" t="n">
        <f aca="false">F74*F84</f>
        <v>5.34261</v>
      </c>
      <c r="G85" s="30" t="n">
        <f aca="false">G74*G84</f>
        <v>5.34261</v>
      </c>
      <c r="H85" s="30" t="n">
        <f aca="false">H74*H84</f>
        <v>5.34261</v>
      </c>
      <c r="I85" s="30" t="n">
        <f aca="false">I74*I84</f>
        <v>5.34261</v>
      </c>
      <c r="J85" s="30" t="n">
        <f aca="false">J74*J84</f>
        <v>5.34261</v>
      </c>
      <c r="K85" s="30" t="n">
        <f aca="false">K74*K84</f>
        <v>5.34261</v>
      </c>
      <c r="L85" s="30" t="n">
        <f aca="false">L74*L84</f>
        <v>5.34261</v>
      </c>
      <c r="M85" s="30" t="n">
        <f aca="false">M74*M84</f>
        <v>5.34261</v>
      </c>
      <c r="N85" s="30" t="n">
        <f aca="false">N74*N84</f>
        <v>5.34261</v>
      </c>
      <c r="O85" s="42" t="n">
        <f aca="false">SUM(C85:N85)</f>
        <v>64.11132</v>
      </c>
      <c r="P85" s="42" t="n">
        <f aca="false">SUM(C85:G85)</f>
        <v>26.71305</v>
      </c>
      <c r="Q85" s="8" t="s">
        <v>739</v>
      </c>
      <c r="R85" s="8" t="s">
        <v>743</v>
      </c>
    </row>
    <row r="86" customFormat="false" ht="15" hidden="false" customHeight="false" outlineLevel="0" collapsed="false">
      <c r="A86" s="8" t="s">
        <v>308</v>
      </c>
      <c r="B86" s="8" t="s">
        <v>259</v>
      </c>
      <c r="C86" s="30" t="n">
        <f aca="false">Assumptions!$E$46</f>
        <v>2.5</v>
      </c>
      <c r="D86" s="30" t="n">
        <f aca="false">Assumptions!$E$46</f>
        <v>2.5</v>
      </c>
      <c r="E86" s="30" t="n">
        <f aca="false">Assumptions!$E$46</f>
        <v>2.5</v>
      </c>
      <c r="F86" s="30" t="n">
        <f aca="false">Assumptions!$E$46</f>
        <v>2.5</v>
      </c>
      <c r="G86" s="30" t="n">
        <f aca="false">Assumptions!$E$46</f>
        <v>2.5</v>
      </c>
      <c r="H86" s="30" t="n">
        <f aca="false">Assumptions!$E$46</f>
        <v>2.5</v>
      </c>
      <c r="I86" s="30" t="n">
        <f aca="false">Assumptions!$E$46</f>
        <v>2.5</v>
      </c>
      <c r="J86" s="30" t="n">
        <f aca="false">Assumptions!$E$46</f>
        <v>2.5</v>
      </c>
      <c r="K86" s="30" t="n">
        <f aca="false">Assumptions!$E$46</f>
        <v>2.5</v>
      </c>
      <c r="L86" s="30" t="n">
        <f aca="false">Assumptions!$E$46</f>
        <v>2.5</v>
      </c>
      <c r="M86" s="30" t="n">
        <f aca="false">Assumptions!$E$46</f>
        <v>2.5</v>
      </c>
      <c r="N86" s="30" t="n">
        <f aca="false">Assumptions!$E$46</f>
        <v>2.5</v>
      </c>
      <c r="O86" s="42" t="n">
        <f aca="false">SUM(C86:N86)</f>
        <v>30</v>
      </c>
      <c r="P86" s="42" t="n">
        <f aca="false">SUM(C86:G86)</f>
        <v>12.5</v>
      </c>
      <c r="Q86" s="8" t="s">
        <v>739</v>
      </c>
      <c r="R86" s="8"/>
    </row>
    <row r="87" customFormat="false" ht="15" hidden="false" customHeight="false" outlineLevel="0" collapsed="false">
      <c r="A87" s="8" t="s">
        <v>630</v>
      </c>
      <c r="B87" s="8" t="s">
        <v>259</v>
      </c>
      <c r="C87" s="30" t="n">
        <f aca="false">C85+C86</f>
        <v>7.84261</v>
      </c>
      <c r="D87" s="30" t="n">
        <f aca="false">D85+D86</f>
        <v>7.84261</v>
      </c>
      <c r="E87" s="30" t="n">
        <f aca="false">E85+E86</f>
        <v>7.84261</v>
      </c>
      <c r="F87" s="30" t="n">
        <f aca="false">F85+F86</f>
        <v>7.84261</v>
      </c>
      <c r="G87" s="30" t="n">
        <f aca="false">G85+G86</f>
        <v>7.84261</v>
      </c>
      <c r="H87" s="30" t="n">
        <f aca="false">H85+H86</f>
        <v>7.84261</v>
      </c>
      <c r="I87" s="30" t="n">
        <f aca="false">I85+I86</f>
        <v>7.84261</v>
      </c>
      <c r="J87" s="30" t="n">
        <f aca="false">J85+J86</f>
        <v>7.84261</v>
      </c>
      <c r="K87" s="30" t="n">
        <f aca="false">K85+K86</f>
        <v>7.84261</v>
      </c>
      <c r="L87" s="30" t="n">
        <f aca="false">L85+L86</f>
        <v>7.84261</v>
      </c>
      <c r="M87" s="30" t="n">
        <f aca="false">M85+M86</f>
        <v>7.84261</v>
      </c>
      <c r="N87" s="30" t="n">
        <f aca="false">N85+N86</f>
        <v>7.84261</v>
      </c>
      <c r="O87" s="42" t="n">
        <f aca="false">SUM(C87:N87)</f>
        <v>94.11132</v>
      </c>
      <c r="P87" s="42" t="n">
        <f aca="false">SUM(C87:G87)</f>
        <v>39.21305</v>
      </c>
      <c r="Q87" s="8" t="s">
        <v>739</v>
      </c>
      <c r="R87" s="8" t="s">
        <v>744</v>
      </c>
    </row>
    <row r="88" customFormat="false" ht="15" hidden="false" customHeight="false" outlineLevel="0" collapsed="false">
      <c r="A88" s="8" t="s">
        <v>316</v>
      </c>
      <c r="B88" s="8" t="s">
        <v>281</v>
      </c>
      <c r="C88" s="36" t="n">
        <f aca="false">IFERROR(C87/C76,0)</f>
        <v>1.63224483849484</v>
      </c>
      <c r="D88" s="36" t="n">
        <f aca="false">IFERROR(D87/D76,0)</f>
        <v>1.63224483849484</v>
      </c>
      <c r="E88" s="36" t="n">
        <f aca="false">IFERROR(E87/E76,0)</f>
        <v>1.63224483849484</v>
      </c>
      <c r="F88" s="36" t="n">
        <f aca="false">IFERROR(F87/F76,0)</f>
        <v>1.63224483849484</v>
      </c>
      <c r="G88" s="36" t="n">
        <f aca="false">IFERROR(G87/G76,0)</f>
        <v>1.63224483849484</v>
      </c>
      <c r="H88" s="36" t="n">
        <f aca="false">IFERROR(H87/H76,0)</f>
        <v>1.63224483849484</v>
      </c>
      <c r="I88" s="36" t="n">
        <f aca="false">IFERROR(I87/I76,0)</f>
        <v>1.63224483849484</v>
      </c>
      <c r="J88" s="36" t="n">
        <f aca="false">IFERROR(J87/J76,0)</f>
        <v>1.63224483849484</v>
      </c>
      <c r="K88" s="36" t="n">
        <f aca="false">IFERROR(K87/K76,0)</f>
        <v>1.63224483849484</v>
      </c>
      <c r="L88" s="36" t="n">
        <f aca="false">IFERROR(L87/L76,0)</f>
        <v>1.63224483849484</v>
      </c>
      <c r="M88" s="36" t="n">
        <f aca="false">IFERROR(M87/M76,0)</f>
        <v>1.63224483849484</v>
      </c>
      <c r="N88" s="36" t="n">
        <f aca="false">IFERROR(N87/N76,0)</f>
        <v>1.63224483849484</v>
      </c>
      <c r="O88" s="60" t="n">
        <f aca="false">IFERROR(O87/O76,0)</f>
        <v>1.63224483849484</v>
      </c>
      <c r="P88" s="60" t="n">
        <f aca="false">IFERROR(P87/P76,0)</f>
        <v>1.63224483849484</v>
      </c>
      <c r="Q88" s="8" t="s">
        <v>739</v>
      </c>
      <c r="R88" s="8"/>
    </row>
    <row r="89" customFormat="false" ht="15" hidden="false" customHeight="false" outlineLevel="0" collapsed="false">
      <c r="A89" s="8" t="s">
        <v>632</v>
      </c>
      <c r="B89" s="8" t="s">
        <v>259</v>
      </c>
      <c r="C89" s="30" t="n">
        <f aca="false">Assumptions!$E$69</f>
        <v>6.77235404892201</v>
      </c>
      <c r="D89" s="30" t="n">
        <f aca="false">C92</f>
        <v>7.85167641862635</v>
      </c>
      <c r="E89" s="30" t="n">
        <f aca="false">D92</f>
        <v>8.86173966669113</v>
      </c>
      <c r="F89" s="30" t="n">
        <f aca="false">E92</f>
        <v>9.48145623285765</v>
      </c>
      <c r="G89" s="30" t="n">
        <f aca="false">F92</f>
        <v>10.3316867687194</v>
      </c>
      <c r="H89" s="30" t="n">
        <f aca="false">G92</f>
        <v>11.1207752768921</v>
      </c>
      <c r="I89" s="30" t="n">
        <f aca="false">H92</f>
        <v>11.7035714953133</v>
      </c>
      <c r="J89" s="30" t="n">
        <f aca="false">I92</f>
        <v>12.3598415858572</v>
      </c>
      <c r="K89" s="30" t="n">
        <f aca="false">J92</f>
        <v>12.9474054890068</v>
      </c>
      <c r="L89" s="30" t="n">
        <f aca="false">K92</f>
        <v>13.3951537593735</v>
      </c>
      <c r="M89" s="30" t="n">
        <f aca="false">L92</f>
        <v>14.0548108412728</v>
      </c>
      <c r="N89" s="30" t="n">
        <f aca="false">M92</f>
        <v>14.9965208366696</v>
      </c>
      <c r="O89" s="42" t="n">
        <f aca="false">C89</f>
        <v>6.77235404892201</v>
      </c>
      <c r="P89" s="42" t="n">
        <f aca="false">C89</f>
        <v>6.77235404892201</v>
      </c>
      <c r="Q89" s="8" t="s">
        <v>739</v>
      </c>
      <c r="R89" s="8"/>
    </row>
    <row r="90" customFormat="false" ht="15" hidden="false" customHeight="false" outlineLevel="0" collapsed="false">
      <c r="A90" s="8" t="s">
        <v>634</v>
      </c>
      <c r="B90" s="8" t="s">
        <v>281</v>
      </c>
      <c r="C90" s="36" t="n">
        <f aca="false">IFERROR((C89+C87)/C78,0)</f>
        <v>1.66792763287647</v>
      </c>
      <c r="D90" s="36" t="n">
        <f aca="false">IFERROR((D89+D87)/D78,0)</f>
        <v>1.64990363295163</v>
      </c>
      <c r="E90" s="36" t="n">
        <f aca="false">IFERROR((E89+E87)/E78,0)</f>
        <v>1.64156557269301</v>
      </c>
      <c r="F90" s="36" t="n">
        <f aca="false">IFERROR((F89+F87)/F78,0)</f>
        <v>1.63733292036737</v>
      </c>
      <c r="G90" s="36" t="n">
        <f aca="false">IFERROR((G89+G87)/G78,0)</f>
        <v>1.63513341521229</v>
      </c>
      <c r="H90" s="36" t="n">
        <f aca="false">IFERROR((H89+H87)/H78,0)</f>
        <v>1.63393755942762</v>
      </c>
      <c r="I90" s="36" t="n">
        <f aca="false">IFERROR((I89+I87)/I78,0)</f>
        <v>1.63325795916829</v>
      </c>
      <c r="J90" s="36" t="n">
        <f aca="false">IFERROR((J89+J87)/J78,0)</f>
        <v>1.63286451549236</v>
      </c>
      <c r="K90" s="36" t="n">
        <f aca="false">IFERROR((K89+K87)/K78,0)</f>
        <v>1.63263069970264</v>
      </c>
      <c r="L90" s="36" t="n">
        <f aca="false">IFERROR((L89+L87)/L78,0)</f>
        <v>1.6324881889294</v>
      </c>
      <c r="M90" s="36" t="n">
        <f aca="false">IFERROR((M89+M87)/M78,0)</f>
        <v>1.63240102408997</v>
      </c>
      <c r="N90" s="36" t="n">
        <f aca="false">IFERROR((N89+N87)/N78,0)</f>
        <v>1.63234738896361</v>
      </c>
      <c r="Q90" s="8" t="s">
        <v>739</v>
      </c>
      <c r="R90" s="8" t="s">
        <v>745</v>
      </c>
    </row>
    <row r="91" customFormat="false" ht="15" hidden="false" customHeight="false" outlineLevel="0" collapsed="false">
      <c r="A91" s="8" t="s">
        <v>746</v>
      </c>
      <c r="B91" s="8" t="s">
        <v>259</v>
      </c>
      <c r="C91" s="30" t="n">
        <f aca="false">C79*C90</f>
        <v>6.76328763029566</v>
      </c>
      <c r="D91" s="30" t="n">
        <f aca="false">D79*D90</f>
        <v>6.83254675193522</v>
      </c>
      <c r="E91" s="30" t="n">
        <f aca="false">E79*E90</f>
        <v>7.22289343383348</v>
      </c>
      <c r="F91" s="30" t="n">
        <f aca="false">F79*F90</f>
        <v>6.99237946413824</v>
      </c>
      <c r="G91" s="30" t="n">
        <f aca="false">G79*G90</f>
        <v>7.05352149182729</v>
      </c>
      <c r="H91" s="30" t="n">
        <f aca="false">H79*H90</f>
        <v>7.25981378157885</v>
      </c>
      <c r="I91" s="30" t="n">
        <f aca="false">I79*I90</f>
        <v>7.18633990945609</v>
      </c>
      <c r="J91" s="30" t="n">
        <f aca="false">J79*J90</f>
        <v>7.25504609685037</v>
      </c>
      <c r="K91" s="30" t="n">
        <f aca="false">K79*K90</f>
        <v>7.39486172963334</v>
      </c>
      <c r="L91" s="30" t="n">
        <f aca="false">L79*L90</f>
        <v>7.18295291810068</v>
      </c>
      <c r="M91" s="30" t="n">
        <f aca="false">M79*M90</f>
        <v>6.90090000460326</v>
      </c>
      <c r="N91" s="30" t="n">
        <f aca="false">N79*N90</f>
        <v>6.7598431979574</v>
      </c>
      <c r="O91" s="42" t="n">
        <f aca="false">SUM(C91:N91)</f>
        <v>84.8043864102099</v>
      </c>
      <c r="P91" s="42" t="n">
        <f aca="false">SUM(C91:G91)</f>
        <v>34.8646287720299</v>
      </c>
      <c r="Q91" s="8" t="s">
        <v>739</v>
      </c>
      <c r="R91" s="8" t="s">
        <v>636</v>
      </c>
    </row>
    <row r="92" customFormat="false" ht="15" hidden="false" customHeight="false" outlineLevel="0" collapsed="false">
      <c r="A92" s="8" t="s">
        <v>637</v>
      </c>
      <c r="B92" s="8" t="s">
        <v>259</v>
      </c>
      <c r="C92" s="30" t="n">
        <f aca="false">C89+C87-C91</f>
        <v>7.85167641862635</v>
      </c>
      <c r="D92" s="30" t="n">
        <f aca="false">D89+D87-D91</f>
        <v>8.86173966669113</v>
      </c>
      <c r="E92" s="30" t="n">
        <f aca="false">E89+E87-E91</f>
        <v>9.48145623285765</v>
      </c>
      <c r="F92" s="30" t="n">
        <f aca="false">F89+F87-F91</f>
        <v>10.3316867687194</v>
      </c>
      <c r="G92" s="30" t="n">
        <f aca="false">G89+G87-G91</f>
        <v>11.1207752768921</v>
      </c>
      <c r="H92" s="30" t="n">
        <f aca="false">H89+H87-H91</f>
        <v>11.7035714953133</v>
      </c>
      <c r="I92" s="30" t="n">
        <f aca="false">I89+I87-I91</f>
        <v>12.3598415858572</v>
      </c>
      <c r="J92" s="30" t="n">
        <f aca="false">J89+J87-J91</f>
        <v>12.9474054890068</v>
      </c>
      <c r="K92" s="30" t="n">
        <f aca="false">K89+K87-K91</f>
        <v>13.3951537593735</v>
      </c>
      <c r="L92" s="30" t="n">
        <f aca="false">L89+L87-L91</f>
        <v>14.0548108412728</v>
      </c>
      <c r="M92" s="30" t="n">
        <f aca="false">M89+M87-M91</f>
        <v>14.9965208366696</v>
      </c>
      <c r="N92" s="30" t="n">
        <f aca="false">N89+N87-N91</f>
        <v>16.0792876387122</v>
      </c>
      <c r="O92" s="42" t="n">
        <f aca="false">N92</f>
        <v>16.0792876387122</v>
      </c>
      <c r="P92" s="42" t="n">
        <f aca="false">G92</f>
        <v>11.1207752768921</v>
      </c>
      <c r="Q92" s="8" t="s">
        <v>739</v>
      </c>
      <c r="R92" s="8" t="s">
        <v>747</v>
      </c>
    </row>
    <row r="93" customFormat="false" ht="15" hidden="false" customHeight="false" outlineLevel="0" collapsed="false">
      <c r="A93" s="7" t="s">
        <v>748</v>
      </c>
      <c r="B93" s="8" t="s">
        <v>259</v>
      </c>
      <c r="C93" s="30" t="n">
        <f aca="false">C83-C91</f>
        <v>6.88552165546139</v>
      </c>
      <c r="D93" s="30" t="n">
        <f aca="false">D83-D91</f>
        <v>7.10666273139113</v>
      </c>
      <c r="E93" s="30" t="n">
        <f aca="false">E83-E91</f>
        <v>7.58751664220077</v>
      </c>
      <c r="F93" s="30" t="n">
        <f aca="false">F83-F91</f>
        <v>7.38243031554205</v>
      </c>
      <c r="G93" s="30" t="n">
        <f aca="false">G83-G91</f>
        <v>7.46648838663766</v>
      </c>
      <c r="H93" s="30" t="n">
        <f aca="false">H83-H91</f>
        <v>7.69579639324005</v>
      </c>
      <c r="I93" s="30" t="n">
        <f aca="false">I83-I91</f>
        <v>7.62407016657816</v>
      </c>
      <c r="J93" s="30" t="n">
        <f aca="false">J83-J91</f>
        <v>7.70056407796853</v>
      </c>
      <c r="K93" s="30" t="n">
        <f aca="false">K83-K91</f>
        <v>7.85114864275486</v>
      </c>
      <c r="L93" s="30" t="n">
        <f aca="false">L83-L91</f>
        <v>7.62745715793357</v>
      </c>
      <c r="M93" s="30" t="n">
        <f aca="false">M83-M91</f>
        <v>7.32870967629239</v>
      </c>
      <c r="N93" s="30" t="n">
        <f aca="false">N83-N91</f>
        <v>7.17936628536895</v>
      </c>
      <c r="O93" s="42" t="n">
        <f aca="false">SUM(C93:N93)</f>
        <v>89.4357321313695</v>
      </c>
      <c r="P93" s="42" t="n">
        <f aca="false">SUM(C93:G93)</f>
        <v>36.428619731233</v>
      </c>
      <c r="Q93" s="8" t="s">
        <v>739</v>
      </c>
      <c r="R93" s="8" t="s">
        <v>313</v>
      </c>
    </row>
    <row r="94" customFormat="false" ht="15" hidden="false" customHeight="false" outlineLevel="0" collapsed="false">
      <c r="A94" s="8" t="s">
        <v>314</v>
      </c>
      <c r="B94" s="8" t="s">
        <v>226</v>
      </c>
      <c r="C94" s="35" t="n">
        <f aca="false">IFERROR(C93/C83,0)</f>
        <v>0.504477827428261</v>
      </c>
      <c r="D94" s="35" t="n">
        <f aca="false">IFERROR(D93/D83,0)</f>
        <v>0.509832551113598</v>
      </c>
      <c r="E94" s="35" t="n">
        <f aca="false">IFERROR(E93/E83,0)</f>
        <v>0.512309693198749</v>
      </c>
      <c r="F94" s="35" t="n">
        <f aca="false">IFERROR(F93/F83,0)</f>
        <v>0.513567165666261</v>
      </c>
      <c r="G94" s="35" t="n">
        <f aca="false">IFERROR(G93/G83,0)</f>
        <v>0.514220613424749</v>
      </c>
      <c r="H94" s="35" t="n">
        <f aca="false">IFERROR(H93/H83,0)</f>
        <v>0.514575888464761</v>
      </c>
      <c r="I94" s="35" t="n">
        <f aca="false">IFERROR(I93/I83,0)</f>
        <v>0.51477778990841</v>
      </c>
      <c r="J94" s="35" t="n">
        <f aca="false">IFERROR(J93/J83,0)</f>
        <v>0.514894677512667</v>
      </c>
      <c r="K94" s="35" t="n">
        <f aca="false">IFERROR(K93/K83,0)</f>
        <v>0.514964141502485</v>
      </c>
      <c r="L94" s="35" t="n">
        <f aca="false">IFERROR(L93/L83,0)</f>
        <v>0.515006479818954</v>
      </c>
      <c r="M94" s="35" t="n">
        <f aca="false">IFERROR(M93/M83,0)</f>
        <v>0.515032375493177</v>
      </c>
      <c r="N94" s="35" t="n">
        <f aca="false">IFERROR(N93/N83,0)</f>
        <v>0.51504830987415</v>
      </c>
      <c r="O94" s="57" t="n">
        <f aca="false">IFERROR(O93/O83,0)</f>
        <v>0.513290124455621</v>
      </c>
      <c r="P94" s="57" t="n">
        <f aca="false">IFERROR(P93/P83,0)</f>
        <v>0.510968717178959</v>
      </c>
      <c r="Q94" s="8" t="s">
        <v>739</v>
      </c>
      <c r="R94" s="8"/>
    </row>
    <row r="96" customFormat="false" ht="15" hidden="false" customHeight="false" outlineLevel="0" collapsed="false">
      <c r="A96" s="16" t="s">
        <v>751</v>
      </c>
      <c r="B96" s="17"/>
      <c r="C96" s="17"/>
      <c r="D96" s="17"/>
      <c r="E96" s="17"/>
      <c r="F96" s="17"/>
      <c r="G96" s="17"/>
      <c r="H96" s="17"/>
      <c r="I96" s="17"/>
      <c r="J96" s="17"/>
      <c r="K96" s="17"/>
      <c r="L96" s="17"/>
      <c r="M96" s="17"/>
      <c r="N96" s="17"/>
      <c r="O96" s="17"/>
      <c r="P96" s="17"/>
      <c r="Q96" s="17"/>
      <c r="R96" s="17"/>
    </row>
    <row r="97" customFormat="false" ht="15" hidden="false" customHeight="false" outlineLevel="0" collapsed="false">
      <c r="A97" s="7" t="s">
        <v>22</v>
      </c>
      <c r="B97" s="8" t="s">
        <v>259</v>
      </c>
      <c r="C97" s="30" t="n">
        <f aca="false">C31+C57+C83</f>
        <v>89.7317525294857</v>
      </c>
      <c r="D97" s="30" t="n">
        <f aca="false">D31+D57+D83</f>
        <v>91.6409387535173</v>
      </c>
      <c r="E97" s="30" t="n">
        <f aca="false">E31+E57+E83</f>
        <v>97.3684974256122</v>
      </c>
      <c r="F97" s="30" t="n">
        <f aca="false">F31+F57+F83</f>
        <v>94.5047180895648</v>
      </c>
      <c r="G97" s="30" t="n">
        <f aca="false">G31+G57+G83</f>
        <v>95.4593112015806</v>
      </c>
      <c r="H97" s="30" t="n">
        <f aca="false">H31+H57+H83</f>
        <v>98.323090537628</v>
      </c>
      <c r="I97" s="30" t="n">
        <f aca="false">I31+I57+I83</f>
        <v>97.3684974256122</v>
      </c>
      <c r="J97" s="30" t="n">
        <f aca="false">J31+J57+J83</f>
        <v>98.323090537628</v>
      </c>
      <c r="K97" s="30" t="n">
        <f aca="false">K31+K57+K83</f>
        <v>100.23227676166</v>
      </c>
      <c r="L97" s="30" t="n">
        <f aca="false">L31+L57+L83</f>
        <v>97.3684974256122</v>
      </c>
      <c r="M97" s="30" t="n">
        <f aca="false">M31+M57+M83</f>
        <v>93.550124977549</v>
      </c>
      <c r="N97" s="30" t="n">
        <f aca="false">N31+N57+N83</f>
        <v>91.6409387535173</v>
      </c>
      <c r="O97" s="42" t="n">
        <f aca="false">SUM(C97:N97)</f>
        <v>1145.51173441897</v>
      </c>
      <c r="P97" s="42" t="n">
        <f aca="false">SUM(C97:G97)</f>
        <v>468.705217999761</v>
      </c>
      <c r="Q97" s="8" t="s">
        <v>739</v>
      </c>
    </row>
    <row r="98" customFormat="false" ht="15" hidden="false" customHeight="false" outlineLevel="0" collapsed="false">
      <c r="A98" s="8" t="s">
        <v>306</v>
      </c>
      <c r="B98" s="8" t="s">
        <v>259</v>
      </c>
      <c r="C98" s="30" t="n">
        <f aca="false">C33+C59+C85</f>
        <v>25.363338</v>
      </c>
      <c r="D98" s="30" t="n">
        <f aca="false">D33+D59+D85</f>
        <v>25.363338</v>
      </c>
      <c r="E98" s="30" t="n">
        <f aca="false">E33+E59+E85</f>
        <v>25.363338</v>
      </c>
      <c r="F98" s="30" t="n">
        <f aca="false">F33+F59+F85</f>
        <v>25.363338</v>
      </c>
      <c r="G98" s="30" t="n">
        <f aca="false">G33+G59+G85</f>
        <v>25.363338</v>
      </c>
      <c r="H98" s="30" t="n">
        <f aca="false">H33+H59+H85</f>
        <v>25.363338</v>
      </c>
      <c r="I98" s="30" t="n">
        <f aca="false">I33+I59+I85</f>
        <v>25.363338</v>
      </c>
      <c r="J98" s="30" t="n">
        <f aca="false">J33+J59+J85</f>
        <v>25.363338</v>
      </c>
      <c r="K98" s="30" t="n">
        <f aca="false">K33+K59+K85</f>
        <v>25.363338</v>
      </c>
      <c r="L98" s="30" t="n">
        <f aca="false">L33+L59+L85</f>
        <v>25.363338</v>
      </c>
      <c r="M98" s="30" t="n">
        <f aca="false">M33+M59+M85</f>
        <v>25.363338</v>
      </c>
      <c r="N98" s="30" t="n">
        <f aca="false">N33+N59+N85</f>
        <v>25.363338</v>
      </c>
      <c r="O98" s="42" t="n">
        <f aca="false">SUM(C98:N98)</f>
        <v>304.360056</v>
      </c>
      <c r="P98" s="42" t="n">
        <f aca="false">SUM(C98:G98)</f>
        <v>126.81669</v>
      </c>
      <c r="Q98" s="8" t="s">
        <v>739</v>
      </c>
    </row>
    <row r="99" customFormat="false" ht="15" hidden="false" customHeight="false" outlineLevel="0" collapsed="false">
      <c r="A99" s="8" t="s">
        <v>308</v>
      </c>
      <c r="B99" s="8" t="s">
        <v>259</v>
      </c>
      <c r="C99" s="30" t="n">
        <f aca="false">C34+C60+C86</f>
        <v>14.5</v>
      </c>
      <c r="D99" s="30" t="n">
        <f aca="false">D34+D60+D86</f>
        <v>14.5</v>
      </c>
      <c r="E99" s="30" t="n">
        <f aca="false">E34+E60+E86</f>
        <v>14.5</v>
      </c>
      <c r="F99" s="30" t="n">
        <f aca="false">F34+F60+F86</f>
        <v>14.5</v>
      </c>
      <c r="G99" s="30" t="n">
        <f aca="false">G34+G60+G86</f>
        <v>14.5</v>
      </c>
      <c r="H99" s="30" t="n">
        <f aca="false">H34+H60+H86</f>
        <v>14.5</v>
      </c>
      <c r="I99" s="30" t="n">
        <f aca="false">I34+I60+I86</f>
        <v>14.5</v>
      </c>
      <c r="J99" s="30" t="n">
        <f aca="false">J34+J60+J86</f>
        <v>14.5</v>
      </c>
      <c r="K99" s="30" t="n">
        <f aca="false">K34+K60+K86</f>
        <v>14.5</v>
      </c>
      <c r="L99" s="30" t="n">
        <f aca="false">L34+L60+L86</f>
        <v>14.5</v>
      </c>
      <c r="M99" s="30" t="n">
        <f aca="false">M34+M60+M86</f>
        <v>14.5</v>
      </c>
      <c r="N99" s="30" t="n">
        <f aca="false">N34+N60+N86</f>
        <v>14.5</v>
      </c>
      <c r="O99" s="42" t="n">
        <f aca="false">SUM(C99:N99)</f>
        <v>174</v>
      </c>
      <c r="P99" s="42" t="n">
        <f aca="false">SUM(C99:G99)</f>
        <v>72.5</v>
      </c>
      <c r="Q99" s="8" t="s">
        <v>739</v>
      </c>
    </row>
    <row r="100" customFormat="false" ht="15" hidden="false" customHeight="false" outlineLevel="0" collapsed="false">
      <c r="A100" s="8" t="s">
        <v>675</v>
      </c>
      <c r="B100" s="8" t="s">
        <v>259</v>
      </c>
      <c r="C100" s="30" t="n">
        <f aca="false">C39+C65+C91</f>
        <v>37.8969392503702</v>
      </c>
      <c r="D100" s="30" t="n">
        <f aca="false">D39+D65+D91</f>
        <v>38.3367745166976</v>
      </c>
      <c r="E100" s="30" t="n">
        <f aca="false">E39+E65+E91</f>
        <v>40.5504912665927</v>
      </c>
      <c r="F100" s="30" t="n">
        <f aca="false">F39+F65+F91</f>
        <v>39.2700154529594</v>
      </c>
      <c r="G100" s="30" t="n">
        <f aca="false">G39+G65+G91</f>
        <v>39.6235450899804</v>
      </c>
      <c r="H100" s="30" t="n">
        <f aca="false">H39+H65+H91</f>
        <v>40.7902870660209</v>
      </c>
      <c r="I100" s="30" t="n">
        <f aca="false">I39+I65+I91</f>
        <v>40.3832606890625</v>
      </c>
      <c r="J100" s="30" t="n">
        <f aca="false">J39+J65+J91</f>
        <v>40.7735954599277</v>
      </c>
      <c r="K100" s="30" t="n">
        <f aca="false">K39+K65+K91</f>
        <v>41.5624205879339</v>
      </c>
      <c r="L100" s="30" t="n">
        <f aca="false">L39+L65+L91</f>
        <v>40.3734609759448</v>
      </c>
      <c r="M100" s="30" t="n">
        <f aca="false">M39+M65+M91</f>
        <v>38.7894592214872</v>
      </c>
      <c r="N100" s="30" t="n">
        <f aca="false">N39+N65+N91</f>
        <v>37.9974598474738</v>
      </c>
      <c r="O100" s="42" t="n">
        <f aca="false">SUM(C100:N100)</f>
        <v>476.347709424451</v>
      </c>
      <c r="P100" s="42" t="n">
        <f aca="false">SUM(C100:G100)</f>
        <v>195.6777655766</v>
      </c>
      <c r="Q100" s="8" t="s">
        <v>739</v>
      </c>
    </row>
    <row r="101" customFormat="false" ht="15" hidden="false" customHeight="false" outlineLevel="0" collapsed="false">
      <c r="A101" s="8" t="s">
        <v>447</v>
      </c>
      <c r="B101" s="8" t="s">
        <v>259</v>
      </c>
      <c r="C101" s="30" t="n">
        <f aca="false">C97*$C$16</f>
        <v>4.48658762647429</v>
      </c>
      <c r="D101" s="30" t="n">
        <f aca="false">D97*$C$16</f>
        <v>4.58204693767587</v>
      </c>
      <c r="E101" s="30" t="n">
        <f aca="false">E97*$C$16</f>
        <v>4.86842487128061</v>
      </c>
      <c r="F101" s="30" t="n">
        <f aca="false">F97*$C$16</f>
        <v>4.72523590447824</v>
      </c>
      <c r="G101" s="30" t="n">
        <f aca="false">G97*$C$16</f>
        <v>4.77296556007903</v>
      </c>
      <c r="H101" s="30" t="n">
        <f aca="false">H97*$C$16</f>
        <v>4.9161545268814</v>
      </c>
      <c r="I101" s="30" t="n">
        <f aca="false">I97*$C$16</f>
        <v>4.86842487128061</v>
      </c>
      <c r="J101" s="30" t="n">
        <f aca="false">J97*$C$16</f>
        <v>4.9161545268814</v>
      </c>
      <c r="K101" s="30" t="n">
        <f aca="false">K97*$C$16</f>
        <v>5.01161383808298</v>
      </c>
      <c r="L101" s="30" t="n">
        <f aca="false">L97*$C$16</f>
        <v>4.86842487128061</v>
      </c>
      <c r="M101" s="30" t="n">
        <f aca="false">M97*$C$16</f>
        <v>4.67750624887745</v>
      </c>
      <c r="N101" s="30" t="n">
        <f aca="false">N97*$C$16</f>
        <v>4.58204693767587</v>
      </c>
      <c r="O101" s="42" t="n">
        <f aca="false">SUM(C101:N101)</f>
        <v>57.2755867209483</v>
      </c>
      <c r="P101" s="42" t="n">
        <f aca="false">SUM(C101:G101)</f>
        <v>23.435260899988</v>
      </c>
      <c r="Q101" s="8" t="s">
        <v>739</v>
      </c>
    </row>
    <row r="102" customFormat="false" ht="15" hidden="false" customHeight="false" outlineLevel="0" collapsed="false">
      <c r="A102" s="8" t="s">
        <v>708</v>
      </c>
      <c r="B102" s="8" t="s">
        <v>259</v>
      </c>
      <c r="C102" s="30" t="n">
        <f aca="false">0</f>
        <v>0</v>
      </c>
      <c r="D102" s="30" t="n">
        <f aca="false">SUM($C$101:C101)/Assumptions!$F$86</f>
        <v>0.0747764604412381</v>
      </c>
      <c r="E102" s="30" t="n">
        <f aca="false">SUM($C$101:D101)/Assumptions!$F$86</f>
        <v>0.151143909402503</v>
      </c>
      <c r="F102" s="30" t="n">
        <f aca="false">SUM($C$101:E101)/Assumptions!$F$86</f>
        <v>0.232284323923846</v>
      </c>
      <c r="G102" s="30" t="n">
        <f aca="false">SUM($C$101:F101)/Assumptions!$F$86</f>
        <v>0.31103825566515</v>
      </c>
      <c r="H102" s="30" t="n">
        <f aca="false">SUM($C$101:G101)/Assumptions!$F$86</f>
        <v>0.390587681666467</v>
      </c>
      <c r="I102" s="30" t="n">
        <f aca="false">SUM($C$101:H101)/Assumptions!$F$86</f>
        <v>0.472523590447824</v>
      </c>
      <c r="J102" s="30" t="n">
        <f aca="false">SUM($C$101:I101)/Assumptions!$F$86</f>
        <v>0.553664004969167</v>
      </c>
      <c r="K102" s="30" t="n">
        <f aca="false">SUM($C$101:J101)/Assumptions!$F$86</f>
        <v>0.635599913750524</v>
      </c>
      <c r="L102" s="30" t="n">
        <f aca="false">SUM($C$101:K101)/Assumptions!$F$86</f>
        <v>0.719126811051907</v>
      </c>
      <c r="M102" s="30" t="n">
        <f aca="false">SUM($C$101:L101)/Assumptions!$F$86</f>
        <v>0.800267225573251</v>
      </c>
      <c r="N102" s="30" t="n">
        <f aca="false">SUM($C$101:M101)/Assumptions!$F$86</f>
        <v>0.878225663054541</v>
      </c>
      <c r="O102" s="42" t="n">
        <f aca="false">SUM(C102:N102)</f>
        <v>5.21923783994642</v>
      </c>
      <c r="P102" s="42" t="n">
        <f aca="false">SUM(C102:G102)</f>
        <v>0.769242949432737</v>
      </c>
      <c r="Q102" s="8" t="s">
        <v>739</v>
      </c>
    </row>
    <row r="103" customFormat="false" ht="15" hidden="false" customHeight="false" outlineLevel="0" collapsed="false">
      <c r="A103" s="8" t="s">
        <v>679</v>
      </c>
      <c r="B103" s="8" t="s">
        <v>259</v>
      </c>
      <c r="C103" s="30" t="n">
        <f aca="false">C100+C102</f>
        <v>37.8969392503702</v>
      </c>
      <c r="D103" s="30" t="n">
        <f aca="false">D100+D102</f>
        <v>38.4115509771389</v>
      </c>
      <c r="E103" s="30" t="n">
        <f aca="false">E100+E102</f>
        <v>40.7016351759952</v>
      </c>
      <c r="F103" s="30" t="n">
        <f aca="false">F100+F102</f>
        <v>39.5022997768833</v>
      </c>
      <c r="G103" s="30" t="n">
        <f aca="false">G100+G102</f>
        <v>39.9345833456455</v>
      </c>
      <c r="H103" s="30" t="n">
        <f aca="false">H100+H102</f>
        <v>41.1808747476873</v>
      </c>
      <c r="I103" s="30" t="n">
        <f aca="false">I100+I102</f>
        <v>40.8557842795103</v>
      </c>
      <c r="J103" s="30" t="n">
        <f aca="false">J100+J102</f>
        <v>41.3272594648969</v>
      </c>
      <c r="K103" s="30" t="n">
        <f aca="false">K100+K102</f>
        <v>42.1980205016844</v>
      </c>
      <c r="L103" s="30" t="n">
        <f aca="false">L100+L102</f>
        <v>41.0925877869967</v>
      </c>
      <c r="M103" s="30" t="n">
        <f aca="false">M100+M102</f>
        <v>39.5897264470605</v>
      </c>
      <c r="N103" s="30" t="n">
        <f aca="false">N100+N102</f>
        <v>38.8756855105284</v>
      </c>
      <c r="O103" s="42" t="n">
        <f aca="false">SUM(C103:N103)</f>
        <v>481.566947264397</v>
      </c>
      <c r="P103" s="42" t="n">
        <f aca="false">SUM(C103:G103)</f>
        <v>196.447008526033</v>
      </c>
      <c r="Q103" s="8" t="s">
        <v>739</v>
      </c>
    </row>
    <row r="104" customFormat="false" ht="15" hidden="false" customHeight="false" outlineLevel="0" collapsed="false">
      <c r="A104" s="44" t="s">
        <v>312</v>
      </c>
      <c r="B104" s="45" t="s">
        <v>259</v>
      </c>
      <c r="C104" s="61" t="n">
        <f aca="false">C97-C103</f>
        <v>51.8348132791156</v>
      </c>
      <c r="D104" s="61" t="n">
        <f aca="false">D97-D103</f>
        <v>53.2293877763785</v>
      </c>
      <c r="E104" s="61" t="n">
        <f aca="false">E97-E103</f>
        <v>56.666862249617</v>
      </c>
      <c r="F104" s="61" t="n">
        <f aca="false">F97-F103</f>
        <v>55.0024183126815</v>
      </c>
      <c r="G104" s="61" t="n">
        <f aca="false">G97-G103</f>
        <v>55.524727855935</v>
      </c>
      <c r="H104" s="61" t="n">
        <f aca="false">H97-H103</f>
        <v>57.1422157899406</v>
      </c>
      <c r="I104" s="61" t="n">
        <f aca="false">I97-I103</f>
        <v>56.5127131461018</v>
      </c>
      <c r="J104" s="61" t="n">
        <f aca="false">J97-J103</f>
        <v>56.9958310727311</v>
      </c>
      <c r="K104" s="61" t="n">
        <f aca="false">K97-K103</f>
        <v>58.0342562599752</v>
      </c>
      <c r="L104" s="61" t="n">
        <f aca="false">L97-L103</f>
        <v>56.2759096386155</v>
      </c>
      <c r="M104" s="61" t="n">
        <f aca="false">M97-M103</f>
        <v>53.9603985304885</v>
      </c>
      <c r="N104" s="61" t="n">
        <f aca="false">N97-N103</f>
        <v>52.765253242989</v>
      </c>
      <c r="O104" s="62" t="n">
        <f aca="false">SUM(C104:N104)</f>
        <v>663.944787154569</v>
      </c>
      <c r="P104" s="62" t="n">
        <f aca="false">SUM(C104:G104)</f>
        <v>272.258209473728</v>
      </c>
      <c r="Q104" s="8" t="s">
        <v>739</v>
      </c>
    </row>
    <row r="105" customFormat="false" ht="15" hidden="false" customHeight="false" outlineLevel="0" collapsed="false">
      <c r="A105" s="8" t="s">
        <v>314</v>
      </c>
      <c r="B105" s="8" t="s">
        <v>226</v>
      </c>
      <c r="C105" s="35" t="n">
        <f aca="false">IFERROR(C104/C97,0)</f>
        <v>0.577664113515254</v>
      </c>
      <c r="D105" s="35" t="n">
        <f aca="false">IFERROR(D104/D97,0)</f>
        <v>0.580847255608623</v>
      </c>
      <c r="E105" s="35" t="n">
        <f aca="false">IFERROR(E104/E97,0)</f>
        <v>0.581983534180647</v>
      </c>
      <c r="F105" s="35" t="n">
        <f aca="false">IFERROR(F104/F97,0)</f>
        <v>0.582007114825253</v>
      </c>
      <c r="G105" s="35" t="n">
        <f aca="false">IFERROR(G104/G97,0)</f>
        <v>0.581658584762716</v>
      </c>
      <c r="H105" s="35" t="n">
        <f aca="false">IFERROR(H104/H97,0)</f>
        <v>0.58116781599814</v>
      </c>
      <c r="I105" s="35" t="n">
        <f aca="false">IFERROR(I104/I97,0)</f>
        <v>0.580400382467405</v>
      </c>
      <c r="J105" s="35" t="n">
        <f aca="false">IFERROR(J104/J97,0)</f>
        <v>0.57967900277625</v>
      </c>
      <c r="K105" s="35" t="n">
        <f aca="false">IFERROR(K104/K97,0)</f>
        <v>0.578997685525729</v>
      </c>
      <c r="L105" s="35" t="n">
        <f aca="false">IFERROR(L104/L97,0)</f>
        <v>0.57796834835219</v>
      </c>
      <c r="M105" s="35" t="n">
        <f aca="false">IFERROR(M104/M97,0)</f>
        <v>0.576807337707335</v>
      </c>
      <c r="N105" s="35" t="n">
        <f aca="false">IFERROR(N104/N97,0)</f>
        <v>0.575782548287828</v>
      </c>
      <c r="O105" s="57" t="n">
        <f aca="false">IFERROR(O104/O97,0)</f>
        <v>0.579605400106477</v>
      </c>
      <c r="P105" s="57" t="n">
        <f aca="false">IFERROR(P104/P97,0)</f>
        <v>0.580873007208268</v>
      </c>
      <c r="Q105" s="8" t="s">
        <v>739</v>
      </c>
    </row>
    <row r="106" customFormat="false" ht="15" hidden="false" customHeight="false" outlineLevel="0" collapsed="false">
      <c r="A106" s="8" t="s">
        <v>681</v>
      </c>
      <c r="B106" s="8" t="s">
        <v>259</v>
      </c>
      <c r="C106" s="30" t="n">
        <f aca="false">Assumptions!$F$33*(1+$C$14)/12</f>
        <v>10.5</v>
      </c>
      <c r="D106" s="30" t="n">
        <f aca="false">Assumptions!$F$33*(1+$C$14)/12</f>
        <v>10.5</v>
      </c>
      <c r="E106" s="30" t="n">
        <f aca="false">Assumptions!$F$33*(1+$C$14)/12</f>
        <v>10.5</v>
      </c>
      <c r="F106" s="30" t="n">
        <f aca="false">Assumptions!$F$33*(1+$C$14)/12</f>
        <v>10.5</v>
      </c>
      <c r="G106" s="30" t="n">
        <f aca="false">Assumptions!$F$33*(1+$C$14)/12</f>
        <v>10.5</v>
      </c>
      <c r="H106" s="30" t="n">
        <f aca="false">Assumptions!$F$33*(1+$C$14)/12</f>
        <v>10.5</v>
      </c>
      <c r="I106" s="30" t="n">
        <f aca="false">Assumptions!$F$33*(1+$C$14)/12</f>
        <v>10.5</v>
      </c>
      <c r="J106" s="30" t="n">
        <f aca="false">Assumptions!$F$33*(1+$C$14)/12</f>
        <v>10.5</v>
      </c>
      <c r="K106" s="30" t="n">
        <f aca="false">Assumptions!$F$33*(1+$C$14)/12</f>
        <v>10.5</v>
      </c>
      <c r="L106" s="30" t="n">
        <f aca="false">Assumptions!$F$33*(1+$C$14)/12</f>
        <v>10.5</v>
      </c>
      <c r="M106" s="30" t="n">
        <f aca="false">Assumptions!$F$33*(1+$C$14)/12</f>
        <v>10.5</v>
      </c>
      <c r="N106" s="30" t="n">
        <f aca="false">Assumptions!$F$33*(1+$C$14)/12</f>
        <v>10.5</v>
      </c>
      <c r="O106" s="42" t="n">
        <f aca="false">SUM(C106:N106)</f>
        <v>126</v>
      </c>
      <c r="P106" s="42" t="n">
        <f aca="false">SUM(C106:G106)</f>
        <v>52.5</v>
      </c>
      <c r="Q106" s="8" t="s">
        <v>739</v>
      </c>
    </row>
    <row r="107" customFormat="false" ht="15" hidden="false" customHeight="false" outlineLevel="0" collapsed="false">
      <c r="A107" s="8" t="s">
        <v>683</v>
      </c>
      <c r="B107" s="8" t="s">
        <v>259</v>
      </c>
      <c r="C107" s="30" t="n">
        <f aca="false">Assumptions!$F$34*(1+$C$15)/12</f>
        <v>8.58333333333333</v>
      </c>
      <c r="D107" s="30" t="n">
        <f aca="false">Assumptions!$F$34*(1+$C$15)/12</f>
        <v>8.58333333333333</v>
      </c>
      <c r="E107" s="30" t="n">
        <f aca="false">Assumptions!$F$34*(1+$C$15)/12</f>
        <v>8.58333333333333</v>
      </c>
      <c r="F107" s="30" t="n">
        <f aca="false">Assumptions!$F$34*(1+$C$15)/12</f>
        <v>8.58333333333333</v>
      </c>
      <c r="G107" s="30" t="n">
        <f aca="false">Assumptions!$F$34*(1+$C$15)/12</f>
        <v>8.58333333333333</v>
      </c>
      <c r="H107" s="30" t="n">
        <f aca="false">Assumptions!$F$34*(1+$C$15)/12</f>
        <v>8.58333333333333</v>
      </c>
      <c r="I107" s="30" t="n">
        <f aca="false">Assumptions!$F$34*(1+$C$15)/12</f>
        <v>8.58333333333333</v>
      </c>
      <c r="J107" s="30" t="n">
        <f aca="false">Assumptions!$F$34*(1+$C$15)/12</f>
        <v>8.58333333333333</v>
      </c>
      <c r="K107" s="30" t="n">
        <f aca="false">Assumptions!$F$34*(1+$C$15)/12</f>
        <v>8.58333333333333</v>
      </c>
      <c r="L107" s="30" t="n">
        <f aca="false">Assumptions!$F$34*(1+$C$15)/12</f>
        <v>8.58333333333333</v>
      </c>
      <c r="M107" s="30" t="n">
        <f aca="false">Assumptions!$F$34*(1+$C$15)/12</f>
        <v>8.58333333333333</v>
      </c>
      <c r="N107" s="30" t="n">
        <f aca="false">Assumptions!$F$34*(1+$C$15)/12</f>
        <v>8.58333333333333</v>
      </c>
      <c r="O107" s="42" t="n">
        <f aca="false">SUM(C107:N107)</f>
        <v>103</v>
      </c>
      <c r="P107" s="42" t="n">
        <f aca="false">SUM(C107:G107)</f>
        <v>42.9166666666667</v>
      </c>
      <c r="Q107" s="8" t="s">
        <v>739</v>
      </c>
    </row>
    <row r="108" customFormat="false" ht="15" hidden="false" customHeight="false" outlineLevel="0" collapsed="false">
      <c r="A108" s="8" t="s">
        <v>685</v>
      </c>
      <c r="B108" s="8" t="s">
        <v>259</v>
      </c>
      <c r="C108" s="30" t="n">
        <f aca="false">C106+C107</f>
        <v>19.0833333333333</v>
      </c>
      <c r="D108" s="30" t="n">
        <f aca="false">D106+D107</f>
        <v>19.0833333333333</v>
      </c>
      <c r="E108" s="30" t="n">
        <f aca="false">E106+E107</f>
        <v>19.0833333333333</v>
      </c>
      <c r="F108" s="30" t="n">
        <f aca="false">F106+F107</f>
        <v>19.0833333333333</v>
      </c>
      <c r="G108" s="30" t="n">
        <f aca="false">G106+G107</f>
        <v>19.0833333333333</v>
      </c>
      <c r="H108" s="30" t="n">
        <f aca="false">H106+H107</f>
        <v>19.0833333333333</v>
      </c>
      <c r="I108" s="30" t="n">
        <f aca="false">I106+I107</f>
        <v>19.0833333333333</v>
      </c>
      <c r="J108" s="30" t="n">
        <f aca="false">J106+J107</f>
        <v>19.0833333333333</v>
      </c>
      <c r="K108" s="30" t="n">
        <f aca="false">K106+K107</f>
        <v>19.0833333333333</v>
      </c>
      <c r="L108" s="30" t="n">
        <f aca="false">L106+L107</f>
        <v>19.0833333333333</v>
      </c>
      <c r="M108" s="30" t="n">
        <f aca="false">M106+M107</f>
        <v>19.0833333333333</v>
      </c>
      <c r="N108" s="30" t="n">
        <f aca="false">N106+N107</f>
        <v>19.0833333333333</v>
      </c>
      <c r="O108" s="42" t="n">
        <f aca="false">SUM(C108:N108)</f>
        <v>229</v>
      </c>
      <c r="P108" s="42" t="n">
        <f aca="false">SUM(C108:G108)</f>
        <v>95.4166666666667</v>
      </c>
      <c r="Q108" s="8" t="s">
        <v>739</v>
      </c>
    </row>
    <row r="109" customFormat="false" ht="15" hidden="false" customHeight="false" outlineLevel="0" collapsed="false">
      <c r="A109" s="44" t="s">
        <v>364</v>
      </c>
      <c r="B109" s="45" t="s">
        <v>259</v>
      </c>
      <c r="C109" s="61" t="n">
        <f aca="false">C104-C108</f>
        <v>32.7514799457822</v>
      </c>
      <c r="D109" s="61" t="n">
        <f aca="false">D104-D108</f>
        <v>34.1460544430451</v>
      </c>
      <c r="E109" s="61" t="n">
        <f aca="false">E104-E108</f>
        <v>37.5835289162837</v>
      </c>
      <c r="F109" s="61" t="n">
        <f aca="false">F104-F108</f>
        <v>35.9190849793482</v>
      </c>
      <c r="G109" s="61" t="n">
        <f aca="false">G104-G108</f>
        <v>36.4413945226017</v>
      </c>
      <c r="H109" s="61" t="n">
        <f aca="false">H104-H108</f>
        <v>38.0588824566073</v>
      </c>
      <c r="I109" s="61" t="n">
        <f aca="false">I104-I108</f>
        <v>37.4293798127685</v>
      </c>
      <c r="J109" s="61" t="n">
        <f aca="false">J104-J108</f>
        <v>37.9124977393977</v>
      </c>
      <c r="K109" s="61" t="n">
        <f aca="false">K104-K108</f>
        <v>38.9509229266419</v>
      </c>
      <c r="L109" s="61" t="n">
        <f aca="false">L104-L108</f>
        <v>37.1925763052822</v>
      </c>
      <c r="M109" s="61" t="n">
        <f aca="false">M104-M108</f>
        <v>34.8770651971551</v>
      </c>
      <c r="N109" s="61" t="n">
        <f aca="false">N104-N108</f>
        <v>33.6819199096556</v>
      </c>
      <c r="O109" s="62" t="n">
        <f aca="false">SUM(C109:N109)</f>
        <v>434.944787154569</v>
      </c>
      <c r="P109" s="62" t="n">
        <f aca="false">SUM(C109:G109)</f>
        <v>176.841542807061</v>
      </c>
      <c r="Q109" s="8" t="s">
        <v>739</v>
      </c>
    </row>
    <row r="110" customFormat="false" ht="15" hidden="false" customHeight="false" outlineLevel="0" collapsed="false">
      <c r="A110" s="8" t="s">
        <v>365</v>
      </c>
      <c r="B110" s="8" t="s">
        <v>226</v>
      </c>
      <c r="C110" s="35" t="n">
        <f aca="false">IFERROR(C109/C97,0)</f>
        <v>0.36499320499753</v>
      </c>
      <c r="D110" s="35" t="n">
        <f aca="false">IFERROR(D109/D97,0)</f>
        <v>0.372606991018351</v>
      </c>
      <c r="E110" s="35" t="n">
        <f aca="false">IFERROR(E109/E97,0)</f>
        <v>0.385992696919215</v>
      </c>
      <c r="F110" s="35" t="n">
        <f aca="false">IFERROR(F109/F97,0)</f>
        <v>0.380077161283172</v>
      </c>
      <c r="G110" s="35" t="n">
        <f aca="false">IFERROR(G109/G97,0)</f>
        <v>0.381747930756055</v>
      </c>
      <c r="H110" s="35" t="n">
        <f aca="false">IFERROR(H109/H97,0)</f>
        <v>0.38707980239944</v>
      </c>
      <c r="I110" s="35" t="n">
        <f aca="false">IFERROR(I109/I97,0)</f>
        <v>0.384409545205973</v>
      </c>
      <c r="J110" s="35" t="n">
        <f aca="false">IFERROR(J109/J97,0)</f>
        <v>0.38559098917755</v>
      </c>
      <c r="K110" s="35" t="n">
        <f aca="false">IFERROR(K109/K97,0)</f>
        <v>0.388606586471766</v>
      </c>
      <c r="L110" s="35" t="n">
        <f aca="false">IFERROR(L109/L97,0)</f>
        <v>0.381977511090757</v>
      </c>
      <c r="M110" s="35" t="n">
        <f aca="false">IFERROR(M109/M97,0)</f>
        <v>0.372816874435232</v>
      </c>
      <c r="N110" s="35" t="n">
        <f aca="false">IFERROR(N109/N97,0)</f>
        <v>0.367542283697556</v>
      </c>
      <c r="O110" s="57" t="n">
        <f aca="false">IFERROR(O109/O97,0)</f>
        <v>0.379694746099816</v>
      </c>
      <c r="P110" s="57" t="n">
        <f aca="false">IFERROR(P109/P97,0)</f>
        <v>0.377298003128165</v>
      </c>
      <c r="Q110" s="8" t="s">
        <v>739</v>
      </c>
    </row>
    <row r="111" customFormat="false" ht="15" hidden="false" customHeight="false" outlineLevel="0" collapsed="false">
      <c r="A111" s="8" t="s">
        <v>637</v>
      </c>
      <c r="B111" s="8" t="s">
        <v>259</v>
      </c>
      <c r="C111" s="30" t="n">
        <f aca="false">C40+C66+C92</f>
        <v>37.6248669327839</v>
      </c>
      <c r="D111" s="30" t="n">
        <f aca="false">D40+D66+D92</f>
        <v>39.1514304160863</v>
      </c>
      <c r="E111" s="30" t="n">
        <f aca="false">E40+E66+E92</f>
        <v>38.4642771494936</v>
      </c>
      <c r="F111" s="30" t="n">
        <f aca="false">F40+F66+F92</f>
        <v>39.0575996965342</v>
      </c>
      <c r="G111" s="30" t="n">
        <f aca="false">G40+G66+G92</f>
        <v>39.2973926065539</v>
      </c>
      <c r="H111" s="30" t="n">
        <f aca="false">H40+H66+H92</f>
        <v>38.370443540533</v>
      </c>
      <c r="I111" s="30" t="n">
        <f aca="false">I40+I66+I92</f>
        <v>37.8505208514705</v>
      </c>
      <c r="J111" s="30" t="n">
        <f aca="false">J40+J66+J92</f>
        <v>36.9402633915427</v>
      </c>
      <c r="K111" s="30" t="n">
        <f aca="false">K40+K66+K92</f>
        <v>35.2411808036089</v>
      </c>
      <c r="L111" s="30" t="n">
        <f aca="false">L40+L66+L92</f>
        <v>34.7310578276641</v>
      </c>
      <c r="M111" s="30" t="n">
        <f aca="false">M40+M66+M92</f>
        <v>35.8049366061769</v>
      </c>
      <c r="N111" s="30" t="n">
        <f aca="false">N40+N66+N92</f>
        <v>37.670814758703</v>
      </c>
      <c r="O111" s="42" t="n">
        <f aca="false">N111</f>
        <v>37.670814758703</v>
      </c>
      <c r="P111" s="42" t="n">
        <f aca="false">G111</f>
        <v>39.2973926065539</v>
      </c>
      <c r="Q111" s="8" t="s">
        <v>739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7030A0"/>
    <pageSetUpPr fitToPage="true"/>
  </sheetPr>
  <dimension ref="A1:J11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6" topLeftCell="C7" activePane="bottomRight" state="frozen"/>
      <selection pane="topLeft" activeCell="A1" activeCellId="0" sqref="A1"/>
      <selection pane="topRight" activeCell="C1" activeCellId="0" sqref="C1"/>
      <selection pane="bottomLeft" activeCell="A7" activeCellId="0" sqref="A7"/>
      <selection pane="bottomRight" activeCell="A1" activeCellId="0" sqref="A1"/>
    </sheetView>
  </sheetViews>
  <sheetFormatPr defaultColWidth="8.54296875" defaultRowHeight="15" customHeight="false" zeroHeight="false" outlineLevelRow="0" outlineLevelCol="0"/>
  <cols>
    <col collapsed="false" customWidth="true" hidden="false" outlineLevel="0" max="1" min="1" style="0" width="46"/>
    <col collapsed="false" customWidth="true" hidden="false" outlineLevel="0" max="8" min="2" style="0" width="12"/>
    <col collapsed="false" customWidth="true" hidden="false" outlineLevel="0" max="9" min="9" style="0" width="30"/>
    <col collapsed="false" customWidth="true" hidden="false" outlineLevel="0" max="10" min="10" style="0" width="60"/>
  </cols>
  <sheetData>
    <row r="1" customFormat="false" ht="19.7" hidden="false" customHeight="false" outlineLevel="0" collapsed="false">
      <c r="A1" s="14" t="s">
        <v>752</v>
      </c>
    </row>
    <row r="2" customFormat="false" ht="15" hidden="false" customHeight="false" outlineLevel="0" collapsed="false">
      <c r="A2" s="4" t="s">
        <v>753</v>
      </c>
    </row>
    <row r="3" customFormat="false" ht="15" hidden="false" customHeight="false" outlineLevel="0" collapsed="false">
      <c r="A3" s="3" t="s">
        <v>754</v>
      </c>
    </row>
    <row r="6" customFormat="false" ht="15" hidden="false" customHeight="false" outlineLevel="0" collapsed="false">
      <c r="A6" s="18" t="s">
        <v>372</v>
      </c>
      <c r="B6" s="19" t="s">
        <v>220</v>
      </c>
      <c r="C6" s="53" t="n">
        <f aca="false">Ops_Model!C$6</f>
        <v>46023</v>
      </c>
      <c r="D6" s="53" t="n">
        <f aca="false">Ops_Model!D$6</f>
        <v>46054</v>
      </c>
      <c r="E6" s="53" t="n">
        <f aca="false">Ops_Model!E$6</f>
        <v>46082</v>
      </c>
      <c r="F6" s="53" t="n">
        <f aca="false">Ops_Model!F$6</f>
        <v>46113</v>
      </c>
      <c r="G6" s="53" t="n">
        <f aca="false">Ops_Model!G$6</f>
        <v>46143</v>
      </c>
      <c r="H6" s="19" t="s">
        <v>735</v>
      </c>
      <c r="I6" s="19" t="s">
        <v>99</v>
      </c>
      <c r="J6" s="19" t="s">
        <v>599</v>
      </c>
    </row>
    <row r="8" customFormat="false" ht="15" hidden="false" customHeight="false" outlineLevel="0" collapsed="false">
      <c r="A8" s="16" t="s">
        <v>755</v>
      </c>
      <c r="B8" s="17"/>
      <c r="C8" s="17"/>
      <c r="D8" s="17"/>
      <c r="E8" s="17"/>
      <c r="F8" s="17"/>
      <c r="G8" s="17"/>
      <c r="H8" s="17"/>
      <c r="I8" s="17"/>
      <c r="J8" s="17"/>
    </row>
    <row r="9" customFormat="false" ht="15" hidden="false" customHeight="false" outlineLevel="0" collapsed="false">
      <c r="A9" s="18" t="s">
        <v>45</v>
      </c>
      <c r="B9" s="19" t="s">
        <v>220</v>
      </c>
      <c r="C9" s="19" t="s">
        <v>756</v>
      </c>
      <c r="D9" s="19" t="s">
        <v>269</v>
      </c>
      <c r="E9" s="19" t="s">
        <v>757</v>
      </c>
      <c r="F9" s="19"/>
      <c r="G9" s="19"/>
      <c r="H9" s="19"/>
      <c r="I9" s="19" t="s">
        <v>99</v>
      </c>
      <c r="J9" s="19" t="s">
        <v>758</v>
      </c>
    </row>
    <row r="10" customFormat="false" ht="15" hidden="false" customHeight="false" outlineLevel="0" collapsed="false">
      <c r="A10" s="8" t="s">
        <v>759</v>
      </c>
      <c r="B10" s="8" t="s">
        <v>226</v>
      </c>
      <c r="C10" s="23" t="n">
        <v>0.05</v>
      </c>
      <c r="D10" s="23" t="n">
        <v>0.01</v>
      </c>
      <c r="E10" s="23" t="n">
        <v>-0.05</v>
      </c>
      <c r="I10" s="0" t="s">
        <v>155</v>
      </c>
      <c r="J10" s="0" t="s">
        <v>760</v>
      </c>
    </row>
    <row r="11" customFormat="false" ht="15" hidden="false" customHeight="false" outlineLevel="0" collapsed="false">
      <c r="A11" s="8" t="s">
        <v>761</v>
      </c>
      <c r="B11" s="8" t="s">
        <v>226</v>
      </c>
      <c r="C11" s="23" t="n">
        <v>-0.015</v>
      </c>
      <c r="D11" s="23" t="n">
        <v>-0.005</v>
      </c>
      <c r="E11" s="23" t="n">
        <v>0.01</v>
      </c>
      <c r="I11" s="0" t="s">
        <v>155</v>
      </c>
      <c r="J11" s="0" t="s">
        <v>762</v>
      </c>
    </row>
    <row r="12" customFormat="false" ht="15" hidden="false" customHeight="false" outlineLevel="0" collapsed="false">
      <c r="A12" s="8" t="s">
        <v>763</v>
      </c>
      <c r="B12" s="8" t="s">
        <v>226</v>
      </c>
      <c r="C12" s="23" t="n">
        <v>0.945</v>
      </c>
      <c r="D12" s="23" t="n">
        <v>0.93</v>
      </c>
      <c r="E12" s="23" t="n">
        <v>0.86</v>
      </c>
      <c r="I12" s="0" t="s">
        <v>155</v>
      </c>
      <c r="J12" s="0" t="s">
        <v>764</v>
      </c>
    </row>
    <row r="13" customFormat="false" ht="15" hidden="false" customHeight="false" outlineLevel="0" collapsed="false">
      <c r="A13" s="8" t="s">
        <v>765</v>
      </c>
      <c r="B13" s="8" t="s">
        <v>226</v>
      </c>
      <c r="C13" s="23" t="n">
        <v>0.84</v>
      </c>
      <c r="D13" s="23" t="n">
        <v>0.76</v>
      </c>
      <c r="E13" s="23" t="n">
        <v>0.72</v>
      </c>
      <c r="I13" s="0" t="s">
        <v>155</v>
      </c>
      <c r="J13" s="0" t="s">
        <v>766</v>
      </c>
    </row>
    <row r="14" customFormat="false" ht="15" hidden="false" customHeight="false" outlineLevel="0" collapsed="false">
      <c r="A14" s="8" t="s">
        <v>767</v>
      </c>
      <c r="B14" s="8" t="s">
        <v>226</v>
      </c>
      <c r="C14" s="23" t="n">
        <v>0.045</v>
      </c>
      <c r="D14" s="23" t="n">
        <v>0.035</v>
      </c>
      <c r="E14" s="23" t="n">
        <v>0.04</v>
      </c>
      <c r="I14" s="0" t="s">
        <v>155</v>
      </c>
      <c r="J14" s="0" t="s">
        <v>768</v>
      </c>
    </row>
    <row r="15" customFormat="false" ht="15" hidden="false" customHeight="false" outlineLevel="0" collapsed="false">
      <c r="A15" s="8" t="s">
        <v>769</v>
      </c>
      <c r="B15" s="8" t="s">
        <v>259</v>
      </c>
      <c r="C15" s="27" t="n">
        <v>5.9</v>
      </c>
      <c r="D15" s="27" t="n">
        <v>6.2</v>
      </c>
      <c r="E15" s="27" t="n">
        <v>2.6</v>
      </c>
      <c r="I15" s="0" t="s">
        <v>155</v>
      </c>
      <c r="J15" s="0" t="s">
        <v>770</v>
      </c>
    </row>
    <row r="16" customFormat="false" ht="15" hidden="false" customHeight="false" outlineLevel="0" collapsed="false">
      <c r="A16" s="8" t="s">
        <v>771</v>
      </c>
      <c r="B16" s="8" t="s">
        <v>259</v>
      </c>
      <c r="C16" s="27" t="n">
        <v>10.8</v>
      </c>
      <c r="I16" s="0" t="s">
        <v>155</v>
      </c>
      <c r="J16" s="0" t="s">
        <v>772</v>
      </c>
    </row>
    <row r="17" customFormat="false" ht="15" hidden="false" customHeight="false" outlineLevel="0" collapsed="false">
      <c r="A17" s="8" t="s">
        <v>773</v>
      </c>
      <c r="B17" s="8" t="s">
        <v>259</v>
      </c>
      <c r="C17" s="27" t="n">
        <v>8.4</v>
      </c>
      <c r="I17" s="0" t="s">
        <v>155</v>
      </c>
      <c r="J17" s="0" t="s">
        <v>774</v>
      </c>
    </row>
    <row r="18" customFormat="false" ht="15" hidden="false" customHeight="false" outlineLevel="0" collapsed="false">
      <c r="A18" s="8" t="s">
        <v>775</v>
      </c>
      <c r="B18" s="8" t="s">
        <v>226</v>
      </c>
      <c r="C18" s="23" t="n">
        <v>0.045</v>
      </c>
      <c r="I18" s="0" t="s">
        <v>155</v>
      </c>
      <c r="J18" s="0" t="s">
        <v>776</v>
      </c>
    </row>
    <row r="19" customFormat="false" ht="15" hidden="false" customHeight="false" outlineLevel="0" collapsed="false">
      <c r="A19" s="8" t="s">
        <v>777</v>
      </c>
      <c r="B19" s="8" t="s">
        <v>563</v>
      </c>
      <c r="C19" s="33" t="n">
        <v>1.01</v>
      </c>
      <c r="D19" s="33" t="n">
        <v>0.98</v>
      </c>
      <c r="E19" s="33" t="n">
        <v>1.02</v>
      </c>
      <c r="F19" s="33" t="n">
        <v>0.99</v>
      </c>
      <c r="G19" s="33" t="n">
        <v>1</v>
      </c>
      <c r="I19" s="0" t="s">
        <v>155</v>
      </c>
      <c r="J19" s="0" t="s">
        <v>778</v>
      </c>
    </row>
    <row r="21" customFormat="false" ht="15" hidden="false" customHeight="false" outlineLevel="0" collapsed="false">
      <c r="A21" s="16" t="s">
        <v>779</v>
      </c>
      <c r="B21" s="17"/>
      <c r="C21" s="17"/>
      <c r="D21" s="17"/>
      <c r="E21" s="17"/>
      <c r="F21" s="17"/>
      <c r="G21" s="17"/>
      <c r="H21" s="17"/>
      <c r="I21" s="17"/>
      <c r="J21" s="17"/>
    </row>
    <row r="22" customFormat="false" ht="15" hidden="false" customHeight="false" outlineLevel="0" collapsed="false">
      <c r="A22" s="8" t="s">
        <v>604</v>
      </c>
      <c r="B22" s="8" t="s">
        <v>300</v>
      </c>
      <c r="C22" s="34" t="n">
        <f aca="false">Budget!C19*(1+$C$10)*C$19</f>
        <v>67.9174758501467</v>
      </c>
      <c r="D22" s="34" t="n">
        <f aca="false">Budget!D19*(1+$C$10)*D$19</f>
        <v>67.302255403221</v>
      </c>
      <c r="E22" s="34" t="n">
        <f aca="false">Budget!E19*(1+$C$10)*E$19</f>
        <v>74.4273666257559</v>
      </c>
      <c r="F22" s="34" t="n">
        <f aca="false">Budget!F19*(1+$C$10)*F$19</f>
        <v>70.1136697711489</v>
      </c>
      <c r="G22" s="34" t="n">
        <f aca="false">Budget!G19*(1+$C$10)*G$19</f>
        <v>71.5372612704305</v>
      </c>
      <c r="H22" s="56" t="n">
        <f aca="false">SUM(C22:G22)</f>
        <v>351.298028920703</v>
      </c>
      <c r="I22" s="8" t="s">
        <v>155</v>
      </c>
      <c r="J22" s="8"/>
    </row>
    <row r="23" customFormat="false" ht="15" hidden="false" customHeight="false" outlineLevel="0" collapsed="false">
      <c r="A23" s="8" t="s">
        <v>290</v>
      </c>
      <c r="B23" s="8" t="s">
        <v>300</v>
      </c>
      <c r="C23" s="34" t="n">
        <f aca="false">Assumptions!$C$47</f>
        <v>88</v>
      </c>
      <c r="D23" s="34" t="n">
        <f aca="false">Assumptions!$C$47</f>
        <v>88</v>
      </c>
      <c r="E23" s="34" t="n">
        <f aca="false">Assumptions!$C$47</f>
        <v>88</v>
      </c>
      <c r="F23" s="34" t="n">
        <f aca="false">Assumptions!$C$47</f>
        <v>88</v>
      </c>
      <c r="G23" s="34" t="n">
        <f aca="false">Assumptions!$C$47</f>
        <v>88</v>
      </c>
      <c r="H23" s="56" t="n">
        <f aca="false">SUM(C23:G23)</f>
        <v>440</v>
      </c>
      <c r="I23" s="8" t="s">
        <v>155</v>
      </c>
      <c r="J23" s="8"/>
    </row>
    <row r="24" customFormat="false" ht="15" hidden="false" customHeight="false" outlineLevel="0" collapsed="false">
      <c r="A24" s="8" t="s">
        <v>607</v>
      </c>
      <c r="B24" s="8" t="s">
        <v>226</v>
      </c>
      <c r="C24" s="35" t="n">
        <f aca="false">$C$13</f>
        <v>0.84</v>
      </c>
      <c r="D24" s="35" t="n">
        <f aca="false">$C$13</f>
        <v>0.84</v>
      </c>
      <c r="E24" s="35" t="n">
        <f aca="false">$C$13</f>
        <v>0.84</v>
      </c>
      <c r="F24" s="35" t="n">
        <f aca="false">$C$13</f>
        <v>0.84</v>
      </c>
      <c r="G24" s="35" t="n">
        <f aca="false">$C$13</f>
        <v>0.84</v>
      </c>
      <c r="H24" s="57" t="n">
        <f aca="false">IFERROR(H25/H23,0)</f>
        <v>0.84</v>
      </c>
      <c r="I24" s="8" t="s">
        <v>155</v>
      </c>
      <c r="J24" s="8"/>
    </row>
    <row r="25" customFormat="false" ht="15" hidden="false" customHeight="false" outlineLevel="0" collapsed="false">
      <c r="A25" s="8" t="s">
        <v>302</v>
      </c>
      <c r="B25" s="8" t="s">
        <v>300</v>
      </c>
      <c r="C25" s="34" t="n">
        <f aca="false">C23*C24</f>
        <v>73.92</v>
      </c>
      <c r="D25" s="34" t="n">
        <f aca="false">D23*D24</f>
        <v>73.92</v>
      </c>
      <c r="E25" s="34" t="n">
        <f aca="false">E23*E24</f>
        <v>73.92</v>
      </c>
      <c r="F25" s="34" t="n">
        <f aca="false">F23*F24</f>
        <v>73.92</v>
      </c>
      <c r="G25" s="34" t="n">
        <f aca="false">G23*G24</f>
        <v>73.92</v>
      </c>
      <c r="H25" s="56" t="n">
        <f aca="false">SUM(C25:G25)</f>
        <v>369.6</v>
      </c>
      <c r="I25" s="8" t="s">
        <v>155</v>
      </c>
      <c r="J25" s="8" t="s">
        <v>609</v>
      </c>
    </row>
    <row r="26" customFormat="false" ht="15" hidden="false" customHeight="false" outlineLevel="0" collapsed="false">
      <c r="A26" s="8" t="s">
        <v>610</v>
      </c>
      <c r="B26" s="8" t="s">
        <v>226</v>
      </c>
      <c r="C26" s="35" t="n">
        <f aca="false">$C$12</f>
        <v>0.945</v>
      </c>
      <c r="D26" s="35" t="n">
        <f aca="false">$C$12</f>
        <v>0.945</v>
      </c>
      <c r="E26" s="35" t="n">
        <f aca="false">$C$12</f>
        <v>0.945</v>
      </c>
      <c r="F26" s="35" t="n">
        <f aca="false">$C$12</f>
        <v>0.945</v>
      </c>
      <c r="G26" s="35" t="n">
        <f aca="false">$C$12</f>
        <v>0.945</v>
      </c>
      <c r="H26" s="57" t="n">
        <f aca="false">IFERROR(H27/H25,0)</f>
        <v>0.945</v>
      </c>
      <c r="I26" s="8" t="s">
        <v>155</v>
      </c>
      <c r="J26" s="8"/>
    </row>
    <row r="27" customFormat="false" ht="15" hidden="false" customHeight="false" outlineLevel="0" collapsed="false">
      <c r="A27" s="8" t="s">
        <v>612</v>
      </c>
      <c r="B27" s="8" t="s">
        <v>300</v>
      </c>
      <c r="C27" s="34" t="n">
        <f aca="false">C25*C26</f>
        <v>69.8544</v>
      </c>
      <c r="D27" s="34" t="n">
        <f aca="false">D25*D26</f>
        <v>69.8544</v>
      </c>
      <c r="E27" s="34" t="n">
        <f aca="false">E25*E26</f>
        <v>69.8544</v>
      </c>
      <c r="F27" s="34" t="n">
        <f aca="false">F25*F26</f>
        <v>69.8544</v>
      </c>
      <c r="G27" s="34" t="n">
        <f aca="false">G25*G26</f>
        <v>69.8544</v>
      </c>
      <c r="H27" s="56" t="n">
        <f aca="false">SUM(C27:G27)</f>
        <v>349.272</v>
      </c>
      <c r="I27" s="8" t="s">
        <v>155</v>
      </c>
      <c r="J27" s="8" t="s">
        <v>613</v>
      </c>
    </row>
    <row r="28" customFormat="false" ht="15" hidden="false" customHeight="false" outlineLevel="0" collapsed="false">
      <c r="A28" s="8" t="s">
        <v>357</v>
      </c>
      <c r="B28" s="8" t="s">
        <v>300</v>
      </c>
      <c r="C28" s="34" t="n">
        <f aca="false">Assumptions!$C$68</f>
        <v>58.2313889055193</v>
      </c>
      <c r="D28" s="34" t="n">
        <f aca="false">C31</f>
        <v>60.1683130553726</v>
      </c>
      <c r="E28" s="34" t="n">
        <f aca="false">D31</f>
        <v>62.7204576521517</v>
      </c>
      <c r="F28" s="34" t="n">
        <f aca="false">E31</f>
        <v>58.1474910263958</v>
      </c>
      <c r="G28" s="34" t="n">
        <f aca="false">F31</f>
        <v>57.8882212552469</v>
      </c>
      <c r="H28" s="56" t="n">
        <f aca="false">C28</f>
        <v>58.2313889055193</v>
      </c>
      <c r="I28" s="8" t="s">
        <v>155</v>
      </c>
      <c r="J28" s="8"/>
    </row>
    <row r="29" customFormat="false" ht="15" hidden="false" customHeight="false" outlineLevel="0" collapsed="false">
      <c r="A29" s="8" t="s">
        <v>615</v>
      </c>
      <c r="B29" s="8" t="s">
        <v>300</v>
      </c>
      <c r="C29" s="34" t="n">
        <f aca="false">C28+C27</f>
        <v>128.085788905519</v>
      </c>
      <c r="D29" s="34" t="n">
        <f aca="false">D28+D27</f>
        <v>130.022713055373</v>
      </c>
      <c r="E29" s="34" t="n">
        <f aca="false">E28+E27</f>
        <v>132.574857652152</v>
      </c>
      <c r="F29" s="34" t="n">
        <f aca="false">F28+F27</f>
        <v>128.001891026396</v>
      </c>
      <c r="G29" s="34" t="n">
        <f aca="false">G28+G27</f>
        <v>127.742621255247</v>
      </c>
      <c r="I29" s="8" t="s">
        <v>155</v>
      </c>
      <c r="J29" s="8"/>
    </row>
    <row r="30" customFormat="false" ht="15" hidden="false" customHeight="false" outlineLevel="0" collapsed="false">
      <c r="A30" s="7" t="s">
        <v>299</v>
      </c>
      <c r="B30" s="8" t="s">
        <v>300</v>
      </c>
      <c r="C30" s="34" t="n">
        <f aca="false">MIN(C22,C29)</f>
        <v>67.9174758501467</v>
      </c>
      <c r="D30" s="34" t="n">
        <f aca="false">MIN(D22,D29)</f>
        <v>67.302255403221</v>
      </c>
      <c r="E30" s="34" t="n">
        <f aca="false">MIN(E22,E29)</f>
        <v>74.4273666257559</v>
      </c>
      <c r="F30" s="34" t="n">
        <f aca="false">MIN(F22,F29)</f>
        <v>70.1136697711489</v>
      </c>
      <c r="G30" s="34" t="n">
        <f aca="false">MIN(G22,G29)</f>
        <v>71.5372612704305</v>
      </c>
      <c r="H30" s="56" t="n">
        <f aca="false">SUM(C30:G30)</f>
        <v>351.298028920703</v>
      </c>
      <c r="I30" s="8" t="s">
        <v>155</v>
      </c>
      <c r="J30" s="8" t="s">
        <v>740</v>
      </c>
    </row>
    <row r="31" customFormat="false" ht="15" hidden="false" customHeight="false" outlineLevel="0" collapsed="false">
      <c r="A31" s="8" t="s">
        <v>618</v>
      </c>
      <c r="B31" s="8" t="s">
        <v>300</v>
      </c>
      <c r="C31" s="34" t="n">
        <f aca="false">C29-C30</f>
        <v>60.1683130553726</v>
      </c>
      <c r="D31" s="34" t="n">
        <f aca="false">D29-D30</f>
        <v>62.7204576521517</v>
      </c>
      <c r="E31" s="34" t="n">
        <f aca="false">E29-E30</f>
        <v>58.1474910263958</v>
      </c>
      <c r="F31" s="34" t="n">
        <f aca="false">F29-F30</f>
        <v>57.8882212552469</v>
      </c>
      <c r="G31" s="34" t="n">
        <f aca="false">G29-G30</f>
        <v>56.2053599848164</v>
      </c>
      <c r="H31" s="56" t="n">
        <f aca="false">G31</f>
        <v>56.2053599848164</v>
      </c>
      <c r="I31" s="8" t="s">
        <v>155</v>
      </c>
      <c r="J31" s="8" t="s">
        <v>741</v>
      </c>
    </row>
    <row r="32" customFormat="false" ht="15" hidden="false" customHeight="false" outlineLevel="0" collapsed="false">
      <c r="A32" s="8" t="s">
        <v>742</v>
      </c>
      <c r="B32" s="8" t="s">
        <v>300</v>
      </c>
      <c r="C32" s="34" t="n">
        <f aca="false">C22-C30</f>
        <v>0</v>
      </c>
      <c r="D32" s="34" t="n">
        <f aca="false">D22-D30</f>
        <v>0</v>
      </c>
      <c r="E32" s="34" t="n">
        <f aca="false">E22-E30</f>
        <v>0</v>
      </c>
      <c r="F32" s="34" t="n">
        <f aca="false">F22-F30</f>
        <v>0</v>
      </c>
      <c r="G32" s="34" t="n">
        <f aca="false">G22-G30</f>
        <v>0</v>
      </c>
      <c r="H32" s="56" t="n">
        <f aca="false">SUM(C32:G32)</f>
        <v>0</v>
      </c>
      <c r="I32" s="8" t="s">
        <v>155</v>
      </c>
      <c r="J32" s="8"/>
    </row>
    <row r="33" customFormat="false" ht="15" hidden="false" customHeight="false" outlineLevel="0" collapsed="false">
      <c r="A33" s="8" t="s">
        <v>624</v>
      </c>
      <c r="B33" s="8" t="s">
        <v>281</v>
      </c>
      <c r="C33" s="36" t="n">
        <f aca="false">Assumptions!$C$43*(1+$C$11)</f>
        <v>0.591</v>
      </c>
      <c r="D33" s="36" t="n">
        <f aca="false">Assumptions!$C$43*(1+$C$11)</f>
        <v>0.591</v>
      </c>
      <c r="E33" s="36" t="n">
        <f aca="false">Assumptions!$C$43*(1+$C$11)</f>
        <v>0.591</v>
      </c>
      <c r="F33" s="36" t="n">
        <f aca="false">Assumptions!$C$43*(1+$C$11)</f>
        <v>0.591</v>
      </c>
      <c r="G33" s="36" t="n">
        <f aca="false">Assumptions!$C$43*(1+$C$11)</f>
        <v>0.591</v>
      </c>
      <c r="H33" s="60" t="n">
        <f aca="false">IFERROR(H34/H30,0)</f>
        <v>0.591</v>
      </c>
      <c r="I33" s="8" t="s">
        <v>155</v>
      </c>
      <c r="J33" s="8"/>
    </row>
    <row r="34" customFormat="false" ht="15" hidden="false" customHeight="false" outlineLevel="0" collapsed="false">
      <c r="A34" s="7" t="s">
        <v>22</v>
      </c>
      <c r="B34" s="8" t="s">
        <v>259</v>
      </c>
      <c r="C34" s="30" t="n">
        <f aca="false">C30*C33</f>
        <v>40.1392282274367</v>
      </c>
      <c r="D34" s="30" t="n">
        <f aca="false">D30*D33</f>
        <v>39.7756329433036</v>
      </c>
      <c r="E34" s="30" t="n">
        <f aca="false">E30*E33</f>
        <v>43.9865736758217</v>
      </c>
      <c r="F34" s="30" t="n">
        <f aca="false">F30*F33</f>
        <v>41.437178834749</v>
      </c>
      <c r="G34" s="30" t="n">
        <f aca="false">G30*G33</f>
        <v>42.2785214108244</v>
      </c>
      <c r="H34" s="42" t="n">
        <f aca="false">SUM(C34:G34)</f>
        <v>207.617135092135</v>
      </c>
      <c r="I34" s="8" t="s">
        <v>155</v>
      </c>
      <c r="J34" s="8" t="s">
        <v>626</v>
      </c>
    </row>
    <row r="35" customFormat="false" ht="15" hidden="false" customHeight="false" outlineLevel="0" collapsed="false">
      <c r="A35" s="8" t="s">
        <v>627</v>
      </c>
      <c r="B35" s="8" t="s">
        <v>281</v>
      </c>
      <c r="C35" s="36" t="n">
        <f aca="false">Assumptions!$C$45*(1+$C$14)</f>
        <v>0.1463</v>
      </c>
      <c r="D35" s="36" t="n">
        <f aca="false">Assumptions!$C$45*(1+$C$14)</f>
        <v>0.1463</v>
      </c>
      <c r="E35" s="36" t="n">
        <f aca="false">Assumptions!$C$45*(1+$C$14)</f>
        <v>0.1463</v>
      </c>
      <c r="F35" s="36" t="n">
        <f aca="false">Assumptions!$C$45*(1+$C$14)</f>
        <v>0.1463</v>
      </c>
      <c r="G35" s="36" t="n">
        <f aca="false">Assumptions!$C$45*(1+$C$14)</f>
        <v>0.1463</v>
      </c>
      <c r="H35" s="60" t="n">
        <f aca="false">IFERROR(H36/H25,0)</f>
        <v>0.1463</v>
      </c>
      <c r="I35" s="8" t="s">
        <v>155</v>
      </c>
      <c r="J35" s="8"/>
    </row>
    <row r="36" customFormat="false" ht="15" hidden="false" customHeight="false" outlineLevel="0" collapsed="false">
      <c r="A36" s="8" t="s">
        <v>306</v>
      </c>
      <c r="B36" s="8" t="s">
        <v>259</v>
      </c>
      <c r="C36" s="30" t="n">
        <f aca="false">C25*C35</f>
        <v>10.814496</v>
      </c>
      <c r="D36" s="30" t="n">
        <f aca="false">D25*D35</f>
        <v>10.814496</v>
      </c>
      <c r="E36" s="30" t="n">
        <f aca="false">E25*E35</f>
        <v>10.814496</v>
      </c>
      <c r="F36" s="30" t="n">
        <f aca="false">F25*F35</f>
        <v>10.814496</v>
      </c>
      <c r="G36" s="30" t="n">
        <f aca="false">G25*G35</f>
        <v>10.814496</v>
      </c>
      <c r="H36" s="42" t="n">
        <f aca="false">SUM(C36:G36)</f>
        <v>54.07248</v>
      </c>
      <c r="I36" s="8" t="s">
        <v>155</v>
      </c>
      <c r="J36" s="8" t="s">
        <v>743</v>
      </c>
    </row>
    <row r="37" customFormat="false" ht="15" hidden="false" customHeight="false" outlineLevel="0" collapsed="false">
      <c r="A37" s="8" t="s">
        <v>308</v>
      </c>
      <c r="B37" s="8" t="s">
        <v>259</v>
      </c>
      <c r="C37" s="30" t="n">
        <f aca="false">$C$15</f>
        <v>5.9</v>
      </c>
      <c r="D37" s="30" t="n">
        <f aca="false">$C$15</f>
        <v>5.9</v>
      </c>
      <c r="E37" s="30" t="n">
        <f aca="false">$C$15</f>
        <v>5.9</v>
      </c>
      <c r="F37" s="30" t="n">
        <f aca="false">$C$15</f>
        <v>5.9</v>
      </c>
      <c r="G37" s="30" t="n">
        <f aca="false">$C$15</f>
        <v>5.9</v>
      </c>
      <c r="H37" s="42" t="n">
        <f aca="false">SUM(C37:G37)</f>
        <v>29.5</v>
      </c>
      <c r="I37" s="8" t="s">
        <v>155</v>
      </c>
      <c r="J37" s="8"/>
    </row>
    <row r="38" customFormat="false" ht="15" hidden="false" customHeight="false" outlineLevel="0" collapsed="false">
      <c r="A38" s="8" t="s">
        <v>630</v>
      </c>
      <c r="B38" s="8" t="s">
        <v>259</v>
      </c>
      <c r="C38" s="30" t="n">
        <f aca="false">C36+C37</f>
        <v>16.714496</v>
      </c>
      <c r="D38" s="30" t="n">
        <f aca="false">D36+D37</f>
        <v>16.714496</v>
      </c>
      <c r="E38" s="30" t="n">
        <f aca="false">E36+E37</f>
        <v>16.714496</v>
      </c>
      <c r="F38" s="30" t="n">
        <f aca="false">F36+F37</f>
        <v>16.714496</v>
      </c>
      <c r="G38" s="30" t="n">
        <f aca="false">G36+G37</f>
        <v>16.714496</v>
      </c>
      <c r="H38" s="42" t="n">
        <f aca="false">SUM(C38:G38)</f>
        <v>83.57248</v>
      </c>
      <c r="I38" s="8" t="s">
        <v>155</v>
      </c>
      <c r="J38" s="8" t="s">
        <v>744</v>
      </c>
    </row>
    <row r="39" customFormat="false" ht="15" hidden="false" customHeight="false" outlineLevel="0" collapsed="false">
      <c r="A39" s="8" t="s">
        <v>316</v>
      </c>
      <c r="B39" s="8" t="s">
        <v>281</v>
      </c>
      <c r="C39" s="36" t="n">
        <f aca="false">IFERROR(C38/C27,0)</f>
        <v>0.239276208800018</v>
      </c>
      <c r="D39" s="36" t="n">
        <f aca="false">IFERROR(D38/D27,0)</f>
        <v>0.239276208800018</v>
      </c>
      <c r="E39" s="36" t="n">
        <f aca="false">IFERROR(E38/E27,0)</f>
        <v>0.239276208800018</v>
      </c>
      <c r="F39" s="36" t="n">
        <f aca="false">IFERROR(F38/F27,0)</f>
        <v>0.239276208800018</v>
      </c>
      <c r="G39" s="36" t="n">
        <f aca="false">IFERROR(G38/G27,0)</f>
        <v>0.239276208800018</v>
      </c>
      <c r="H39" s="60" t="n">
        <f aca="false">IFERROR(H38/H27,0)</f>
        <v>0.239276208800018</v>
      </c>
      <c r="I39" s="8" t="s">
        <v>155</v>
      </c>
      <c r="J39" s="8"/>
    </row>
    <row r="40" customFormat="false" ht="15" hidden="false" customHeight="false" outlineLevel="0" collapsed="false">
      <c r="A40" s="8" t="s">
        <v>632</v>
      </c>
      <c r="B40" s="8" t="s">
        <v>259</v>
      </c>
      <c r="C40" s="30" t="n">
        <f aca="false">Assumptions!$C$69</f>
        <v>14.3814678387081</v>
      </c>
      <c r="D40" s="30" t="n">
        <f aca="false">C43</f>
        <v>14.6073323433722</v>
      </c>
      <c r="E40" s="30" t="n">
        <f aca="false">D43</f>
        <v>15.1090479658105</v>
      </c>
      <c r="F40" s="30" t="n">
        <f aca="false">E43</f>
        <v>13.9578444205106</v>
      </c>
      <c r="G40" s="30" t="n">
        <f aca="false">F43</f>
        <v>13.871414042724</v>
      </c>
      <c r="H40" s="42" t="n">
        <f aca="false">C40</f>
        <v>14.3814678387081</v>
      </c>
      <c r="I40" s="8" t="s">
        <v>155</v>
      </c>
      <c r="J40" s="8"/>
    </row>
    <row r="41" customFormat="false" ht="15" hidden="false" customHeight="false" outlineLevel="0" collapsed="false">
      <c r="A41" s="8" t="s">
        <v>634</v>
      </c>
      <c r="B41" s="8" t="s">
        <v>281</v>
      </c>
      <c r="C41" s="36" t="n">
        <f aca="false">IFERROR((C40+C38)/C29,0)</f>
        <v>0.242774503747997</v>
      </c>
      <c r="D41" s="36" t="n">
        <f aca="false">IFERROR((D40+D38)/D29,0)</f>
        <v>0.240895052928431</v>
      </c>
      <c r="E41" s="36" t="n">
        <f aca="false">IFERROR((E40+E38)/E29,0)</f>
        <v>0.240042075317997</v>
      </c>
      <c r="F41" s="36" t="n">
        <f aca="false">IFERROR((F40+F38)/F29,0)</f>
        <v>0.239624119413873</v>
      </c>
      <c r="G41" s="36" t="n">
        <f aca="false">IFERROR((G40+G38)/G29,0)</f>
        <v>0.239433868995136</v>
      </c>
      <c r="I41" s="8" t="s">
        <v>155</v>
      </c>
      <c r="J41" s="8" t="s">
        <v>745</v>
      </c>
    </row>
    <row r="42" customFormat="false" ht="15" hidden="false" customHeight="false" outlineLevel="0" collapsed="false">
      <c r="A42" s="8" t="s">
        <v>746</v>
      </c>
      <c r="B42" s="8" t="s">
        <v>259</v>
      </c>
      <c r="C42" s="30" t="n">
        <f aca="false">C30*C41</f>
        <v>16.4886314953359</v>
      </c>
      <c r="D42" s="30" t="n">
        <f aca="false">D30*D41</f>
        <v>16.2127803775617</v>
      </c>
      <c r="E42" s="30" t="n">
        <f aca="false">E30*E41</f>
        <v>17.8656995452999</v>
      </c>
      <c r="F42" s="30" t="n">
        <f aca="false">F30*F41</f>
        <v>16.8009263777867</v>
      </c>
      <c r="G42" s="30" t="n">
        <f aca="false">G30*G41</f>
        <v>17.128443243295</v>
      </c>
      <c r="H42" s="42" t="n">
        <f aca="false">SUM(C42:G42)</f>
        <v>84.4964810392792</v>
      </c>
      <c r="I42" s="8" t="s">
        <v>155</v>
      </c>
      <c r="J42" s="8" t="s">
        <v>636</v>
      </c>
    </row>
    <row r="43" customFormat="false" ht="15" hidden="false" customHeight="false" outlineLevel="0" collapsed="false">
      <c r="A43" s="8" t="s">
        <v>637</v>
      </c>
      <c r="B43" s="8" t="s">
        <v>259</v>
      </c>
      <c r="C43" s="30" t="n">
        <f aca="false">C40+C38-C42</f>
        <v>14.6073323433722</v>
      </c>
      <c r="D43" s="30" t="n">
        <f aca="false">D40+D38-D42</f>
        <v>15.1090479658105</v>
      </c>
      <c r="E43" s="30" t="n">
        <f aca="false">E40+E38-E42</f>
        <v>13.9578444205106</v>
      </c>
      <c r="F43" s="30" t="n">
        <f aca="false">F40+F38-F42</f>
        <v>13.871414042724</v>
      </c>
      <c r="G43" s="30" t="n">
        <f aca="false">G40+G38-G42</f>
        <v>13.457466799429</v>
      </c>
      <c r="H43" s="42" t="n">
        <f aca="false">G43</f>
        <v>13.457466799429</v>
      </c>
      <c r="I43" s="8" t="s">
        <v>155</v>
      </c>
      <c r="J43" s="8" t="s">
        <v>747</v>
      </c>
    </row>
    <row r="44" customFormat="false" ht="15" hidden="false" customHeight="false" outlineLevel="0" collapsed="false">
      <c r="A44" s="7" t="s">
        <v>748</v>
      </c>
      <c r="B44" s="8" t="s">
        <v>259</v>
      </c>
      <c r="C44" s="30" t="n">
        <f aca="false">C34-C42</f>
        <v>23.6505967321008</v>
      </c>
      <c r="D44" s="30" t="n">
        <f aca="false">D34-D42</f>
        <v>23.5628525657419</v>
      </c>
      <c r="E44" s="30" t="n">
        <f aca="false">E34-E42</f>
        <v>26.1208741305219</v>
      </c>
      <c r="F44" s="30" t="n">
        <f aca="false">F34-F42</f>
        <v>24.6362524569623</v>
      </c>
      <c r="G44" s="30" t="n">
        <f aca="false">G34-G42</f>
        <v>25.1500781675294</v>
      </c>
      <c r="H44" s="42" t="n">
        <f aca="false">SUM(C44:G44)</f>
        <v>123.120654052856</v>
      </c>
      <c r="I44" s="8" t="s">
        <v>155</v>
      </c>
      <c r="J44" s="8" t="s">
        <v>313</v>
      </c>
    </row>
    <row r="45" customFormat="false" ht="15" hidden="false" customHeight="false" outlineLevel="0" collapsed="false">
      <c r="A45" s="8" t="s">
        <v>314</v>
      </c>
      <c r="B45" s="8" t="s">
        <v>226</v>
      </c>
      <c r="C45" s="35" t="n">
        <f aca="false">IFERROR(C44/C34,0)</f>
        <v>0.589214037651444</v>
      </c>
      <c r="D45" s="35" t="n">
        <f aca="false">IFERROR(D44/D34,0)</f>
        <v>0.592394157481504</v>
      </c>
      <c r="E45" s="35" t="n">
        <f aca="false">IFERROR(E44/E34,0)</f>
        <v>0.593837436010158</v>
      </c>
      <c r="F45" s="35" t="n">
        <f aca="false">IFERROR(F44/F34,0)</f>
        <v>0.594544637201568</v>
      </c>
      <c r="G45" s="35" t="n">
        <f aca="false">IFERROR(G44/G34,0)</f>
        <v>0.594866549923629</v>
      </c>
      <c r="H45" s="57" t="n">
        <f aca="false">IFERROR(H44/H34,0)</f>
        <v>0.59301778727569</v>
      </c>
      <c r="I45" s="8" t="s">
        <v>155</v>
      </c>
      <c r="J45" s="8"/>
    </row>
    <row r="47" customFormat="false" ht="15" hidden="false" customHeight="false" outlineLevel="0" collapsed="false">
      <c r="A47" s="16" t="s">
        <v>780</v>
      </c>
      <c r="B47" s="17"/>
      <c r="C47" s="17"/>
      <c r="D47" s="17"/>
      <c r="E47" s="17"/>
      <c r="F47" s="17"/>
      <c r="G47" s="17"/>
      <c r="H47" s="17"/>
      <c r="I47" s="17"/>
      <c r="J47" s="17"/>
    </row>
    <row r="48" customFormat="false" ht="15" hidden="false" customHeight="false" outlineLevel="0" collapsed="false">
      <c r="A48" s="8" t="s">
        <v>604</v>
      </c>
      <c r="B48" s="8" t="s">
        <v>300</v>
      </c>
      <c r="C48" s="34" t="n">
        <f aca="false">Budget!C45*(1+$D$10)*C$19</f>
        <v>41.261143223247</v>
      </c>
      <c r="D48" s="34" t="n">
        <f aca="false">Budget!D45*(1+$D$10)*D$19</f>
        <v>40.8873852374455</v>
      </c>
      <c r="E48" s="34" t="n">
        <f aca="false">Budget!E45*(1+$D$10)*E$19</f>
        <v>45.2160242357975</v>
      </c>
      <c r="F48" s="34" t="n">
        <f aca="false">Budget!F45*(1+$D$10)*F$19</f>
        <v>42.5953723120965</v>
      </c>
      <c r="G48" s="34" t="n">
        <f aca="false">Budget!G45*(1+$D$10)*G$19</f>
        <v>43.4602309071487</v>
      </c>
      <c r="H48" s="56" t="n">
        <f aca="false">SUM(C48:G48)</f>
        <v>213.420155915735</v>
      </c>
      <c r="I48" s="8" t="s">
        <v>155</v>
      </c>
      <c r="J48" s="8"/>
    </row>
    <row r="49" customFormat="false" ht="15" hidden="false" customHeight="false" outlineLevel="0" collapsed="false">
      <c r="A49" s="8" t="s">
        <v>290</v>
      </c>
      <c r="B49" s="8" t="s">
        <v>300</v>
      </c>
      <c r="C49" s="34" t="n">
        <f aca="false">Assumptions!$D$47</f>
        <v>60</v>
      </c>
      <c r="D49" s="34" t="n">
        <f aca="false">Assumptions!$D$47</f>
        <v>60</v>
      </c>
      <c r="E49" s="34" t="n">
        <f aca="false">Assumptions!$D$47</f>
        <v>60</v>
      </c>
      <c r="F49" s="34" t="n">
        <f aca="false">Assumptions!$D$47</f>
        <v>60</v>
      </c>
      <c r="G49" s="34" t="n">
        <f aca="false">Assumptions!$D$47</f>
        <v>60</v>
      </c>
      <c r="H49" s="56" t="n">
        <f aca="false">SUM(C49:G49)</f>
        <v>300</v>
      </c>
      <c r="I49" s="8" t="s">
        <v>155</v>
      </c>
      <c r="J49" s="8"/>
    </row>
    <row r="50" customFormat="false" ht="15" hidden="false" customHeight="false" outlineLevel="0" collapsed="false">
      <c r="A50" s="8" t="s">
        <v>607</v>
      </c>
      <c r="B50" s="8" t="s">
        <v>226</v>
      </c>
      <c r="C50" s="35" t="n">
        <f aca="false">$D$13</f>
        <v>0.76</v>
      </c>
      <c r="D50" s="35" t="n">
        <f aca="false">$D$13</f>
        <v>0.76</v>
      </c>
      <c r="E50" s="35" t="n">
        <f aca="false">$D$13</f>
        <v>0.76</v>
      </c>
      <c r="F50" s="35" t="n">
        <f aca="false">$D$13</f>
        <v>0.76</v>
      </c>
      <c r="G50" s="35" t="n">
        <f aca="false">$D$13</f>
        <v>0.76</v>
      </c>
      <c r="H50" s="57" t="n">
        <f aca="false">IFERROR(H51/H49,0)</f>
        <v>0.76</v>
      </c>
      <c r="I50" s="8" t="s">
        <v>155</v>
      </c>
      <c r="J50" s="8"/>
    </row>
    <row r="51" customFormat="false" ht="15" hidden="false" customHeight="false" outlineLevel="0" collapsed="false">
      <c r="A51" s="8" t="s">
        <v>302</v>
      </c>
      <c r="B51" s="8" t="s">
        <v>300</v>
      </c>
      <c r="C51" s="34" t="n">
        <f aca="false">C49*C50</f>
        <v>45.6</v>
      </c>
      <c r="D51" s="34" t="n">
        <f aca="false">D49*D50</f>
        <v>45.6</v>
      </c>
      <c r="E51" s="34" t="n">
        <f aca="false">E49*E50</f>
        <v>45.6</v>
      </c>
      <c r="F51" s="34" t="n">
        <f aca="false">F49*F50</f>
        <v>45.6</v>
      </c>
      <c r="G51" s="34" t="n">
        <f aca="false">G49*G50</f>
        <v>45.6</v>
      </c>
      <c r="H51" s="56" t="n">
        <f aca="false">SUM(C51:G51)</f>
        <v>228</v>
      </c>
      <c r="I51" s="8" t="s">
        <v>155</v>
      </c>
      <c r="J51" s="8" t="s">
        <v>609</v>
      </c>
    </row>
    <row r="52" customFormat="false" ht="15" hidden="false" customHeight="false" outlineLevel="0" collapsed="false">
      <c r="A52" s="8" t="s">
        <v>610</v>
      </c>
      <c r="B52" s="8" t="s">
        <v>226</v>
      </c>
      <c r="C52" s="35" t="n">
        <f aca="false">$D$12</f>
        <v>0.93</v>
      </c>
      <c r="D52" s="35" t="n">
        <f aca="false">$D$12</f>
        <v>0.93</v>
      </c>
      <c r="E52" s="35" t="n">
        <f aca="false">$D$12</f>
        <v>0.93</v>
      </c>
      <c r="F52" s="35" t="n">
        <f aca="false">$D$12</f>
        <v>0.93</v>
      </c>
      <c r="G52" s="35" t="n">
        <f aca="false">$D$12</f>
        <v>0.93</v>
      </c>
      <c r="H52" s="57" t="n">
        <f aca="false">IFERROR(H53/H51,0)</f>
        <v>0.93</v>
      </c>
      <c r="I52" s="8" t="s">
        <v>155</v>
      </c>
      <c r="J52" s="8"/>
    </row>
    <row r="53" customFormat="false" ht="15" hidden="false" customHeight="false" outlineLevel="0" collapsed="false">
      <c r="A53" s="8" t="s">
        <v>612</v>
      </c>
      <c r="B53" s="8" t="s">
        <v>300</v>
      </c>
      <c r="C53" s="34" t="n">
        <f aca="false">C51*C52</f>
        <v>42.408</v>
      </c>
      <c r="D53" s="34" t="n">
        <f aca="false">D51*D52</f>
        <v>42.408</v>
      </c>
      <c r="E53" s="34" t="n">
        <f aca="false">E51*E52</f>
        <v>42.408</v>
      </c>
      <c r="F53" s="34" t="n">
        <f aca="false">F51*F52</f>
        <v>42.408</v>
      </c>
      <c r="G53" s="34" t="n">
        <f aca="false">G51*G52</f>
        <v>42.408</v>
      </c>
      <c r="H53" s="56" t="n">
        <f aca="false">SUM(C53:G53)</f>
        <v>212.04</v>
      </c>
      <c r="I53" s="8" t="s">
        <v>155</v>
      </c>
      <c r="J53" s="8" t="s">
        <v>613</v>
      </c>
    </row>
    <row r="54" customFormat="false" ht="15" hidden="false" customHeight="false" outlineLevel="0" collapsed="false">
      <c r="A54" s="8" t="s">
        <v>357</v>
      </c>
      <c r="B54" s="8" t="s">
        <v>300</v>
      </c>
      <c r="C54" s="34" t="n">
        <f aca="false">Assumptions!$D$68</f>
        <v>36.777719308749</v>
      </c>
      <c r="D54" s="34" t="n">
        <f aca="false">C57</f>
        <v>37.924576085502</v>
      </c>
      <c r="E54" s="34" t="n">
        <f aca="false">D57</f>
        <v>39.4451908480565</v>
      </c>
      <c r="F54" s="34" t="n">
        <f aca="false">E57</f>
        <v>36.637166612259</v>
      </c>
      <c r="G54" s="34" t="n">
        <f aca="false">F57</f>
        <v>36.4497943001625</v>
      </c>
      <c r="H54" s="56" t="n">
        <f aca="false">C54</f>
        <v>36.777719308749</v>
      </c>
      <c r="I54" s="8" t="s">
        <v>155</v>
      </c>
      <c r="J54" s="8"/>
    </row>
    <row r="55" customFormat="false" ht="15" hidden="false" customHeight="false" outlineLevel="0" collapsed="false">
      <c r="A55" s="8" t="s">
        <v>615</v>
      </c>
      <c r="B55" s="8" t="s">
        <v>300</v>
      </c>
      <c r="C55" s="34" t="n">
        <f aca="false">C54+C53</f>
        <v>79.185719308749</v>
      </c>
      <c r="D55" s="34" t="n">
        <f aca="false">D54+D53</f>
        <v>80.332576085502</v>
      </c>
      <c r="E55" s="34" t="n">
        <f aca="false">E54+E53</f>
        <v>81.8531908480565</v>
      </c>
      <c r="F55" s="34" t="n">
        <f aca="false">F54+F53</f>
        <v>79.045166612259</v>
      </c>
      <c r="G55" s="34" t="n">
        <f aca="false">G54+G53</f>
        <v>78.8577943001625</v>
      </c>
      <c r="I55" s="8" t="s">
        <v>155</v>
      </c>
      <c r="J55" s="8"/>
    </row>
    <row r="56" customFormat="false" ht="15" hidden="false" customHeight="false" outlineLevel="0" collapsed="false">
      <c r="A56" s="7" t="s">
        <v>299</v>
      </c>
      <c r="B56" s="8" t="s">
        <v>300</v>
      </c>
      <c r="C56" s="34" t="n">
        <f aca="false">MIN(C48,C55)</f>
        <v>41.261143223247</v>
      </c>
      <c r="D56" s="34" t="n">
        <f aca="false">MIN(D48,D55)</f>
        <v>40.8873852374455</v>
      </c>
      <c r="E56" s="34" t="n">
        <f aca="false">MIN(E48,E55)</f>
        <v>45.2160242357975</v>
      </c>
      <c r="F56" s="34" t="n">
        <f aca="false">MIN(F48,F55)</f>
        <v>42.5953723120965</v>
      </c>
      <c r="G56" s="34" t="n">
        <f aca="false">MIN(G48,G55)</f>
        <v>43.4602309071487</v>
      </c>
      <c r="H56" s="56" t="n">
        <f aca="false">SUM(C56:G56)</f>
        <v>213.420155915735</v>
      </c>
      <c r="I56" s="8" t="s">
        <v>155</v>
      </c>
      <c r="J56" s="8" t="s">
        <v>740</v>
      </c>
    </row>
    <row r="57" customFormat="false" ht="15" hidden="false" customHeight="false" outlineLevel="0" collapsed="false">
      <c r="A57" s="8" t="s">
        <v>618</v>
      </c>
      <c r="B57" s="8" t="s">
        <v>300</v>
      </c>
      <c r="C57" s="34" t="n">
        <f aca="false">C55-C56</f>
        <v>37.924576085502</v>
      </c>
      <c r="D57" s="34" t="n">
        <f aca="false">D55-D56</f>
        <v>39.4451908480565</v>
      </c>
      <c r="E57" s="34" t="n">
        <f aca="false">E55-E56</f>
        <v>36.637166612259</v>
      </c>
      <c r="F57" s="34" t="n">
        <f aca="false">F55-F56</f>
        <v>36.4497943001625</v>
      </c>
      <c r="G57" s="34" t="n">
        <f aca="false">G55-G56</f>
        <v>35.3975633930138</v>
      </c>
      <c r="H57" s="56" t="n">
        <f aca="false">G57</f>
        <v>35.3975633930138</v>
      </c>
      <c r="I57" s="8" t="s">
        <v>155</v>
      </c>
      <c r="J57" s="8" t="s">
        <v>741</v>
      </c>
    </row>
    <row r="58" customFormat="false" ht="15" hidden="false" customHeight="false" outlineLevel="0" collapsed="false">
      <c r="A58" s="8" t="s">
        <v>742</v>
      </c>
      <c r="B58" s="8" t="s">
        <v>300</v>
      </c>
      <c r="C58" s="34" t="n">
        <f aca="false">C48-C56</f>
        <v>0</v>
      </c>
      <c r="D58" s="34" t="n">
        <f aca="false">D48-D56</f>
        <v>0</v>
      </c>
      <c r="E58" s="34" t="n">
        <f aca="false">E48-E56</f>
        <v>0</v>
      </c>
      <c r="F58" s="34" t="n">
        <f aca="false">F48-F56</f>
        <v>0</v>
      </c>
      <c r="G58" s="34" t="n">
        <f aca="false">G48-G56</f>
        <v>0</v>
      </c>
      <c r="H58" s="56" t="n">
        <f aca="false">SUM(C58:G58)</f>
        <v>0</v>
      </c>
      <c r="I58" s="8" t="s">
        <v>155</v>
      </c>
      <c r="J58" s="8"/>
    </row>
    <row r="59" customFormat="false" ht="15" hidden="false" customHeight="false" outlineLevel="0" collapsed="false">
      <c r="A59" s="8" t="s">
        <v>624</v>
      </c>
      <c r="B59" s="8" t="s">
        <v>281</v>
      </c>
      <c r="C59" s="36" t="n">
        <f aca="false">Assumptions!$D$43*(1+$D$11)</f>
        <v>0.94525</v>
      </c>
      <c r="D59" s="36" t="n">
        <f aca="false">Assumptions!$D$43*(1+$D$11)</f>
        <v>0.94525</v>
      </c>
      <c r="E59" s="36" t="n">
        <f aca="false">Assumptions!$D$43*(1+$D$11)</f>
        <v>0.94525</v>
      </c>
      <c r="F59" s="36" t="n">
        <f aca="false">Assumptions!$D$43*(1+$D$11)</f>
        <v>0.94525</v>
      </c>
      <c r="G59" s="36" t="n">
        <f aca="false">Assumptions!$D$43*(1+$D$11)</f>
        <v>0.94525</v>
      </c>
      <c r="H59" s="60" t="n">
        <f aca="false">IFERROR(H60/H56,0)</f>
        <v>0.94525</v>
      </c>
      <c r="I59" s="8" t="s">
        <v>155</v>
      </c>
      <c r="J59" s="8"/>
    </row>
    <row r="60" customFormat="false" ht="15" hidden="false" customHeight="false" outlineLevel="0" collapsed="false">
      <c r="A60" s="7" t="s">
        <v>22</v>
      </c>
      <c r="B60" s="8" t="s">
        <v>259</v>
      </c>
      <c r="C60" s="30" t="n">
        <f aca="false">C56*C59</f>
        <v>39.0020956317742</v>
      </c>
      <c r="D60" s="30" t="n">
        <f aca="false">D56*D59</f>
        <v>38.6488008956954</v>
      </c>
      <c r="E60" s="30" t="n">
        <f aca="false">E56*E59</f>
        <v>42.7404469088876</v>
      </c>
      <c r="F60" s="30" t="n">
        <f aca="false">F56*F59</f>
        <v>40.2632756780092</v>
      </c>
      <c r="G60" s="30" t="n">
        <f aca="false">G56*G59</f>
        <v>41.0807832649823</v>
      </c>
      <c r="H60" s="42" t="n">
        <f aca="false">SUM(C60:G60)</f>
        <v>201.735402379349</v>
      </c>
      <c r="I60" s="8" t="s">
        <v>155</v>
      </c>
      <c r="J60" s="8" t="s">
        <v>626</v>
      </c>
    </row>
    <row r="61" customFormat="false" ht="15" hidden="false" customHeight="false" outlineLevel="0" collapsed="false">
      <c r="A61" s="8" t="s">
        <v>627</v>
      </c>
      <c r="B61" s="8" t="s">
        <v>281</v>
      </c>
      <c r="C61" s="36" t="n">
        <f aca="false">Assumptions!$D$45*(1+$D$14)</f>
        <v>0.21735</v>
      </c>
      <c r="D61" s="36" t="n">
        <f aca="false">Assumptions!$D$45*(1+$D$14)</f>
        <v>0.21735</v>
      </c>
      <c r="E61" s="36" t="n">
        <f aca="false">Assumptions!$D$45*(1+$D$14)</f>
        <v>0.21735</v>
      </c>
      <c r="F61" s="36" t="n">
        <f aca="false">Assumptions!$D$45*(1+$D$14)</f>
        <v>0.21735</v>
      </c>
      <c r="G61" s="36" t="n">
        <f aca="false">Assumptions!$D$45*(1+$D$14)</f>
        <v>0.21735</v>
      </c>
      <c r="H61" s="60" t="n">
        <f aca="false">IFERROR(H62/H51,0)</f>
        <v>0.21735</v>
      </c>
      <c r="I61" s="8" t="s">
        <v>155</v>
      </c>
      <c r="J61" s="8"/>
    </row>
    <row r="62" customFormat="false" ht="15" hidden="false" customHeight="false" outlineLevel="0" collapsed="false">
      <c r="A62" s="8" t="s">
        <v>306</v>
      </c>
      <c r="B62" s="8" t="s">
        <v>259</v>
      </c>
      <c r="C62" s="30" t="n">
        <f aca="false">C51*C61</f>
        <v>9.91116</v>
      </c>
      <c r="D62" s="30" t="n">
        <f aca="false">D51*D61</f>
        <v>9.91116</v>
      </c>
      <c r="E62" s="30" t="n">
        <f aca="false">E51*E61</f>
        <v>9.91116</v>
      </c>
      <c r="F62" s="30" t="n">
        <f aca="false">F51*F61</f>
        <v>9.91116</v>
      </c>
      <c r="G62" s="30" t="n">
        <f aca="false">G51*G61</f>
        <v>9.91116</v>
      </c>
      <c r="H62" s="42" t="n">
        <f aca="false">SUM(C62:G62)</f>
        <v>49.5558</v>
      </c>
      <c r="I62" s="8" t="s">
        <v>155</v>
      </c>
      <c r="J62" s="8" t="s">
        <v>743</v>
      </c>
    </row>
    <row r="63" customFormat="false" ht="15" hidden="false" customHeight="false" outlineLevel="0" collapsed="false">
      <c r="A63" s="8" t="s">
        <v>308</v>
      </c>
      <c r="B63" s="8" t="s">
        <v>259</v>
      </c>
      <c r="C63" s="30" t="n">
        <f aca="false">$D$15</f>
        <v>6.2</v>
      </c>
      <c r="D63" s="30" t="n">
        <f aca="false">$D$15</f>
        <v>6.2</v>
      </c>
      <c r="E63" s="30" t="n">
        <f aca="false">$D$15</f>
        <v>6.2</v>
      </c>
      <c r="F63" s="30" t="n">
        <f aca="false">$D$15</f>
        <v>6.2</v>
      </c>
      <c r="G63" s="30" t="n">
        <f aca="false">$D$15</f>
        <v>6.2</v>
      </c>
      <c r="H63" s="42" t="n">
        <f aca="false">SUM(C63:G63)</f>
        <v>31</v>
      </c>
      <c r="I63" s="8" t="s">
        <v>155</v>
      </c>
      <c r="J63" s="8"/>
    </row>
    <row r="64" customFormat="false" ht="15" hidden="false" customHeight="false" outlineLevel="0" collapsed="false">
      <c r="A64" s="8" t="s">
        <v>630</v>
      </c>
      <c r="B64" s="8" t="s">
        <v>259</v>
      </c>
      <c r="C64" s="30" t="n">
        <f aca="false">C62+C63</f>
        <v>16.11116</v>
      </c>
      <c r="D64" s="30" t="n">
        <f aca="false">D62+D63</f>
        <v>16.11116</v>
      </c>
      <c r="E64" s="30" t="n">
        <f aca="false">E62+E63</f>
        <v>16.11116</v>
      </c>
      <c r="F64" s="30" t="n">
        <f aca="false">F62+F63</f>
        <v>16.11116</v>
      </c>
      <c r="G64" s="30" t="n">
        <f aca="false">G62+G63</f>
        <v>16.11116</v>
      </c>
      <c r="H64" s="42" t="n">
        <f aca="false">SUM(C64:G64)</f>
        <v>80.5558</v>
      </c>
      <c r="I64" s="8" t="s">
        <v>155</v>
      </c>
      <c r="J64" s="8" t="s">
        <v>744</v>
      </c>
    </row>
    <row r="65" customFormat="false" ht="15" hidden="false" customHeight="false" outlineLevel="0" collapsed="false">
      <c r="A65" s="8" t="s">
        <v>316</v>
      </c>
      <c r="B65" s="8" t="s">
        <v>281</v>
      </c>
      <c r="C65" s="36" t="n">
        <f aca="false">IFERROR(C64/C53,0)</f>
        <v>0.379908507828712</v>
      </c>
      <c r="D65" s="36" t="n">
        <f aca="false">IFERROR(D64/D53,0)</f>
        <v>0.379908507828712</v>
      </c>
      <c r="E65" s="36" t="n">
        <f aca="false">IFERROR(E64/E53,0)</f>
        <v>0.379908507828712</v>
      </c>
      <c r="F65" s="36" t="n">
        <f aca="false">IFERROR(F64/F53,0)</f>
        <v>0.379908507828712</v>
      </c>
      <c r="G65" s="36" t="n">
        <f aca="false">IFERROR(G64/G53,0)</f>
        <v>0.379908507828712</v>
      </c>
      <c r="H65" s="60" t="n">
        <f aca="false">IFERROR(H64/H53,0)</f>
        <v>0.379908507828712</v>
      </c>
      <c r="I65" s="8" t="s">
        <v>155</v>
      </c>
      <c r="J65" s="8"/>
    </row>
    <row r="66" customFormat="false" ht="15" hidden="false" customHeight="false" outlineLevel="0" collapsed="false">
      <c r="A66" s="8" t="s">
        <v>632</v>
      </c>
      <c r="B66" s="8" t="s">
        <v>259</v>
      </c>
      <c r="C66" s="30" t="n">
        <f aca="false">Assumptions!$D$69</f>
        <v>14.504646295524</v>
      </c>
      <c r="D66" s="30" t="n">
        <f aca="false">C69</f>
        <v>14.6628897913579</v>
      </c>
      <c r="E66" s="30" t="n">
        <f aca="false">D69</f>
        <v>15.1107847692536</v>
      </c>
      <c r="F66" s="30" t="n">
        <f aca="false">E69</f>
        <v>13.9748198038275</v>
      </c>
      <c r="G66" s="30" t="n">
        <f aca="false">F69</f>
        <v>13.8734323952741</v>
      </c>
      <c r="H66" s="42" t="n">
        <f aca="false">C66</f>
        <v>14.504646295524</v>
      </c>
      <c r="I66" s="8" t="s">
        <v>155</v>
      </c>
      <c r="J66" s="8"/>
    </row>
    <row r="67" customFormat="false" ht="15" hidden="false" customHeight="false" outlineLevel="0" collapsed="false">
      <c r="A67" s="8" t="s">
        <v>634</v>
      </c>
      <c r="B67" s="8" t="s">
        <v>281</v>
      </c>
      <c r="C67" s="36" t="n">
        <f aca="false">IFERROR((C66+C64)/C55,0)</f>
        <v>0.38663292526461</v>
      </c>
      <c r="D67" s="36" t="n">
        <f aca="false">IFERROR((D66+D64)/D55,0)</f>
        <v>0.383083069047898</v>
      </c>
      <c r="E67" s="36" t="n">
        <f aca="false">IFERROR((E66+E64)/E55,0)</f>
        <v>0.381438334239292</v>
      </c>
      <c r="F67" s="36" t="n">
        <f aca="false">IFERROR((F66+F64)/F55,0)</f>
        <v>0.380617577181013</v>
      </c>
      <c r="G67" s="36" t="n">
        <f aca="false">IFERROR((G66+G64)/G55,0)</f>
        <v>0.380236255165107</v>
      </c>
      <c r="I67" s="8" t="s">
        <v>155</v>
      </c>
      <c r="J67" s="8" t="s">
        <v>745</v>
      </c>
    </row>
    <row r="68" customFormat="false" ht="15" hidden="false" customHeight="false" outlineLevel="0" collapsed="false">
      <c r="A68" s="8" t="s">
        <v>746</v>
      </c>
      <c r="B68" s="8" t="s">
        <v>259</v>
      </c>
      <c r="C68" s="30" t="n">
        <f aca="false">C56*C67</f>
        <v>15.952916504166</v>
      </c>
      <c r="D68" s="30" t="n">
        <f aca="false">D56*D67</f>
        <v>15.6632650221044</v>
      </c>
      <c r="E68" s="30" t="n">
        <f aca="false">E56*E67</f>
        <v>17.2471249654261</v>
      </c>
      <c r="F68" s="30" t="n">
        <f aca="false">F56*F67</f>
        <v>16.2125474085534</v>
      </c>
      <c r="G68" s="30" t="n">
        <f aca="false">G56*G67</f>
        <v>16.5251554487451</v>
      </c>
      <c r="H68" s="42" t="n">
        <f aca="false">SUM(C68:G68)</f>
        <v>81.6010093489949</v>
      </c>
      <c r="I68" s="8" t="s">
        <v>155</v>
      </c>
      <c r="J68" s="8" t="s">
        <v>636</v>
      </c>
    </row>
    <row r="69" customFormat="false" ht="15" hidden="false" customHeight="false" outlineLevel="0" collapsed="false">
      <c r="A69" s="8" t="s">
        <v>637</v>
      </c>
      <c r="B69" s="8" t="s">
        <v>259</v>
      </c>
      <c r="C69" s="30" t="n">
        <f aca="false">C66+C64-C68</f>
        <v>14.6628897913579</v>
      </c>
      <c r="D69" s="30" t="n">
        <f aca="false">D66+D64-D68</f>
        <v>15.1107847692536</v>
      </c>
      <c r="E69" s="30" t="n">
        <f aca="false">E66+E64-E68</f>
        <v>13.9748198038275</v>
      </c>
      <c r="F69" s="30" t="n">
        <f aca="false">F66+F64-F68</f>
        <v>13.8734323952741</v>
      </c>
      <c r="G69" s="30" t="n">
        <f aca="false">G66+G64-G68</f>
        <v>13.459436946529</v>
      </c>
      <c r="H69" s="42" t="n">
        <f aca="false">G69</f>
        <v>13.459436946529</v>
      </c>
      <c r="I69" s="8" t="s">
        <v>155</v>
      </c>
      <c r="J69" s="8" t="s">
        <v>747</v>
      </c>
    </row>
    <row r="70" customFormat="false" ht="15" hidden="false" customHeight="false" outlineLevel="0" collapsed="false">
      <c r="A70" s="7" t="s">
        <v>748</v>
      </c>
      <c r="B70" s="8" t="s">
        <v>259</v>
      </c>
      <c r="C70" s="30" t="n">
        <f aca="false">C60-C68</f>
        <v>23.0491791276082</v>
      </c>
      <c r="D70" s="30" t="n">
        <f aca="false">D60-D68</f>
        <v>22.985535873591</v>
      </c>
      <c r="E70" s="30" t="n">
        <f aca="false">E60-E68</f>
        <v>25.4933219434615</v>
      </c>
      <c r="F70" s="30" t="n">
        <f aca="false">F60-F68</f>
        <v>24.0507282694558</v>
      </c>
      <c r="G70" s="30" t="n">
        <f aca="false">G60-G68</f>
        <v>24.5556278162372</v>
      </c>
      <c r="H70" s="42" t="n">
        <f aca="false">SUM(C70:G70)</f>
        <v>120.134393030354</v>
      </c>
      <c r="I70" s="8" t="s">
        <v>155</v>
      </c>
      <c r="J70" s="8" t="s">
        <v>313</v>
      </c>
    </row>
    <row r="71" customFormat="false" ht="15" hidden="false" customHeight="false" outlineLevel="0" collapsed="false">
      <c r="A71" s="8" t="s">
        <v>314</v>
      </c>
      <c r="B71" s="8" t="s">
        <v>226</v>
      </c>
      <c r="C71" s="35" t="n">
        <f aca="false">IFERROR(C70/C60,0)</f>
        <v>0.590972837593642</v>
      </c>
      <c r="D71" s="35" t="n">
        <f aca="false">IFERROR(D70/D60,0)</f>
        <v>0.59472830568855</v>
      </c>
      <c r="E71" s="35" t="n">
        <f aca="false">IFERROR(E70/E60,0)</f>
        <v>0.59646830548607</v>
      </c>
      <c r="F71" s="35" t="n">
        <f aca="false">IFERROR(F70/F60,0)</f>
        <v>0.597336601765657</v>
      </c>
      <c r="G71" s="35" t="n">
        <f aca="false">IFERROR(G70/G60,0)</f>
        <v>0.597740010404541</v>
      </c>
      <c r="H71" s="57" t="n">
        <f aca="false">IFERROR(H70/H60,0)</f>
        <v>0.595504763236598</v>
      </c>
      <c r="I71" s="8" t="s">
        <v>155</v>
      </c>
      <c r="J71" s="8"/>
    </row>
    <row r="73" customFormat="false" ht="15" hidden="false" customHeight="false" outlineLevel="0" collapsed="false">
      <c r="A73" s="16" t="s">
        <v>781</v>
      </c>
      <c r="B73" s="17"/>
      <c r="C73" s="17"/>
      <c r="D73" s="17"/>
      <c r="E73" s="17"/>
      <c r="F73" s="17"/>
      <c r="G73" s="17"/>
      <c r="H73" s="17"/>
      <c r="I73" s="17"/>
      <c r="J73" s="17"/>
    </row>
    <row r="74" customFormat="false" ht="15" hidden="false" customHeight="false" outlineLevel="0" collapsed="false">
      <c r="A74" s="8" t="s">
        <v>604</v>
      </c>
      <c r="B74" s="8" t="s">
        <v>300</v>
      </c>
      <c r="C74" s="34" t="n">
        <f aca="false">Budget!C71*(1+$E$10)*C$19</f>
        <v>3.89068107833746</v>
      </c>
      <c r="D74" s="34" t="n">
        <f aca="false">Budget!D71*(1+$E$10)*D$19</f>
        <v>3.85543791710542</v>
      </c>
      <c r="E74" s="34" t="n">
        <f aca="false">Budget!E71*(1+$E$10)*E$19</f>
        <v>4.26360290067653</v>
      </c>
      <c r="F74" s="34" t="n">
        <f aca="false">Budget!F71*(1+$E$10)*F$19</f>
        <v>4.01649096785185</v>
      </c>
      <c r="G74" s="34" t="n">
        <f aca="false">Budget!G71*(1+$E$10)*G$19</f>
        <v>4.098042003726</v>
      </c>
      <c r="H74" s="56" t="n">
        <f aca="false">SUM(C74:G74)</f>
        <v>20.1242548676972</v>
      </c>
      <c r="I74" s="8" t="s">
        <v>155</v>
      </c>
      <c r="J74" s="8"/>
    </row>
    <row r="75" customFormat="false" ht="15" hidden="false" customHeight="false" outlineLevel="0" collapsed="false">
      <c r="A75" s="8" t="s">
        <v>290</v>
      </c>
      <c r="B75" s="8" t="s">
        <v>300</v>
      </c>
      <c r="C75" s="34" t="n">
        <f aca="false">Assumptions!$E$47</f>
        <v>7</v>
      </c>
      <c r="D75" s="34" t="n">
        <f aca="false">Assumptions!$E$47</f>
        <v>7</v>
      </c>
      <c r="E75" s="34" t="n">
        <f aca="false">Assumptions!$E$47</f>
        <v>7</v>
      </c>
      <c r="F75" s="34" t="n">
        <f aca="false">Assumptions!$E$47</f>
        <v>7</v>
      </c>
      <c r="G75" s="34" t="n">
        <f aca="false">Assumptions!$E$47</f>
        <v>7</v>
      </c>
      <c r="H75" s="56" t="n">
        <f aca="false">SUM(C75:G75)</f>
        <v>35</v>
      </c>
      <c r="I75" s="8" t="s">
        <v>155</v>
      </c>
      <c r="J75" s="8"/>
    </row>
    <row r="76" customFormat="false" ht="15" hidden="false" customHeight="false" outlineLevel="0" collapsed="false">
      <c r="A76" s="8" t="s">
        <v>607</v>
      </c>
      <c r="B76" s="8" t="s">
        <v>226</v>
      </c>
      <c r="C76" s="35" t="n">
        <f aca="false">$E$13</f>
        <v>0.72</v>
      </c>
      <c r="D76" s="35" t="n">
        <f aca="false">$E$13</f>
        <v>0.72</v>
      </c>
      <c r="E76" s="35" t="n">
        <f aca="false">$E$13</f>
        <v>0.72</v>
      </c>
      <c r="F76" s="35" t="n">
        <f aca="false">$E$13</f>
        <v>0.72</v>
      </c>
      <c r="G76" s="35" t="n">
        <f aca="false">$E$13</f>
        <v>0.72</v>
      </c>
      <c r="H76" s="57" t="n">
        <f aca="false">IFERROR(H77/H75,0)</f>
        <v>0.72</v>
      </c>
      <c r="I76" s="8" t="s">
        <v>155</v>
      </c>
      <c r="J76" s="8"/>
    </row>
    <row r="77" customFormat="false" ht="15" hidden="false" customHeight="false" outlineLevel="0" collapsed="false">
      <c r="A77" s="8" t="s">
        <v>302</v>
      </c>
      <c r="B77" s="8" t="s">
        <v>300</v>
      </c>
      <c r="C77" s="34" t="n">
        <f aca="false">C75*C76</f>
        <v>5.04</v>
      </c>
      <c r="D77" s="34" t="n">
        <f aca="false">D75*D76</f>
        <v>5.04</v>
      </c>
      <c r="E77" s="34" t="n">
        <f aca="false">E75*E76</f>
        <v>5.04</v>
      </c>
      <c r="F77" s="34" t="n">
        <f aca="false">F75*F76</f>
        <v>5.04</v>
      </c>
      <c r="G77" s="34" t="n">
        <f aca="false">G75*G76</f>
        <v>5.04</v>
      </c>
      <c r="H77" s="56" t="n">
        <f aca="false">SUM(C77:G77)</f>
        <v>25.2</v>
      </c>
      <c r="I77" s="8" t="s">
        <v>155</v>
      </c>
      <c r="J77" s="8" t="s">
        <v>609</v>
      </c>
    </row>
    <row r="78" customFormat="false" ht="15" hidden="false" customHeight="false" outlineLevel="0" collapsed="false">
      <c r="A78" s="8" t="s">
        <v>610</v>
      </c>
      <c r="B78" s="8" t="s">
        <v>226</v>
      </c>
      <c r="C78" s="35" t="n">
        <f aca="false">$E$12</f>
        <v>0.86</v>
      </c>
      <c r="D78" s="35" t="n">
        <f aca="false">$E$12</f>
        <v>0.86</v>
      </c>
      <c r="E78" s="35" t="n">
        <f aca="false">$E$12</f>
        <v>0.86</v>
      </c>
      <c r="F78" s="35" t="n">
        <f aca="false">$E$12</f>
        <v>0.86</v>
      </c>
      <c r="G78" s="35" t="n">
        <f aca="false">$E$12</f>
        <v>0.86</v>
      </c>
      <c r="H78" s="57" t="n">
        <f aca="false">IFERROR(H79/H77,0)</f>
        <v>0.86</v>
      </c>
      <c r="I78" s="8" t="s">
        <v>155</v>
      </c>
      <c r="J78" s="8"/>
    </row>
    <row r="79" customFormat="false" ht="15" hidden="false" customHeight="false" outlineLevel="0" collapsed="false">
      <c r="A79" s="8" t="s">
        <v>612</v>
      </c>
      <c r="B79" s="8" t="s">
        <v>300</v>
      </c>
      <c r="C79" s="34" t="n">
        <f aca="false">C77*C78</f>
        <v>4.3344</v>
      </c>
      <c r="D79" s="34" t="n">
        <f aca="false">D77*D78</f>
        <v>4.3344</v>
      </c>
      <c r="E79" s="34" t="n">
        <f aca="false">E77*E78</f>
        <v>4.3344</v>
      </c>
      <c r="F79" s="34" t="n">
        <f aca="false">F77*F78</f>
        <v>4.3344</v>
      </c>
      <c r="G79" s="34" t="n">
        <f aca="false">G77*G78</f>
        <v>4.3344</v>
      </c>
      <c r="H79" s="56" t="n">
        <f aca="false">SUM(C79:G79)</f>
        <v>21.672</v>
      </c>
      <c r="I79" s="8" t="s">
        <v>155</v>
      </c>
      <c r="J79" s="8" t="s">
        <v>613</v>
      </c>
    </row>
    <row r="80" customFormat="false" ht="15" hidden="false" customHeight="false" outlineLevel="0" collapsed="false">
      <c r="A80" s="8" t="s">
        <v>357</v>
      </c>
      <c r="B80" s="8" t="s">
        <v>300</v>
      </c>
      <c r="C80" s="34" t="n">
        <f aca="false">Assumptions!$E$68</f>
        <v>3.95754901373829</v>
      </c>
      <c r="D80" s="34" t="n">
        <f aca="false">C83</f>
        <v>4.40126793540083</v>
      </c>
      <c r="E80" s="34" t="n">
        <f aca="false">D83</f>
        <v>4.88023001829541</v>
      </c>
      <c r="F80" s="34" t="n">
        <f aca="false">E83</f>
        <v>4.95102711761888</v>
      </c>
      <c r="G80" s="34" t="n">
        <f aca="false">F83</f>
        <v>5.26893614976704</v>
      </c>
      <c r="H80" s="56" t="n">
        <f aca="false">C80</f>
        <v>3.95754901373829</v>
      </c>
      <c r="I80" s="8" t="s">
        <v>155</v>
      </c>
      <c r="J80" s="8"/>
    </row>
    <row r="81" customFormat="false" ht="15" hidden="false" customHeight="false" outlineLevel="0" collapsed="false">
      <c r="A81" s="8" t="s">
        <v>615</v>
      </c>
      <c r="B81" s="8" t="s">
        <v>300</v>
      </c>
      <c r="C81" s="34" t="n">
        <f aca="false">C80+C79</f>
        <v>8.29194901373829</v>
      </c>
      <c r="D81" s="34" t="n">
        <f aca="false">D80+D79</f>
        <v>8.73566793540083</v>
      </c>
      <c r="E81" s="34" t="n">
        <f aca="false">E80+E79</f>
        <v>9.21463001829541</v>
      </c>
      <c r="F81" s="34" t="n">
        <f aca="false">F80+F79</f>
        <v>9.28542711761888</v>
      </c>
      <c r="G81" s="34" t="n">
        <f aca="false">G80+G79</f>
        <v>9.60333614976704</v>
      </c>
      <c r="I81" s="8" t="s">
        <v>155</v>
      </c>
      <c r="J81" s="8"/>
    </row>
    <row r="82" customFormat="false" ht="15" hidden="false" customHeight="false" outlineLevel="0" collapsed="false">
      <c r="A82" s="7" t="s">
        <v>299</v>
      </c>
      <c r="B82" s="8" t="s">
        <v>300</v>
      </c>
      <c r="C82" s="34" t="n">
        <f aca="false">MIN(C74,C81)</f>
        <v>3.89068107833746</v>
      </c>
      <c r="D82" s="34" t="n">
        <f aca="false">MIN(D74,D81)</f>
        <v>3.85543791710542</v>
      </c>
      <c r="E82" s="34" t="n">
        <f aca="false">MIN(E74,E81)</f>
        <v>4.26360290067653</v>
      </c>
      <c r="F82" s="34" t="n">
        <f aca="false">MIN(F74,F81)</f>
        <v>4.01649096785185</v>
      </c>
      <c r="G82" s="34" t="n">
        <f aca="false">MIN(G74,G81)</f>
        <v>4.098042003726</v>
      </c>
      <c r="H82" s="56" t="n">
        <f aca="false">SUM(C82:G82)</f>
        <v>20.1242548676972</v>
      </c>
      <c r="I82" s="8" t="s">
        <v>155</v>
      </c>
      <c r="J82" s="8" t="s">
        <v>740</v>
      </c>
    </row>
    <row r="83" customFormat="false" ht="15" hidden="false" customHeight="false" outlineLevel="0" collapsed="false">
      <c r="A83" s="8" t="s">
        <v>618</v>
      </c>
      <c r="B83" s="8" t="s">
        <v>300</v>
      </c>
      <c r="C83" s="34" t="n">
        <f aca="false">C81-C82</f>
        <v>4.40126793540083</v>
      </c>
      <c r="D83" s="34" t="n">
        <f aca="false">D81-D82</f>
        <v>4.88023001829541</v>
      </c>
      <c r="E83" s="34" t="n">
        <f aca="false">E81-E82</f>
        <v>4.95102711761888</v>
      </c>
      <c r="F83" s="34" t="n">
        <f aca="false">F81-F82</f>
        <v>5.26893614976704</v>
      </c>
      <c r="G83" s="34" t="n">
        <f aca="false">G81-G82</f>
        <v>5.50529414604104</v>
      </c>
      <c r="H83" s="56" t="n">
        <f aca="false">G83</f>
        <v>5.50529414604104</v>
      </c>
      <c r="I83" s="8" t="s">
        <v>155</v>
      </c>
      <c r="J83" s="8" t="s">
        <v>741</v>
      </c>
    </row>
    <row r="84" customFormat="false" ht="15" hidden="false" customHeight="false" outlineLevel="0" collapsed="false">
      <c r="A84" s="8" t="s">
        <v>742</v>
      </c>
      <c r="B84" s="8" t="s">
        <v>300</v>
      </c>
      <c r="C84" s="34" t="n">
        <f aca="false">C74-C82</f>
        <v>0</v>
      </c>
      <c r="D84" s="34" t="n">
        <f aca="false">D74-D82</f>
        <v>0</v>
      </c>
      <c r="E84" s="34" t="n">
        <f aca="false">E74-E82</f>
        <v>0</v>
      </c>
      <c r="F84" s="34" t="n">
        <f aca="false">F74-F82</f>
        <v>0</v>
      </c>
      <c r="G84" s="34" t="n">
        <f aca="false">G74-G82</f>
        <v>0</v>
      </c>
      <c r="H84" s="56" t="n">
        <f aca="false">SUM(C84:G84)</f>
        <v>0</v>
      </c>
      <c r="I84" s="8" t="s">
        <v>155</v>
      </c>
      <c r="J84" s="8"/>
    </row>
    <row r="85" customFormat="false" ht="15" hidden="false" customHeight="false" outlineLevel="0" collapsed="false">
      <c r="A85" s="8" t="s">
        <v>624</v>
      </c>
      <c r="B85" s="8" t="s">
        <v>281</v>
      </c>
      <c r="C85" s="36" t="n">
        <f aca="false">Assumptions!$E$43*(1+$E$11)</f>
        <v>3.434</v>
      </c>
      <c r="D85" s="36" t="n">
        <f aca="false">Assumptions!$E$43*(1+$E$11)</f>
        <v>3.434</v>
      </c>
      <c r="E85" s="36" t="n">
        <f aca="false">Assumptions!$E$43*(1+$E$11)</f>
        <v>3.434</v>
      </c>
      <c r="F85" s="36" t="n">
        <f aca="false">Assumptions!$E$43*(1+$E$11)</f>
        <v>3.434</v>
      </c>
      <c r="G85" s="36" t="n">
        <f aca="false">Assumptions!$E$43*(1+$E$11)</f>
        <v>3.434</v>
      </c>
      <c r="H85" s="60" t="n">
        <f aca="false">IFERROR(H86/H82,0)</f>
        <v>3.434</v>
      </c>
      <c r="I85" s="8" t="s">
        <v>155</v>
      </c>
      <c r="J85" s="8"/>
    </row>
    <row r="86" customFormat="false" ht="15" hidden="false" customHeight="false" outlineLevel="0" collapsed="false">
      <c r="A86" s="7" t="s">
        <v>22</v>
      </c>
      <c r="B86" s="8" t="s">
        <v>259</v>
      </c>
      <c r="C86" s="30" t="n">
        <f aca="false">C82*C85</f>
        <v>13.3605988230108</v>
      </c>
      <c r="D86" s="30" t="n">
        <f aca="false">D82*D85</f>
        <v>13.23957380734</v>
      </c>
      <c r="E86" s="30" t="n">
        <f aca="false">E82*E85</f>
        <v>14.6412123609232</v>
      </c>
      <c r="F86" s="30" t="n">
        <f aca="false">F82*F85</f>
        <v>13.7926299836032</v>
      </c>
      <c r="G86" s="30" t="n">
        <f aca="false">G82*G85</f>
        <v>14.0726762407951</v>
      </c>
      <c r="H86" s="42" t="n">
        <f aca="false">SUM(C86:G86)</f>
        <v>69.1066912156723</v>
      </c>
      <c r="I86" s="8" t="s">
        <v>155</v>
      </c>
      <c r="J86" s="8" t="s">
        <v>626</v>
      </c>
    </row>
    <row r="87" customFormat="false" ht="15" hidden="false" customHeight="false" outlineLevel="0" collapsed="false">
      <c r="A87" s="8" t="s">
        <v>627</v>
      </c>
      <c r="B87" s="8" t="s">
        <v>281</v>
      </c>
      <c r="C87" s="36" t="n">
        <f aca="false">Assumptions!$E$45*(1+$E$14)</f>
        <v>0.988</v>
      </c>
      <c r="D87" s="36" t="n">
        <f aca="false">Assumptions!$E$45*(1+$E$14)</f>
        <v>0.988</v>
      </c>
      <c r="E87" s="36" t="n">
        <f aca="false">Assumptions!$E$45*(1+$E$14)</f>
        <v>0.988</v>
      </c>
      <c r="F87" s="36" t="n">
        <f aca="false">Assumptions!$E$45*(1+$E$14)</f>
        <v>0.988</v>
      </c>
      <c r="G87" s="36" t="n">
        <f aca="false">Assumptions!$E$45*(1+$E$14)</f>
        <v>0.988</v>
      </c>
      <c r="H87" s="60" t="n">
        <f aca="false">IFERROR(H88/H77,0)</f>
        <v>0.988</v>
      </c>
      <c r="I87" s="8" t="s">
        <v>155</v>
      </c>
      <c r="J87" s="8"/>
    </row>
    <row r="88" customFormat="false" ht="15" hidden="false" customHeight="false" outlineLevel="0" collapsed="false">
      <c r="A88" s="8" t="s">
        <v>306</v>
      </c>
      <c r="B88" s="8" t="s">
        <v>259</v>
      </c>
      <c r="C88" s="30" t="n">
        <f aca="false">C77*C87</f>
        <v>4.97952</v>
      </c>
      <c r="D88" s="30" t="n">
        <f aca="false">D77*D87</f>
        <v>4.97952</v>
      </c>
      <c r="E88" s="30" t="n">
        <f aca="false">E77*E87</f>
        <v>4.97952</v>
      </c>
      <c r="F88" s="30" t="n">
        <f aca="false">F77*F87</f>
        <v>4.97952</v>
      </c>
      <c r="G88" s="30" t="n">
        <f aca="false">G77*G87</f>
        <v>4.97952</v>
      </c>
      <c r="H88" s="42" t="n">
        <f aca="false">SUM(C88:G88)</f>
        <v>24.8976</v>
      </c>
      <c r="I88" s="8" t="s">
        <v>155</v>
      </c>
      <c r="J88" s="8" t="s">
        <v>743</v>
      </c>
    </row>
    <row r="89" customFormat="false" ht="15" hidden="false" customHeight="false" outlineLevel="0" collapsed="false">
      <c r="A89" s="8" t="s">
        <v>308</v>
      </c>
      <c r="B89" s="8" t="s">
        <v>259</v>
      </c>
      <c r="C89" s="30" t="n">
        <f aca="false">$E$15</f>
        <v>2.6</v>
      </c>
      <c r="D89" s="30" t="n">
        <f aca="false">$E$15</f>
        <v>2.6</v>
      </c>
      <c r="E89" s="30" t="n">
        <f aca="false">$E$15</f>
        <v>2.6</v>
      </c>
      <c r="F89" s="30" t="n">
        <f aca="false">$E$15</f>
        <v>2.6</v>
      </c>
      <c r="G89" s="30" t="n">
        <f aca="false">$E$15</f>
        <v>2.6</v>
      </c>
      <c r="H89" s="42" t="n">
        <f aca="false">SUM(C89:G89)</f>
        <v>13</v>
      </c>
      <c r="I89" s="8" t="s">
        <v>155</v>
      </c>
      <c r="J89" s="8"/>
    </row>
    <row r="90" customFormat="false" ht="15" hidden="false" customHeight="false" outlineLevel="0" collapsed="false">
      <c r="A90" s="8" t="s">
        <v>630</v>
      </c>
      <c r="B90" s="8" t="s">
        <v>259</v>
      </c>
      <c r="C90" s="30" t="n">
        <f aca="false">C88+C89</f>
        <v>7.57952</v>
      </c>
      <c r="D90" s="30" t="n">
        <f aca="false">D88+D89</f>
        <v>7.57952</v>
      </c>
      <c r="E90" s="30" t="n">
        <f aca="false">E88+E89</f>
        <v>7.57952</v>
      </c>
      <c r="F90" s="30" t="n">
        <f aca="false">F88+F89</f>
        <v>7.57952</v>
      </c>
      <c r="G90" s="30" t="n">
        <f aca="false">G88+G89</f>
        <v>7.57952</v>
      </c>
      <c r="H90" s="42" t="n">
        <f aca="false">SUM(C90:G90)</f>
        <v>37.8976</v>
      </c>
      <c r="I90" s="8" t="s">
        <v>155</v>
      </c>
      <c r="J90" s="8" t="s">
        <v>744</v>
      </c>
    </row>
    <row r="91" customFormat="false" ht="15" hidden="false" customHeight="false" outlineLevel="0" collapsed="false">
      <c r="A91" s="8" t="s">
        <v>316</v>
      </c>
      <c r="B91" s="8" t="s">
        <v>281</v>
      </c>
      <c r="C91" s="36" t="n">
        <f aca="false">IFERROR(C90/C79,0)</f>
        <v>1.74868955334072</v>
      </c>
      <c r="D91" s="36" t="n">
        <f aca="false">IFERROR(D90/D79,0)</f>
        <v>1.74868955334072</v>
      </c>
      <c r="E91" s="36" t="n">
        <f aca="false">IFERROR(E90/E79,0)</f>
        <v>1.74868955334072</v>
      </c>
      <c r="F91" s="36" t="n">
        <f aca="false">IFERROR(F90/F79,0)</f>
        <v>1.74868955334072</v>
      </c>
      <c r="G91" s="36" t="n">
        <f aca="false">IFERROR(G90/G79,0)</f>
        <v>1.74868955334072</v>
      </c>
      <c r="H91" s="60" t="n">
        <f aca="false">IFERROR(H90/H79,0)</f>
        <v>1.74868955334072</v>
      </c>
      <c r="I91" s="8" t="s">
        <v>155</v>
      </c>
      <c r="J91" s="8"/>
    </row>
    <row r="92" customFormat="false" ht="15" hidden="false" customHeight="false" outlineLevel="0" collapsed="false">
      <c r="A92" s="8" t="s">
        <v>632</v>
      </c>
      <c r="B92" s="8" t="s">
        <v>259</v>
      </c>
      <c r="C92" s="30" t="n">
        <f aca="false">Assumptions!$E$69</f>
        <v>6.77235404892201</v>
      </c>
      <c r="D92" s="30" t="n">
        <f aca="false">C95</f>
        <v>7.61780408439272</v>
      </c>
      <c r="E92" s="30" t="n">
        <f aca="false">D95</f>
        <v>8.4900705639075</v>
      </c>
      <c r="F92" s="30" t="n">
        <f aca="false">E95</f>
        <v>8.63420218641142</v>
      </c>
      <c r="G92" s="30" t="n">
        <f aca="false">F95</f>
        <v>9.20033789163703</v>
      </c>
      <c r="H92" s="42" t="n">
        <f aca="false">C92</f>
        <v>6.77235404892201</v>
      </c>
      <c r="I92" s="8" t="s">
        <v>155</v>
      </c>
      <c r="J92" s="8"/>
    </row>
    <row r="93" customFormat="false" ht="15" hidden="false" customHeight="false" outlineLevel="0" collapsed="false">
      <c r="A93" s="8" t="s">
        <v>634</v>
      </c>
      <c r="B93" s="8" t="s">
        <v>281</v>
      </c>
      <c r="C93" s="36" t="n">
        <f aca="false">IFERROR((C92+C90)/C81,0)</f>
        <v>1.73082034454668</v>
      </c>
      <c r="D93" s="36" t="n">
        <f aca="false">IFERROR((D92+D90)/D81,0)</f>
        <v>1.73968655823173</v>
      </c>
      <c r="E93" s="36" t="n">
        <f aca="false">IFERROR((E92+E90)/E81,0)</f>
        <v>1.74392140889018</v>
      </c>
      <c r="F93" s="36" t="n">
        <f aca="false">IFERROR((F92+F90)/F81,0)</f>
        <v>1.74614715952552</v>
      </c>
      <c r="G93" s="36" t="n">
        <f aca="false">IFERROR((G92+G90)/G81,0)</f>
        <v>1.7472946515617</v>
      </c>
      <c r="I93" s="8" t="s">
        <v>155</v>
      </c>
      <c r="J93" s="8" t="s">
        <v>745</v>
      </c>
    </row>
    <row r="94" customFormat="false" ht="15" hidden="false" customHeight="false" outlineLevel="0" collapsed="false">
      <c r="A94" s="8" t="s">
        <v>746</v>
      </c>
      <c r="B94" s="8" t="s">
        <v>259</v>
      </c>
      <c r="C94" s="30" t="n">
        <f aca="false">C82*C93</f>
        <v>6.7340699645293</v>
      </c>
      <c r="D94" s="30" t="n">
        <f aca="false">D82*D93</f>
        <v>6.70725352048522</v>
      </c>
      <c r="E94" s="30" t="n">
        <f aca="false">E82*E93</f>
        <v>7.43538837749608</v>
      </c>
      <c r="F94" s="30" t="n">
        <f aca="false">F82*F93</f>
        <v>7.0133842947744</v>
      </c>
      <c r="G94" s="30" t="n">
        <f aca="false">G82*G93</f>
        <v>7.1604868749856</v>
      </c>
      <c r="H94" s="42" t="n">
        <f aca="false">SUM(C94:G94)</f>
        <v>35.0505830322706</v>
      </c>
      <c r="I94" s="8" t="s">
        <v>155</v>
      </c>
      <c r="J94" s="8" t="s">
        <v>636</v>
      </c>
    </row>
    <row r="95" customFormat="false" ht="15" hidden="false" customHeight="false" outlineLevel="0" collapsed="false">
      <c r="A95" s="8" t="s">
        <v>637</v>
      </c>
      <c r="B95" s="8" t="s">
        <v>259</v>
      </c>
      <c r="C95" s="30" t="n">
        <f aca="false">C92+C90-C94</f>
        <v>7.61780408439272</v>
      </c>
      <c r="D95" s="30" t="n">
        <f aca="false">D92+D90-D94</f>
        <v>8.4900705639075</v>
      </c>
      <c r="E95" s="30" t="n">
        <f aca="false">E92+E90-E94</f>
        <v>8.63420218641142</v>
      </c>
      <c r="F95" s="30" t="n">
        <f aca="false">F92+F90-F94</f>
        <v>9.20033789163703</v>
      </c>
      <c r="G95" s="30" t="n">
        <f aca="false">G92+G90-G94</f>
        <v>9.61937101665142</v>
      </c>
      <c r="H95" s="42" t="n">
        <f aca="false">G95</f>
        <v>9.61937101665142</v>
      </c>
      <c r="I95" s="8" t="s">
        <v>155</v>
      </c>
      <c r="J95" s="8" t="s">
        <v>747</v>
      </c>
    </row>
    <row r="96" customFormat="false" ht="15" hidden="false" customHeight="false" outlineLevel="0" collapsed="false">
      <c r="A96" s="7" t="s">
        <v>748</v>
      </c>
      <c r="B96" s="8" t="s">
        <v>259</v>
      </c>
      <c r="C96" s="30" t="n">
        <f aca="false">C86-C94</f>
        <v>6.62652885848154</v>
      </c>
      <c r="D96" s="30" t="n">
        <f aca="false">D86-D94</f>
        <v>6.53232028685478</v>
      </c>
      <c r="E96" s="30" t="n">
        <f aca="false">E86-E94</f>
        <v>7.20582398342711</v>
      </c>
      <c r="F96" s="30" t="n">
        <f aca="false">F86-F94</f>
        <v>6.77924568882884</v>
      </c>
      <c r="G96" s="30" t="n">
        <f aca="false">G86-G94</f>
        <v>6.91218936580946</v>
      </c>
      <c r="H96" s="42" t="n">
        <f aca="false">SUM(C96:G96)</f>
        <v>34.0561081834017</v>
      </c>
      <c r="I96" s="8" t="s">
        <v>155</v>
      </c>
      <c r="J96" s="8" t="s">
        <v>313</v>
      </c>
    </row>
    <row r="97" customFormat="false" ht="15" hidden="false" customHeight="false" outlineLevel="0" collapsed="false">
      <c r="A97" s="8" t="s">
        <v>314</v>
      </c>
      <c r="B97" s="8" t="s">
        <v>226</v>
      </c>
      <c r="C97" s="35" t="n">
        <f aca="false">IFERROR(C96/C86,0)</f>
        <v>0.495975438396424</v>
      </c>
      <c r="D97" s="35" t="n">
        <f aca="false">IFERROR(D96/D86,0)</f>
        <v>0.493393547399031</v>
      </c>
      <c r="E97" s="35" t="n">
        <f aca="false">IFERROR(E96/E86,0)</f>
        <v>0.492160335209615</v>
      </c>
      <c r="F97" s="35" t="n">
        <f aca="false">IFERROR(F96/F86,0)</f>
        <v>0.491512184180106</v>
      </c>
      <c r="G97" s="35" t="n">
        <f aca="false">IFERROR(G96/G86,0)</f>
        <v>0.491178028083373</v>
      </c>
      <c r="H97" s="57" t="n">
        <f aca="false">IFERROR(H96/H86,0)</f>
        <v>0.492804786111339</v>
      </c>
      <c r="I97" s="8" t="s">
        <v>155</v>
      </c>
      <c r="J97" s="8"/>
    </row>
    <row r="99" customFormat="false" ht="15" hidden="false" customHeight="false" outlineLevel="0" collapsed="false">
      <c r="A99" s="16" t="s">
        <v>782</v>
      </c>
      <c r="B99" s="17"/>
      <c r="C99" s="17"/>
      <c r="D99" s="17"/>
      <c r="E99" s="17"/>
      <c r="F99" s="17"/>
      <c r="G99" s="17"/>
      <c r="H99" s="17"/>
      <c r="I99" s="17"/>
      <c r="J99" s="17"/>
    </row>
    <row r="100" customFormat="false" ht="15" hidden="false" customHeight="false" outlineLevel="0" collapsed="false">
      <c r="A100" s="7" t="s">
        <v>22</v>
      </c>
      <c r="B100" s="8" t="s">
        <v>259</v>
      </c>
      <c r="C100" s="30" t="n">
        <f aca="false">C34+C60+C86</f>
        <v>92.5019226822217</v>
      </c>
      <c r="D100" s="30" t="n">
        <f aca="false">D34+D60+D86</f>
        <v>91.664007646339</v>
      </c>
      <c r="E100" s="30" t="n">
        <f aca="false">E34+E60+E86</f>
        <v>101.368232945633</v>
      </c>
      <c r="F100" s="30" t="n">
        <f aca="false">F34+F60+F86</f>
        <v>95.4930844963614</v>
      </c>
      <c r="G100" s="30" t="n">
        <f aca="false">G34+G60+G86</f>
        <v>97.4319809166018</v>
      </c>
      <c r="H100" s="42" t="n">
        <f aca="false">SUM(C100:G100)</f>
        <v>478.459228687156</v>
      </c>
      <c r="I100" s="8" t="s">
        <v>155</v>
      </c>
    </row>
    <row r="101" customFormat="false" ht="15" hidden="false" customHeight="false" outlineLevel="0" collapsed="false">
      <c r="A101" s="8" t="s">
        <v>306</v>
      </c>
      <c r="B101" s="8" t="s">
        <v>259</v>
      </c>
      <c r="C101" s="30" t="n">
        <f aca="false">C36+C62+C88</f>
        <v>25.705176</v>
      </c>
      <c r="D101" s="30" t="n">
        <f aca="false">D36+D62+D88</f>
        <v>25.705176</v>
      </c>
      <c r="E101" s="30" t="n">
        <f aca="false">E36+E62+E88</f>
        <v>25.705176</v>
      </c>
      <c r="F101" s="30" t="n">
        <f aca="false">F36+F62+F88</f>
        <v>25.705176</v>
      </c>
      <c r="G101" s="30" t="n">
        <f aca="false">G36+G62+G88</f>
        <v>25.705176</v>
      </c>
      <c r="H101" s="42" t="n">
        <f aca="false">SUM(C101:G101)</f>
        <v>128.52588</v>
      </c>
      <c r="I101" s="8" t="s">
        <v>155</v>
      </c>
    </row>
    <row r="102" customFormat="false" ht="15" hidden="false" customHeight="false" outlineLevel="0" collapsed="false">
      <c r="A102" s="8" t="s">
        <v>308</v>
      </c>
      <c r="B102" s="8" t="s">
        <v>259</v>
      </c>
      <c r="C102" s="30" t="n">
        <f aca="false">C37+C63+C89</f>
        <v>14.7</v>
      </c>
      <c r="D102" s="30" t="n">
        <f aca="false">D37+D63+D89</f>
        <v>14.7</v>
      </c>
      <c r="E102" s="30" t="n">
        <f aca="false">E37+E63+E89</f>
        <v>14.7</v>
      </c>
      <c r="F102" s="30" t="n">
        <f aca="false">F37+F63+F89</f>
        <v>14.7</v>
      </c>
      <c r="G102" s="30" t="n">
        <f aca="false">G37+G63+G89</f>
        <v>14.7</v>
      </c>
      <c r="H102" s="42" t="n">
        <f aca="false">SUM(C102:G102)</f>
        <v>73.5</v>
      </c>
      <c r="I102" s="8" t="s">
        <v>155</v>
      </c>
    </row>
    <row r="103" customFormat="false" ht="15" hidden="false" customHeight="false" outlineLevel="0" collapsed="false">
      <c r="A103" s="8" t="s">
        <v>675</v>
      </c>
      <c r="B103" s="8" t="s">
        <v>259</v>
      </c>
      <c r="C103" s="30" t="n">
        <f aca="false">C42+C68+C94</f>
        <v>39.1756179640313</v>
      </c>
      <c r="D103" s="30" t="n">
        <f aca="false">D42+D68+D94</f>
        <v>38.5832989201513</v>
      </c>
      <c r="E103" s="30" t="n">
        <f aca="false">E42+E68+E94</f>
        <v>42.548212888222</v>
      </c>
      <c r="F103" s="30" t="n">
        <f aca="false">F42+F68+F94</f>
        <v>40.0268580811144</v>
      </c>
      <c r="G103" s="30" t="n">
        <f aca="false">G42+G68+G94</f>
        <v>40.8140855670257</v>
      </c>
      <c r="H103" s="42" t="n">
        <f aca="false">SUM(C103:G103)</f>
        <v>201.148073420545</v>
      </c>
      <c r="I103" s="8" t="s">
        <v>155</v>
      </c>
    </row>
    <row r="104" customFormat="false" ht="15" hidden="false" customHeight="false" outlineLevel="0" collapsed="false">
      <c r="A104" s="8" t="s">
        <v>447</v>
      </c>
      <c r="B104" s="8" t="s">
        <v>259</v>
      </c>
      <c r="C104" s="30" t="n">
        <f aca="false">C100*$C$18</f>
        <v>4.16258652069998</v>
      </c>
      <c r="D104" s="30" t="n">
        <f aca="false">D100*$C$18</f>
        <v>4.12488034408525</v>
      </c>
      <c r="E104" s="30" t="n">
        <f aca="false">E100*$C$18</f>
        <v>4.56157048255346</v>
      </c>
      <c r="F104" s="30" t="n">
        <f aca="false">F100*$C$18</f>
        <v>4.29718880233626</v>
      </c>
      <c r="G104" s="30" t="n">
        <f aca="false">G100*$C$18</f>
        <v>4.38443914124708</v>
      </c>
      <c r="H104" s="42" t="n">
        <f aca="false">SUM(C104:G104)</f>
        <v>21.530665290922</v>
      </c>
      <c r="I104" s="8" t="s">
        <v>155</v>
      </c>
    </row>
    <row r="105" customFormat="false" ht="15" hidden="false" customHeight="false" outlineLevel="0" collapsed="false">
      <c r="A105" s="8" t="s">
        <v>708</v>
      </c>
      <c r="B105" s="8" t="s">
        <v>259</v>
      </c>
      <c r="C105" s="30" t="n">
        <f aca="false">0</f>
        <v>0</v>
      </c>
      <c r="D105" s="30" t="n">
        <f aca="false">SUM($C$104:C104)/Assumptions!$F$86</f>
        <v>0.0693764420116663</v>
      </c>
      <c r="E105" s="30" t="n">
        <f aca="false">SUM($C$104:D104)/Assumptions!$F$86</f>
        <v>0.138124447746421</v>
      </c>
      <c r="F105" s="30" t="n">
        <f aca="false">SUM($C$104:E104)/Assumptions!$F$86</f>
        <v>0.214150622455645</v>
      </c>
      <c r="G105" s="30" t="n">
        <f aca="false">SUM($C$104:F104)/Assumptions!$F$86</f>
        <v>0.285770435827916</v>
      </c>
      <c r="H105" s="42" t="n">
        <f aca="false">SUM(C105:G105)</f>
        <v>0.707421948041648</v>
      </c>
      <c r="I105" s="8" t="s">
        <v>155</v>
      </c>
    </row>
    <row r="106" customFormat="false" ht="15" hidden="false" customHeight="false" outlineLevel="0" collapsed="false">
      <c r="A106" s="8" t="s">
        <v>679</v>
      </c>
      <c r="B106" s="8" t="s">
        <v>259</v>
      </c>
      <c r="C106" s="30" t="n">
        <f aca="false">C103+C105</f>
        <v>39.1756179640313</v>
      </c>
      <c r="D106" s="30" t="n">
        <f aca="false">D103+D105</f>
        <v>38.652675362163</v>
      </c>
      <c r="E106" s="30" t="n">
        <f aca="false">E103+E105</f>
        <v>42.6863373359684</v>
      </c>
      <c r="F106" s="30" t="n">
        <f aca="false">F103+F105</f>
        <v>40.2410087035701</v>
      </c>
      <c r="G106" s="30" t="n">
        <f aca="false">G103+G105</f>
        <v>41.0998560028536</v>
      </c>
      <c r="H106" s="42" t="n">
        <f aca="false">SUM(C106:G106)</f>
        <v>201.855495368586</v>
      </c>
      <c r="I106" s="8" t="s">
        <v>155</v>
      </c>
    </row>
    <row r="107" customFormat="false" ht="15" hidden="false" customHeight="false" outlineLevel="0" collapsed="false">
      <c r="A107" s="44" t="s">
        <v>312</v>
      </c>
      <c r="B107" s="45" t="s">
        <v>259</v>
      </c>
      <c r="C107" s="61" t="n">
        <f aca="false">C100-C106</f>
        <v>53.3263047181905</v>
      </c>
      <c r="D107" s="61" t="n">
        <f aca="false">D100-D106</f>
        <v>53.011332284176</v>
      </c>
      <c r="E107" s="61" t="n">
        <f aca="false">E100-E106</f>
        <v>58.6818956096641</v>
      </c>
      <c r="F107" s="61" t="n">
        <f aca="false">F100-F106</f>
        <v>55.2520757927914</v>
      </c>
      <c r="G107" s="61" t="n">
        <f aca="false">G100-G106</f>
        <v>56.3321249137482</v>
      </c>
      <c r="H107" s="62" t="n">
        <f aca="false">SUM(C107:G107)</f>
        <v>276.60373331857</v>
      </c>
      <c r="I107" s="8" t="s">
        <v>155</v>
      </c>
    </row>
    <row r="108" customFormat="false" ht="15" hidden="false" customHeight="false" outlineLevel="0" collapsed="false">
      <c r="A108" s="8" t="s">
        <v>314</v>
      </c>
      <c r="B108" s="8" t="s">
        <v>226</v>
      </c>
      <c r="C108" s="35" t="n">
        <f aca="false">IFERROR(C107/C100,0)</f>
        <v>0.576488608797744</v>
      </c>
      <c r="D108" s="35" t="n">
        <f aca="false">IFERROR(D107/D100,0)</f>
        <v>0.578322218778673</v>
      </c>
      <c r="E108" s="35" t="n">
        <f aca="false">IFERROR(E107/E100,0)</f>
        <v>0.578898279120021</v>
      </c>
      <c r="F108" s="35" t="n">
        <f aca="false">IFERROR(F107/F100,0)</f>
        <v>0.578597665833034</v>
      </c>
      <c r="G108" s="35" t="n">
        <f aca="false">IFERROR(G107/G100,0)</f>
        <v>0.578168732522912</v>
      </c>
      <c r="H108" s="57" t="n">
        <f aca="false">IFERROR(H107/H100,0)</f>
        <v>0.578113487490967</v>
      </c>
      <c r="I108" s="8" t="s">
        <v>155</v>
      </c>
    </row>
    <row r="109" customFormat="false" ht="15" hidden="false" customHeight="false" outlineLevel="0" collapsed="false">
      <c r="A109" s="8" t="s">
        <v>681</v>
      </c>
      <c r="B109" s="8" t="s">
        <v>259</v>
      </c>
      <c r="C109" s="30" t="n">
        <f aca="false">$C$16</f>
        <v>10.8</v>
      </c>
      <c r="D109" s="30" t="n">
        <f aca="false">$C$16</f>
        <v>10.8</v>
      </c>
      <c r="E109" s="30" t="n">
        <f aca="false">$C$16</f>
        <v>10.8</v>
      </c>
      <c r="F109" s="30" t="n">
        <f aca="false">$C$16</f>
        <v>10.8</v>
      </c>
      <c r="G109" s="30" t="n">
        <f aca="false">$C$16</f>
        <v>10.8</v>
      </c>
      <c r="H109" s="42" t="n">
        <f aca="false">SUM(C109:G109)</f>
        <v>54</v>
      </c>
      <c r="I109" s="8" t="s">
        <v>155</v>
      </c>
    </row>
    <row r="110" customFormat="false" ht="15" hidden="false" customHeight="false" outlineLevel="0" collapsed="false">
      <c r="A110" s="8" t="s">
        <v>683</v>
      </c>
      <c r="B110" s="8" t="s">
        <v>259</v>
      </c>
      <c r="C110" s="30" t="n">
        <f aca="false">$C$17</f>
        <v>8.4</v>
      </c>
      <c r="D110" s="30" t="n">
        <f aca="false">$C$17</f>
        <v>8.4</v>
      </c>
      <c r="E110" s="30" t="n">
        <f aca="false">$C$17</f>
        <v>8.4</v>
      </c>
      <c r="F110" s="30" t="n">
        <f aca="false">$C$17</f>
        <v>8.4</v>
      </c>
      <c r="G110" s="30" t="n">
        <f aca="false">$C$17</f>
        <v>8.4</v>
      </c>
      <c r="H110" s="42" t="n">
        <f aca="false">SUM(C110:G110)</f>
        <v>42</v>
      </c>
      <c r="I110" s="8" t="s">
        <v>155</v>
      </c>
    </row>
    <row r="111" customFormat="false" ht="15" hidden="false" customHeight="false" outlineLevel="0" collapsed="false">
      <c r="A111" s="8" t="s">
        <v>685</v>
      </c>
      <c r="B111" s="8" t="s">
        <v>259</v>
      </c>
      <c r="C111" s="30" t="n">
        <f aca="false">C109+C110</f>
        <v>19.2</v>
      </c>
      <c r="D111" s="30" t="n">
        <f aca="false">D109+D110</f>
        <v>19.2</v>
      </c>
      <c r="E111" s="30" t="n">
        <f aca="false">E109+E110</f>
        <v>19.2</v>
      </c>
      <c r="F111" s="30" t="n">
        <f aca="false">F109+F110</f>
        <v>19.2</v>
      </c>
      <c r="G111" s="30" t="n">
        <f aca="false">G109+G110</f>
        <v>19.2</v>
      </c>
      <c r="H111" s="42" t="n">
        <f aca="false">SUM(C111:G111)</f>
        <v>96</v>
      </c>
      <c r="I111" s="8" t="s">
        <v>155</v>
      </c>
    </row>
    <row r="112" customFormat="false" ht="15" hidden="false" customHeight="false" outlineLevel="0" collapsed="false">
      <c r="A112" s="44" t="s">
        <v>364</v>
      </c>
      <c r="B112" s="45" t="s">
        <v>259</v>
      </c>
      <c r="C112" s="61" t="n">
        <f aca="false">C107-C111</f>
        <v>34.1263047181905</v>
      </c>
      <c r="D112" s="61" t="n">
        <f aca="false">D107-D111</f>
        <v>33.811332284176</v>
      </c>
      <c r="E112" s="61" t="n">
        <f aca="false">E107-E111</f>
        <v>39.4818956096641</v>
      </c>
      <c r="F112" s="61" t="n">
        <f aca="false">F107-F111</f>
        <v>36.0520757927914</v>
      </c>
      <c r="G112" s="61" t="n">
        <f aca="false">G107-G111</f>
        <v>37.1321249137482</v>
      </c>
      <c r="H112" s="62" t="n">
        <f aca="false">SUM(C112:G112)</f>
        <v>180.60373331857</v>
      </c>
      <c r="I112" s="8" t="s">
        <v>155</v>
      </c>
    </row>
    <row r="113" customFormat="false" ht="15" hidden="false" customHeight="false" outlineLevel="0" collapsed="false">
      <c r="A113" s="8" t="s">
        <v>365</v>
      </c>
      <c r="B113" s="8" t="s">
        <v>226</v>
      </c>
      <c r="C113" s="35" t="n">
        <f aca="false">IFERROR(C112/C100,0)</f>
        <v>0.368925355588845</v>
      </c>
      <c r="D113" s="35" t="n">
        <f aca="false">IFERROR(D112/D100,0)</f>
        <v>0.368861597396308</v>
      </c>
      <c r="E113" s="35" t="n">
        <f aca="false">IFERROR(E112/E100,0)</f>
        <v>0.389489827950732</v>
      </c>
      <c r="F113" s="35" t="n">
        <f aca="false">IFERROR(F112/F100,0)</f>
        <v>0.377535985803926</v>
      </c>
      <c r="G113" s="35" t="n">
        <f aca="false">IFERROR(G112/G100,0)</f>
        <v>0.381108179926383</v>
      </c>
      <c r="H113" s="57" t="n">
        <f aca="false">IFERROR(H112/H100,0)</f>
        <v>0.377469432064522</v>
      </c>
      <c r="I113" s="8" t="s">
        <v>155</v>
      </c>
    </row>
    <row r="114" customFormat="false" ht="15" hidden="false" customHeight="false" outlineLevel="0" collapsed="false">
      <c r="A114" s="8" t="s">
        <v>637</v>
      </c>
      <c r="B114" s="8" t="s">
        <v>259</v>
      </c>
      <c r="C114" s="30" t="n">
        <f aca="false">C43+C69+C95</f>
        <v>36.8880262191229</v>
      </c>
      <c r="D114" s="30" t="n">
        <f aca="false">D43+D69+D95</f>
        <v>38.7099032989716</v>
      </c>
      <c r="E114" s="30" t="n">
        <f aca="false">E43+E69+E95</f>
        <v>36.5668664107496</v>
      </c>
      <c r="F114" s="30" t="n">
        <f aca="false">F43+F69+F95</f>
        <v>36.9451843296352</v>
      </c>
      <c r="G114" s="30" t="n">
        <f aca="false">G43+G69+G95</f>
        <v>36.5362747626094</v>
      </c>
      <c r="H114" s="42" t="n">
        <f aca="false">G114</f>
        <v>36.5362747626094</v>
      </c>
      <c r="I114" s="8" t="s">
        <v>155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7030A0"/>
    <pageSetUpPr fitToPage="true"/>
  </sheetPr>
  <dimension ref="A1:H10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5" topLeftCell="C6" activePane="bottomRight" state="frozen"/>
      <selection pane="topLeft" activeCell="A1" activeCellId="0" sqref="A1"/>
      <selection pane="topRight" activeCell="C1" activeCellId="0" sqref="C1"/>
      <selection pane="bottomLeft" activeCell="A6" activeCellId="0" sqref="A6"/>
      <selection pane="bottomRight" activeCell="A1" activeCellId="0" sqref="A1"/>
    </sheetView>
  </sheetViews>
  <sheetFormatPr defaultColWidth="8.54296875" defaultRowHeight="15" customHeight="false" zeroHeight="false" outlineLevelRow="0" outlineLevelCol="0"/>
  <cols>
    <col collapsed="false" customWidth="true" hidden="false" outlineLevel="0" max="1" min="1" style="0" width="56"/>
    <col collapsed="false" customWidth="true" hidden="false" outlineLevel="0" max="2" min="2" style="0" width="10"/>
    <col collapsed="false" customWidth="true" hidden="false" outlineLevel="0" max="7" min="3" style="0" width="13"/>
    <col collapsed="false" customWidth="true" hidden="false" outlineLevel="0" max="8" min="8" style="0" width="80"/>
  </cols>
  <sheetData>
    <row r="1" customFormat="false" ht="19.7" hidden="false" customHeight="false" outlineLevel="0" collapsed="false">
      <c r="A1" s="14" t="s">
        <v>783</v>
      </c>
    </row>
    <row r="2" customFormat="false" ht="15" hidden="false" customHeight="false" outlineLevel="0" collapsed="false">
      <c r="A2" s="4" t="s">
        <v>784</v>
      </c>
    </row>
    <row r="3" customFormat="false" ht="15" hidden="false" customHeight="false" outlineLevel="0" collapsed="false">
      <c r="A3" s="15" t="s">
        <v>785</v>
      </c>
    </row>
    <row r="5" customFormat="false" ht="15" hidden="false" customHeight="false" outlineLevel="0" collapsed="false">
      <c r="A5" s="16" t="s">
        <v>786</v>
      </c>
      <c r="B5" s="17"/>
      <c r="C5" s="17"/>
      <c r="D5" s="17"/>
      <c r="E5" s="17"/>
      <c r="F5" s="17"/>
      <c r="G5" s="17"/>
      <c r="H5" s="17"/>
    </row>
    <row r="6" customFormat="false" ht="15" hidden="false" customHeight="false" outlineLevel="0" collapsed="false">
      <c r="A6" s="18" t="s">
        <v>787</v>
      </c>
      <c r="B6" s="19" t="s">
        <v>220</v>
      </c>
      <c r="C6" s="19" t="s">
        <v>28</v>
      </c>
      <c r="D6" s="19" t="s">
        <v>788</v>
      </c>
      <c r="E6" s="19" t="s">
        <v>32</v>
      </c>
      <c r="F6" s="19" t="s">
        <v>789</v>
      </c>
      <c r="G6" s="19" t="s">
        <v>790</v>
      </c>
      <c r="H6" s="19" t="s">
        <v>791</v>
      </c>
    </row>
    <row r="7" customFormat="false" ht="15" hidden="false" customHeight="false" outlineLevel="0" collapsed="false">
      <c r="A7" s="8" t="s">
        <v>792</v>
      </c>
      <c r="B7" s="8" t="s">
        <v>259</v>
      </c>
      <c r="C7" s="39" t="n">
        <f aca="false">Budget!$P$31</f>
        <v>198.705984748249</v>
      </c>
      <c r="D7" s="39" t="n">
        <f aca="false">Actuals!$H$34</f>
        <v>207.617135092135</v>
      </c>
      <c r="E7" s="30" t="n">
        <f aca="false">D7-C7</f>
        <v>8.91115034388659</v>
      </c>
      <c r="F7" s="66" t="n">
        <f aca="false">IFERROR(E7/ABS(C7),0)</f>
        <v>0.0448459081651547</v>
      </c>
      <c r="G7" s="0" t="str">
        <f aca="false">IF(ABS(E7)&lt;0.0005,"On budget",IF(E7&gt;0,"Favorable","Unfavorable"))</f>
        <v>Favorable</v>
      </c>
      <c r="H7" s="0" t="s">
        <v>793</v>
      </c>
    </row>
    <row r="8" customFormat="false" ht="15" hidden="false" customHeight="false" outlineLevel="0" collapsed="false">
      <c r="A8" s="8" t="s">
        <v>794</v>
      </c>
      <c r="B8" s="8" t="s">
        <v>259</v>
      </c>
      <c r="C8" s="39" t="n">
        <f aca="false">Budget!$P$57</f>
        <v>198.705984748249</v>
      </c>
      <c r="D8" s="39" t="n">
        <f aca="false">Actuals!$H$60</f>
        <v>201.735402379349</v>
      </c>
      <c r="E8" s="30" t="n">
        <f aca="false">D8-C8</f>
        <v>3.0294176310999</v>
      </c>
      <c r="F8" s="66" t="n">
        <f aca="false">IFERROR(E8/ABS(C8),0)</f>
        <v>0.015245729185953</v>
      </c>
      <c r="G8" s="0" t="str">
        <f aca="false">IF(ABS(E8)&lt;0.0005,"On budget",IF(E8&gt;0,"Favorable","Unfavorable"))</f>
        <v>Favorable</v>
      </c>
      <c r="H8" s="0" t="s">
        <v>793</v>
      </c>
    </row>
    <row r="9" customFormat="false" ht="15" hidden="false" customHeight="false" outlineLevel="0" collapsed="false">
      <c r="A9" s="8" t="s">
        <v>795</v>
      </c>
      <c r="B9" s="8" t="s">
        <v>259</v>
      </c>
      <c r="C9" s="39" t="n">
        <f aca="false">Budget!$P$83</f>
        <v>71.2932485032629</v>
      </c>
      <c r="D9" s="39" t="n">
        <f aca="false">Actuals!$H$86</f>
        <v>69.1066912156723</v>
      </c>
      <c r="E9" s="30" t="n">
        <f aca="false">D9-C9</f>
        <v>-2.18655728759057</v>
      </c>
      <c r="F9" s="66" t="n">
        <f aca="false">IFERROR(E9/ABS(C9),0)</f>
        <v>-0.0306699068073816</v>
      </c>
      <c r="G9" s="0" t="str">
        <f aca="false">IF(ABS(E9)&lt;0.0005,"On budget",IF(E9&gt;0,"Favorable","Unfavorable"))</f>
        <v>Unfavorable</v>
      </c>
      <c r="H9" s="0" t="s">
        <v>793</v>
      </c>
    </row>
    <row r="10" customFormat="false" ht="15" hidden="false" customHeight="false" outlineLevel="0" collapsed="false">
      <c r="A10" s="7" t="s">
        <v>796</v>
      </c>
      <c r="B10" s="8" t="s">
        <v>259</v>
      </c>
      <c r="C10" s="39" t="n">
        <f aca="false">Budget!$P$97</f>
        <v>468.705217999761</v>
      </c>
      <c r="D10" s="39" t="n">
        <f aca="false">Actuals!$H$100</f>
        <v>478.459228687156</v>
      </c>
      <c r="E10" s="42" t="n">
        <f aca="false">D10-C10</f>
        <v>9.75401068739592</v>
      </c>
      <c r="F10" s="66" t="n">
        <f aca="false">IFERROR(E10/ABS(C10),0)</f>
        <v>0.0208105442670811</v>
      </c>
      <c r="G10" s="0" t="str">
        <f aca="false">IF(ABS(E10)&lt;0.0005,"On budget",IF(E10&gt;0,"Favorable","Unfavorable"))</f>
        <v>Favorable</v>
      </c>
      <c r="H10" s="0" t="s">
        <v>793</v>
      </c>
    </row>
    <row r="11" customFormat="false" ht="15" hidden="false" customHeight="false" outlineLevel="0" collapsed="false">
      <c r="A11" s="8" t="s">
        <v>310</v>
      </c>
      <c r="B11" s="8" t="s">
        <v>259</v>
      </c>
      <c r="C11" s="39" t="n">
        <f aca="false">Budget!$P$103</f>
        <v>196.447008526033</v>
      </c>
      <c r="D11" s="39" t="n">
        <f aca="false">Actuals!$H$106</f>
        <v>201.855495368586</v>
      </c>
      <c r="E11" s="30" t="n">
        <f aca="false">C11-D11</f>
        <v>-5.40848684255334</v>
      </c>
      <c r="F11" s="66" t="n">
        <f aca="false">IFERROR(E11/ABS(C11),0)</f>
        <v>-0.0275315306816526</v>
      </c>
      <c r="G11" s="0" t="str">
        <f aca="false">IF(ABS(E11)&lt;0.0005,"On budget",IF(E11&gt;0,"Favorable","Unfavorable"))</f>
        <v>Unfavorable</v>
      </c>
      <c r="H11" s="0" t="s">
        <v>797</v>
      </c>
    </row>
    <row r="12" customFormat="false" ht="15" hidden="false" customHeight="false" outlineLevel="0" collapsed="false">
      <c r="A12" s="7" t="s">
        <v>312</v>
      </c>
      <c r="B12" s="8" t="s">
        <v>259</v>
      </c>
      <c r="C12" s="39" t="n">
        <f aca="false">Budget!$P$104</f>
        <v>272.258209473728</v>
      </c>
      <c r="D12" s="39" t="n">
        <f aca="false">Actuals!$H$107</f>
        <v>276.60373331857</v>
      </c>
      <c r="E12" s="42" t="n">
        <f aca="false">D12-C12</f>
        <v>4.34552384484255</v>
      </c>
      <c r="F12" s="66" t="n">
        <f aca="false">IFERROR(E12/ABS(C12),0)</f>
        <v>0.0159610387993163</v>
      </c>
      <c r="G12" s="0" t="str">
        <f aca="false">IF(ABS(E12)&lt;0.0005,"On budget",IF(E12&gt;0,"Favorable","Unfavorable"))</f>
        <v>Favorable</v>
      </c>
      <c r="H12" s="0" t="s">
        <v>793</v>
      </c>
    </row>
    <row r="13" customFormat="false" ht="15" hidden="false" customHeight="false" outlineLevel="0" collapsed="false">
      <c r="A13" s="8" t="s">
        <v>314</v>
      </c>
      <c r="B13" s="8" t="s">
        <v>226</v>
      </c>
      <c r="C13" s="25" t="n">
        <f aca="false">Budget!$P$105</f>
        <v>0.580873007208268</v>
      </c>
      <c r="D13" s="25" t="n">
        <f aca="false">Actuals!$H$108</f>
        <v>0.578113487490967</v>
      </c>
      <c r="E13" s="35" t="n">
        <f aca="false">D13-C13</f>
        <v>-0.00275951971730071</v>
      </c>
      <c r="H13" s="0" t="s">
        <v>793</v>
      </c>
    </row>
    <row r="14" customFormat="false" ht="15" hidden="false" customHeight="false" outlineLevel="0" collapsed="false">
      <c r="A14" s="8" t="s">
        <v>681</v>
      </c>
      <c r="B14" s="8" t="s">
        <v>259</v>
      </c>
      <c r="C14" s="39" t="n">
        <f aca="false">Budget!$P$106</f>
        <v>52.5</v>
      </c>
      <c r="D14" s="39" t="n">
        <f aca="false">Actuals!$H$109</f>
        <v>54</v>
      </c>
      <c r="E14" s="30" t="n">
        <f aca="false">C14-D14</f>
        <v>-1.5</v>
      </c>
      <c r="F14" s="66" t="n">
        <f aca="false">IFERROR(E14/ABS(C14),0)</f>
        <v>-0.0285714285714286</v>
      </c>
      <c r="G14" s="0" t="str">
        <f aca="false">IF(ABS(E14)&lt;0.0005,"On budget",IF(E14&gt;0,"Favorable","Unfavorable"))</f>
        <v>Unfavorable</v>
      </c>
      <c r="H14" s="0" t="s">
        <v>797</v>
      </c>
    </row>
    <row r="15" customFormat="false" ht="15" hidden="false" customHeight="false" outlineLevel="0" collapsed="false">
      <c r="A15" s="8" t="s">
        <v>683</v>
      </c>
      <c r="B15" s="8" t="s">
        <v>259</v>
      </c>
      <c r="C15" s="39" t="n">
        <f aca="false">Budget!$P$107</f>
        <v>42.9166666666667</v>
      </c>
      <c r="D15" s="39" t="n">
        <f aca="false">Actuals!$H$110</f>
        <v>42</v>
      </c>
      <c r="E15" s="30" t="n">
        <f aca="false">C15-D15</f>
        <v>0.916666666666671</v>
      </c>
      <c r="F15" s="66" t="n">
        <f aca="false">IFERROR(E15/ABS(C15),0)</f>
        <v>0.021359223300971</v>
      </c>
      <c r="G15" s="0" t="str">
        <f aca="false">IF(ABS(E15)&lt;0.0005,"On budget",IF(E15&gt;0,"Favorable","Unfavorable"))</f>
        <v>Favorable</v>
      </c>
      <c r="H15" s="0" t="s">
        <v>797</v>
      </c>
    </row>
    <row r="16" customFormat="false" ht="15" hidden="false" customHeight="false" outlineLevel="0" collapsed="false">
      <c r="A16" s="8" t="s">
        <v>685</v>
      </c>
      <c r="B16" s="8" t="s">
        <v>259</v>
      </c>
      <c r="C16" s="39" t="n">
        <f aca="false">Budget!$P$108</f>
        <v>95.4166666666667</v>
      </c>
      <c r="D16" s="39" t="n">
        <f aca="false">Actuals!$H$111</f>
        <v>96</v>
      </c>
      <c r="E16" s="30" t="n">
        <f aca="false">C16-D16</f>
        <v>-0.583333333333329</v>
      </c>
      <c r="F16" s="66" t="n">
        <f aca="false">IFERROR(E16/ABS(C16),0)</f>
        <v>-0.00611353711790388</v>
      </c>
      <c r="G16" s="0" t="str">
        <f aca="false">IF(ABS(E16)&lt;0.0005,"On budget",IF(E16&gt;0,"Favorable","Unfavorable"))</f>
        <v>Unfavorable</v>
      </c>
      <c r="H16" s="0" t="s">
        <v>797</v>
      </c>
    </row>
    <row r="17" customFormat="false" ht="15" hidden="false" customHeight="false" outlineLevel="0" collapsed="false">
      <c r="A17" s="7" t="s">
        <v>364</v>
      </c>
      <c r="B17" s="8" t="s">
        <v>259</v>
      </c>
      <c r="C17" s="39" t="n">
        <f aca="false">Budget!$P$109</f>
        <v>176.841542807061</v>
      </c>
      <c r="D17" s="39" t="n">
        <f aca="false">Actuals!$H$112</f>
        <v>180.60373331857</v>
      </c>
      <c r="E17" s="42" t="n">
        <f aca="false">D17-C17</f>
        <v>3.76219051150923</v>
      </c>
      <c r="F17" s="66" t="n">
        <f aca="false">IFERROR(E17/ABS(C17),0)</f>
        <v>0.0212743592472154</v>
      </c>
      <c r="G17" s="0" t="str">
        <f aca="false">IF(ABS(E17)&lt;0.0005,"On budget",IF(E17&gt;0,"Favorable","Unfavorable"))</f>
        <v>Favorable</v>
      </c>
      <c r="H17" s="0" t="s">
        <v>793</v>
      </c>
    </row>
    <row r="18" customFormat="false" ht="15" hidden="false" customHeight="false" outlineLevel="0" collapsed="false">
      <c r="A18" s="8" t="s">
        <v>365</v>
      </c>
      <c r="B18" s="8" t="s">
        <v>226</v>
      </c>
      <c r="C18" s="25" t="n">
        <f aca="false">Budget!$P$110</f>
        <v>0.377298003128165</v>
      </c>
      <c r="D18" s="25" t="n">
        <f aca="false">Actuals!$H$113</f>
        <v>0.377469432064522</v>
      </c>
      <c r="E18" s="35" t="n">
        <f aca="false">D18-C18</f>
        <v>0.00017142893635691</v>
      </c>
      <c r="H18" s="0" t="s">
        <v>793</v>
      </c>
    </row>
    <row r="20" customFormat="false" ht="15" hidden="false" customHeight="false" outlineLevel="0" collapsed="false">
      <c r="A20" s="16" t="s">
        <v>798</v>
      </c>
      <c r="B20" s="17"/>
      <c r="C20" s="17"/>
      <c r="D20" s="17"/>
      <c r="E20" s="17"/>
      <c r="F20" s="17"/>
      <c r="G20" s="17"/>
      <c r="H20" s="17"/>
    </row>
    <row r="21" customFormat="false" ht="15" hidden="false" customHeight="false" outlineLevel="0" collapsed="false">
      <c r="A21" s="18" t="s">
        <v>799</v>
      </c>
      <c r="B21" s="19" t="s">
        <v>220</v>
      </c>
      <c r="C21" s="19" t="s">
        <v>28</v>
      </c>
      <c r="D21" s="19" t="s">
        <v>788</v>
      </c>
      <c r="E21" s="19" t="s">
        <v>800</v>
      </c>
      <c r="F21" s="19"/>
      <c r="G21" s="19"/>
      <c r="H21" s="19" t="s">
        <v>791</v>
      </c>
    </row>
    <row r="22" customFormat="false" ht="15" hidden="false" customHeight="false" outlineLevel="0" collapsed="false">
      <c r="A22" s="8" t="s">
        <v>801</v>
      </c>
      <c r="B22" s="8" t="s">
        <v>300</v>
      </c>
      <c r="C22" s="67" t="n">
        <f aca="false">Budget!$P$27</f>
        <v>334.521859845537</v>
      </c>
      <c r="D22" s="67" t="n">
        <f aca="false">Actuals!$H$30</f>
        <v>351.298028920703</v>
      </c>
      <c r="E22" s="68" t="n">
        <f aca="false">D22-C22</f>
        <v>16.7761690751662</v>
      </c>
      <c r="H22" s="0" t="s">
        <v>793</v>
      </c>
    </row>
    <row r="23" customFormat="false" ht="15" hidden="false" customHeight="false" outlineLevel="0" collapsed="false">
      <c r="A23" s="8" t="s">
        <v>802</v>
      </c>
      <c r="B23" s="8" t="s">
        <v>300</v>
      </c>
      <c r="C23" s="67" t="n">
        <f aca="false">Budget!$P$53</f>
        <v>211.276964112971</v>
      </c>
      <c r="D23" s="67" t="n">
        <f aca="false">Actuals!$H$56</f>
        <v>213.420155915735</v>
      </c>
      <c r="E23" s="68" t="n">
        <f aca="false">D23-C23</f>
        <v>2.14319180276473</v>
      </c>
      <c r="H23" s="0" t="s">
        <v>793</v>
      </c>
    </row>
    <row r="24" customFormat="false" ht="15" hidden="false" customHeight="false" outlineLevel="0" collapsed="false">
      <c r="A24" s="8" t="s">
        <v>803</v>
      </c>
      <c r="B24" s="8" t="s">
        <v>300</v>
      </c>
      <c r="C24" s="67" t="n">
        <f aca="false">Budget!$P$79</f>
        <v>21.1804065666259</v>
      </c>
      <c r="D24" s="67" t="n">
        <f aca="false">Actuals!$H$82</f>
        <v>20.1242548676972</v>
      </c>
      <c r="E24" s="68" t="n">
        <f aca="false">D24-C24</f>
        <v>-1.05615169892869</v>
      </c>
      <c r="H24" s="0" t="s">
        <v>793</v>
      </c>
    </row>
    <row r="25" customFormat="false" ht="15" hidden="false" customHeight="false" outlineLevel="0" collapsed="false">
      <c r="A25" s="8" t="s">
        <v>804</v>
      </c>
      <c r="B25" s="8" t="s">
        <v>281</v>
      </c>
      <c r="C25" s="69" t="n">
        <f aca="false">Budget!$P$30</f>
        <v>0.594</v>
      </c>
      <c r="D25" s="69" t="n">
        <f aca="false">Actuals!$H$33</f>
        <v>0.591</v>
      </c>
      <c r="E25" s="70" t="n">
        <f aca="false">D25-C25</f>
        <v>-0.00300000000000011</v>
      </c>
      <c r="H25" s="0" t="s">
        <v>793</v>
      </c>
    </row>
    <row r="26" customFormat="false" ht="15" hidden="false" customHeight="false" outlineLevel="0" collapsed="false">
      <c r="A26" s="8" t="s">
        <v>805</v>
      </c>
      <c r="B26" s="8" t="s">
        <v>281</v>
      </c>
      <c r="C26" s="69" t="n">
        <f aca="false">Budget!$P$56</f>
        <v>0.9405</v>
      </c>
      <c r="D26" s="69" t="n">
        <f aca="false">Actuals!$H$59</f>
        <v>0.94525</v>
      </c>
      <c r="E26" s="70" t="n">
        <f aca="false">D26-C26</f>
        <v>0.0047499999999997</v>
      </c>
      <c r="H26" s="0" t="s">
        <v>793</v>
      </c>
    </row>
    <row r="27" customFormat="false" ht="15" hidden="false" customHeight="false" outlineLevel="0" collapsed="false">
      <c r="A27" s="8" t="s">
        <v>806</v>
      </c>
      <c r="B27" s="8" t="s">
        <v>281</v>
      </c>
      <c r="C27" s="69" t="n">
        <f aca="false">Budget!$P$82</f>
        <v>3.366</v>
      </c>
      <c r="D27" s="69" t="n">
        <f aca="false">Actuals!$H$85</f>
        <v>3.434</v>
      </c>
      <c r="E27" s="70" t="n">
        <f aca="false">D27-C27</f>
        <v>0.0679999999999987</v>
      </c>
      <c r="H27" s="0" t="s">
        <v>793</v>
      </c>
    </row>
    <row r="28" customFormat="false" ht="15" hidden="false" customHeight="false" outlineLevel="0" collapsed="false">
      <c r="A28" s="8" t="s">
        <v>807</v>
      </c>
      <c r="B28" s="8" t="s">
        <v>226</v>
      </c>
      <c r="C28" s="25" t="n">
        <f aca="false">Budget!$P$23</f>
        <v>0.95</v>
      </c>
      <c r="D28" s="25" t="n">
        <f aca="false">Actuals!$H$26</f>
        <v>0.945</v>
      </c>
      <c r="E28" s="66" t="n">
        <f aca="false">D28-C28</f>
        <v>-0.005</v>
      </c>
      <c r="H28" s="0" t="s">
        <v>793</v>
      </c>
    </row>
    <row r="29" customFormat="false" ht="15" hidden="false" customHeight="false" outlineLevel="0" collapsed="false">
      <c r="A29" s="8" t="s">
        <v>808</v>
      </c>
      <c r="B29" s="8" t="s">
        <v>226</v>
      </c>
      <c r="C29" s="25" t="n">
        <f aca="false">Budget!$P$49</f>
        <v>0.93</v>
      </c>
      <c r="D29" s="25" t="n">
        <f aca="false">Actuals!$H$52</f>
        <v>0.93</v>
      </c>
      <c r="E29" s="66" t="n">
        <f aca="false">D29-C29</f>
        <v>0</v>
      </c>
      <c r="H29" s="0" t="s">
        <v>793</v>
      </c>
    </row>
    <row r="30" customFormat="false" ht="15" hidden="false" customHeight="false" outlineLevel="0" collapsed="false">
      <c r="A30" s="8" t="s">
        <v>809</v>
      </c>
      <c r="B30" s="8" t="s">
        <v>226</v>
      </c>
      <c r="C30" s="25" t="n">
        <f aca="false">Budget!$P$75</f>
        <v>0.88</v>
      </c>
      <c r="D30" s="25" t="n">
        <f aca="false">Actuals!$H$78</f>
        <v>0.86</v>
      </c>
      <c r="E30" s="66" t="n">
        <f aca="false">D30-C30</f>
        <v>-0.0200000000000001</v>
      </c>
      <c r="H30" s="0" t="s">
        <v>793</v>
      </c>
    </row>
    <row r="31" customFormat="false" ht="15" hidden="false" customHeight="false" outlineLevel="0" collapsed="false">
      <c r="A31" s="8" t="s">
        <v>810</v>
      </c>
      <c r="B31" s="8" t="s">
        <v>226</v>
      </c>
      <c r="C31" s="25" t="n">
        <f aca="false">Budget!$P$21</f>
        <v>0.78</v>
      </c>
      <c r="D31" s="25" t="n">
        <f aca="false">Actuals!$H$24</f>
        <v>0.84</v>
      </c>
      <c r="E31" s="66" t="n">
        <f aca="false">D31-C31</f>
        <v>0.0600000000000001</v>
      </c>
      <c r="H31" s="0" t="s">
        <v>793</v>
      </c>
    </row>
    <row r="32" customFormat="false" ht="15" hidden="false" customHeight="false" outlineLevel="0" collapsed="false">
      <c r="A32" s="8" t="s">
        <v>811</v>
      </c>
      <c r="B32" s="8" t="s">
        <v>226</v>
      </c>
      <c r="C32" s="25" t="n">
        <f aca="false">Budget!$P$47</f>
        <v>0.78</v>
      </c>
      <c r="D32" s="25" t="n">
        <f aca="false">Actuals!$H$50</f>
        <v>0.76</v>
      </c>
      <c r="E32" s="66" t="n">
        <f aca="false">D32-C32</f>
        <v>-0.0200000000000001</v>
      </c>
      <c r="H32" s="0" t="s">
        <v>793</v>
      </c>
    </row>
    <row r="33" customFormat="false" ht="15" hidden="false" customHeight="false" outlineLevel="0" collapsed="false">
      <c r="A33" s="8" t="s">
        <v>812</v>
      </c>
      <c r="B33" s="8" t="s">
        <v>226</v>
      </c>
      <c r="C33" s="25" t="n">
        <f aca="false">Budget!$P$73</f>
        <v>0.78</v>
      </c>
      <c r="D33" s="25" t="n">
        <f aca="false">Actuals!$H$76</f>
        <v>0.72</v>
      </c>
      <c r="E33" s="66" t="n">
        <f aca="false">D33-C33</f>
        <v>-0.0600000000000001</v>
      </c>
      <c r="H33" s="0" t="s">
        <v>793</v>
      </c>
    </row>
    <row r="34" customFormat="false" ht="15" hidden="false" customHeight="false" outlineLevel="0" collapsed="false">
      <c r="A34" s="8" t="s">
        <v>813</v>
      </c>
      <c r="B34" s="8" t="s">
        <v>281</v>
      </c>
      <c r="C34" s="69" t="n">
        <f aca="false">Budget!$P$36</f>
        <v>0.240735615261931</v>
      </c>
      <c r="D34" s="69" t="n">
        <f aca="false">Actuals!$H$39</f>
        <v>0.239276208800018</v>
      </c>
      <c r="E34" s="70" t="n">
        <f aca="false">D34-C34</f>
        <v>-0.00145940646191275</v>
      </c>
      <c r="H34" s="0" t="s">
        <v>793</v>
      </c>
    </row>
    <row r="35" customFormat="false" ht="15" hidden="false" customHeight="false" outlineLevel="0" collapsed="false">
      <c r="A35" s="8" t="s">
        <v>814</v>
      </c>
      <c r="B35" s="8" t="s">
        <v>281</v>
      </c>
      <c r="C35" s="69" t="n">
        <f aca="false">Budget!$P$62</f>
        <v>0.375030787611433</v>
      </c>
      <c r="D35" s="69" t="n">
        <f aca="false">Actuals!$H$65</f>
        <v>0.379908507828712</v>
      </c>
      <c r="E35" s="70" t="n">
        <f aca="false">D35-C35</f>
        <v>0.00487772021727878</v>
      </c>
      <c r="H35" s="0" t="s">
        <v>793</v>
      </c>
    </row>
    <row r="36" customFormat="false" ht="15" hidden="false" customHeight="false" outlineLevel="0" collapsed="false">
      <c r="A36" s="8" t="s">
        <v>815</v>
      </c>
      <c r="B36" s="8" t="s">
        <v>281</v>
      </c>
      <c r="C36" s="69" t="n">
        <f aca="false">Budget!$P$88</f>
        <v>1.63224483849484</v>
      </c>
      <c r="D36" s="69" t="n">
        <f aca="false">Actuals!$H$91</f>
        <v>1.74868955334072</v>
      </c>
      <c r="E36" s="70" t="n">
        <f aca="false">D36-C36</f>
        <v>0.116444714845878</v>
      </c>
      <c r="H36" s="0" t="s">
        <v>793</v>
      </c>
    </row>
    <row r="37" customFormat="false" ht="15" hidden="false" customHeight="false" outlineLevel="0" collapsed="false">
      <c r="A37" s="8" t="s">
        <v>816</v>
      </c>
      <c r="B37" s="8" t="s">
        <v>300</v>
      </c>
      <c r="C37" s="67" t="n">
        <f aca="false">Budget!$P$29</f>
        <v>0</v>
      </c>
      <c r="D37" s="67" t="n">
        <f aca="false">Actuals!$H$32</f>
        <v>0</v>
      </c>
      <c r="E37" s="68" t="n">
        <f aca="false">D37-C37</f>
        <v>0</v>
      </c>
      <c r="H37" s="0" t="s">
        <v>793</v>
      </c>
    </row>
    <row r="38" customFormat="false" ht="15" hidden="false" customHeight="false" outlineLevel="0" collapsed="false">
      <c r="A38" s="8" t="s">
        <v>817</v>
      </c>
      <c r="B38" s="8" t="s">
        <v>300</v>
      </c>
      <c r="C38" s="67" t="n">
        <f aca="false">Budget!$P$55</f>
        <v>0</v>
      </c>
      <c r="D38" s="67" t="n">
        <f aca="false">Actuals!$H$58</f>
        <v>0</v>
      </c>
      <c r="E38" s="68" t="n">
        <f aca="false">D38-C38</f>
        <v>0</v>
      </c>
      <c r="H38" s="0" t="s">
        <v>793</v>
      </c>
    </row>
    <row r="39" customFormat="false" ht="15" hidden="false" customHeight="false" outlineLevel="0" collapsed="false">
      <c r="A39" s="8" t="s">
        <v>818</v>
      </c>
      <c r="B39" s="8" t="s">
        <v>300</v>
      </c>
      <c r="C39" s="67" t="n">
        <f aca="false">Budget!$P$81</f>
        <v>0</v>
      </c>
      <c r="D39" s="67" t="n">
        <f aca="false">Actuals!$H$84</f>
        <v>0</v>
      </c>
      <c r="E39" s="68" t="n">
        <f aca="false">D39-C39</f>
        <v>0</v>
      </c>
      <c r="H39" s="0" t="s">
        <v>793</v>
      </c>
    </row>
    <row r="41" customFormat="false" ht="15" hidden="false" customHeight="false" outlineLevel="0" collapsed="false">
      <c r="A41" s="16" t="s">
        <v>819</v>
      </c>
      <c r="B41" s="17"/>
      <c r="C41" s="17"/>
      <c r="D41" s="17"/>
      <c r="E41" s="17"/>
      <c r="F41" s="17"/>
      <c r="G41" s="17"/>
      <c r="H41" s="17"/>
    </row>
    <row r="42" customFormat="false" ht="15" hidden="false" customHeight="false" outlineLevel="0" collapsed="false">
      <c r="A42" s="18" t="s">
        <v>45</v>
      </c>
      <c r="B42" s="19" t="s">
        <v>220</v>
      </c>
      <c r="C42" s="19" t="s">
        <v>756</v>
      </c>
      <c r="D42" s="19" t="s">
        <v>269</v>
      </c>
      <c r="E42" s="19" t="s">
        <v>757</v>
      </c>
      <c r="F42" s="19" t="s">
        <v>125</v>
      </c>
      <c r="G42" s="19"/>
      <c r="H42" s="19" t="s">
        <v>791</v>
      </c>
    </row>
    <row r="43" customFormat="false" ht="15" hidden="false" customHeight="false" outlineLevel="0" collapsed="false">
      <c r="A43" s="8" t="s">
        <v>820</v>
      </c>
      <c r="B43" s="8" t="s">
        <v>300</v>
      </c>
      <c r="C43" s="71" t="n">
        <f aca="false">Budget!$P$27</f>
        <v>334.521859845537</v>
      </c>
      <c r="D43" s="71" t="n">
        <f aca="false">Budget!$P$53</f>
        <v>211.276964112971</v>
      </c>
      <c r="E43" s="71" t="n">
        <f aca="false">Budget!$P$79</f>
        <v>21.1804065666259</v>
      </c>
      <c r="F43" s="72" t="n">
        <f aca="false">SUM(C43:E43)</f>
        <v>566.979230525133</v>
      </c>
    </row>
    <row r="44" customFormat="false" ht="15" hidden="false" customHeight="false" outlineLevel="0" collapsed="false">
      <c r="A44" s="8" t="s">
        <v>821</v>
      </c>
      <c r="B44" s="8" t="s">
        <v>300</v>
      </c>
      <c r="C44" s="71" t="n">
        <f aca="false">Actuals!$H$30</f>
        <v>351.298028920703</v>
      </c>
      <c r="D44" s="71" t="n">
        <f aca="false">Actuals!$H$56</f>
        <v>213.420155915735</v>
      </c>
      <c r="E44" s="71" t="n">
        <f aca="false">Actuals!$H$82</f>
        <v>20.1242548676972</v>
      </c>
      <c r="F44" s="72" t="n">
        <f aca="false">SUM(C44:E44)</f>
        <v>584.842439704136</v>
      </c>
    </row>
    <row r="45" customFormat="false" ht="15" hidden="false" customHeight="false" outlineLevel="0" collapsed="false">
      <c r="A45" s="8" t="s">
        <v>822</v>
      </c>
      <c r="B45" s="8" t="s">
        <v>226</v>
      </c>
      <c r="C45" s="35" t="n">
        <f aca="false">C43/$F$43</f>
        <v>0.590007255707946</v>
      </c>
      <c r="D45" s="35" t="n">
        <f aca="false">D43/$F$43</f>
        <v>0.372636161499755</v>
      </c>
      <c r="E45" s="35" t="n">
        <f aca="false">E43/$F$43</f>
        <v>0.0373565827922987</v>
      </c>
      <c r="F45" s="35" t="n">
        <f aca="false">SUM(C45:E45)</f>
        <v>1</v>
      </c>
    </row>
    <row r="46" customFormat="false" ht="15" hidden="false" customHeight="false" outlineLevel="0" collapsed="false">
      <c r="A46" s="8" t="s">
        <v>823</v>
      </c>
      <c r="B46" s="8" t="s">
        <v>226</v>
      </c>
      <c r="C46" s="35" t="n">
        <f aca="false">C44/$F$44</f>
        <v>0.600671232235506</v>
      </c>
      <c r="D46" s="35" t="n">
        <f aca="false">D44/$F$44</f>
        <v>0.364919064395706</v>
      </c>
      <c r="E46" s="35" t="n">
        <f aca="false">E44/$F$44</f>
        <v>0.0344097033687874</v>
      </c>
      <c r="F46" s="35" t="n">
        <f aca="false">SUM(C46:E46)</f>
        <v>1</v>
      </c>
    </row>
    <row r="47" customFormat="false" ht="15" hidden="false" customHeight="false" outlineLevel="0" collapsed="false">
      <c r="A47" s="8" t="s">
        <v>824</v>
      </c>
      <c r="B47" s="8" t="s">
        <v>281</v>
      </c>
      <c r="C47" s="73" t="n">
        <f aca="false">Budget!$P$30</f>
        <v>0.594</v>
      </c>
      <c r="D47" s="73" t="n">
        <f aca="false">Budget!$P$56</f>
        <v>0.9405</v>
      </c>
      <c r="E47" s="73" t="n">
        <f aca="false">Budget!$P$82</f>
        <v>3.366</v>
      </c>
      <c r="F47" s="74" t="n">
        <f aca="false">Budget!$P$97/F43</f>
        <v>0.826670877459917</v>
      </c>
      <c r="H47" s="0" t="s">
        <v>825</v>
      </c>
    </row>
    <row r="48" customFormat="false" ht="15" hidden="false" customHeight="false" outlineLevel="0" collapsed="false">
      <c r="A48" s="8" t="s">
        <v>826</v>
      </c>
      <c r="B48" s="8" t="s">
        <v>281</v>
      </c>
      <c r="C48" s="73" t="n">
        <f aca="false">Actuals!$H$33</f>
        <v>0.591</v>
      </c>
      <c r="D48" s="73" t="n">
        <f aca="false">Actuals!$H$59</f>
        <v>0.94525</v>
      </c>
      <c r="E48" s="73" t="n">
        <f aca="false">Actuals!$H$85</f>
        <v>3.434</v>
      </c>
    </row>
    <row r="49" customFormat="false" ht="15" hidden="false" customHeight="false" outlineLevel="0" collapsed="false">
      <c r="A49" s="8" t="s">
        <v>827</v>
      </c>
      <c r="B49" s="8" t="s">
        <v>281</v>
      </c>
      <c r="C49" s="73" t="n">
        <f aca="false">Budget!$P$39/C43</f>
        <v>0.241800771914681</v>
      </c>
      <c r="D49" s="73" t="n">
        <f aca="false">Budget!$P$65/D43</f>
        <v>0.378297242234361</v>
      </c>
      <c r="E49" s="73" t="n">
        <f aca="false">Budget!$P$91/E43</f>
        <v>1.64607929797562</v>
      </c>
      <c r="H49" s="0" t="s">
        <v>828</v>
      </c>
    </row>
    <row r="50" customFormat="false" ht="15" hidden="false" customHeight="false" outlineLevel="0" collapsed="false">
      <c r="A50" s="8" t="s">
        <v>829</v>
      </c>
      <c r="B50" s="8" t="s">
        <v>281</v>
      </c>
      <c r="C50" s="73" t="n">
        <f aca="false">Actuals!$H$42/C44</f>
        <v>0.240526487720067</v>
      </c>
      <c r="D50" s="73" t="n">
        <f aca="false">Actuals!$H$68/D44</f>
        <v>0.382349122550606</v>
      </c>
      <c r="E50" s="73" t="n">
        <f aca="false">Actuals!$H$94/E44</f>
        <v>1.74170836449366</v>
      </c>
    </row>
    <row r="51" customFormat="false" ht="15" hidden="false" customHeight="false" outlineLevel="0" collapsed="false">
      <c r="A51" s="8" t="s">
        <v>830</v>
      </c>
      <c r="B51" s="8" t="s">
        <v>281</v>
      </c>
      <c r="C51" s="74" t="n">
        <f aca="false">C47-C49</f>
        <v>0.352199228085319</v>
      </c>
      <c r="D51" s="74" t="n">
        <f aca="false">D47-D49</f>
        <v>0.56220275776564</v>
      </c>
      <c r="E51" s="74" t="n">
        <f aca="false">E47-E49</f>
        <v>1.71992070202438</v>
      </c>
    </row>
    <row r="52" customFormat="false" ht="15" hidden="false" customHeight="false" outlineLevel="0" collapsed="false">
      <c r="A52" s="8" t="s">
        <v>831</v>
      </c>
      <c r="B52" s="8" t="s">
        <v>300</v>
      </c>
      <c r="C52" s="71" t="n">
        <f aca="false">Budget!$P$22</f>
        <v>343.2</v>
      </c>
      <c r="D52" s="71" t="n">
        <f aca="false">Budget!$P$48</f>
        <v>234</v>
      </c>
      <c r="E52" s="71" t="n">
        <f aca="false">Budget!$P$74</f>
        <v>27.3</v>
      </c>
    </row>
    <row r="53" customFormat="false" ht="15" hidden="false" customHeight="false" outlineLevel="0" collapsed="false">
      <c r="A53" s="8" t="s">
        <v>832</v>
      </c>
      <c r="B53" s="8" t="s">
        <v>300</v>
      </c>
      <c r="C53" s="71" t="n">
        <f aca="false">Actuals!$H$25</f>
        <v>369.6</v>
      </c>
      <c r="D53" s="71" t="n">
        <f aca="false">Actuals!$H$51</f>
        <v>228</v>
      </c>
      <c r="E53" s="71" t="n">
        <f aca="false">Actuals!$H$77</f>
        <v>25.2</v>
      </c>
    </row>
    <row r="54" customFormat="false" ht="15" hidden="false" customHeight="false" outlineLevel="0" collapsed="false">
      <c r="A54" s="8" t="s">
        <v>833</v>
      </c>
      <c r="B54" s="8" t="s">
        <v>300</v>
      </c>
      <c r="C54" s="71" t="n">
        <f aca="false">Actuals!$H$27</f>
        <v>349.272</v>
      </c>
      <c r="D54" s="71" t="n">
        <f aca="false">Actuals!$H$53</f>
        <v>212.04</v>
      </c>
      <c r="E54" s="71" t="n">
        <f aca="false">Actuals!$H$79</f>
        <v>21.672</v>
      </c>
    </row>
    <row r="55" customFormat="false" ht="15" hidden="false" customHeight="false" outlineLevel="0" collapsed="false">
      <c r="A55" s="8" t="s">
        <v>834</v>
      </c>
      <c r="B55" s="8" t="s">
        <v>226</v>
      </c>
      <c r="C55" s="25" t="n">
        <f aca="false">Budget!$P$23</f>
        <v>0.95</v>
      </c>
      <c r="D55" s="25" t="n">
        <f aca="false">Budget!$P$49</f>
        <v>0.93</v>
      </c>
      <c r="E55" s="25" t="n">
        <f aca="false">Budget!$P$75</f>
        <v>0.88</v>
      </c>
    </row>
    <row r="56" customFormat="false" ht="15" hidden="false" customHeight="false" outlineLevel="0" collapsed="false">
      <c r="A56" s="8" t="s">
        <v>835</v>
      </c>
      <c r="B56" s="8" t="s">
        <v>281</v>
      </c>
      <c r="C56" s="73" t="n">
        <f aca="false">Budget!$P$32</f>
        <v>0.1442</v>
      </c>
      <c r="D56" s="73" t="n">
        <f aca="false">Budget!$P$58</f>
        <v>0.2163</v>
      </c>
      <c r="E56" s="73" t="n">
        <f aca="false">Budget!$P$84</f>
        <v>0.9785</v>
      </c>
    </row>
    <row r="57" customFormat="false" ht="15" hidden="false" customHeight="false" outlineLevel="0" collapsed="false">
      <c r="A57" s="8" t="s">
        <v>836</v>
      </c>
      <c r="B57" s="8" t="s">
        <v>281</v>
      </c>
      <c r="C57" s="73" t="n">
        <f aca="false">Actuals!$H$35</f>
        <v>0.1463</v>
      </c>
      <c r="D57" s="73" t="n">
        <f aca="false">Actuals!$H$61</f>
        <v>0.21735</v>
      </c>
      <c r="E57" s="73" t="n">
        <f aca="false">Actuals!$H$87</f>
        <v>0.988</v>
      </c>
    </row>
    <row r="58" customFormat="false" ht="15" hidden="false" customHeight="false" outlineLevel="0" collapsed="false">
      <c r="A58" s="8" t="s">
        <v>837</v>
      </c>
      <c r="B58" s="8" t="s">
        <v>259</v>
      </c>
      <c r="C58" s="39" t="n">
        <f aca="false">Budget!$P$34</f>
        <v>29</v>
      </c>
      <c r="D58" s="39" t="n">
        <f aca="false">Budget!$P$60</f>
        <v>31</v>
      </c>
      <c r="E58" s="39" t="n">
        <f aca="false">Budget!$P$86</f>
        <v>12.5</v>
      </c>
      <c r="F58" s="30" t="n">
        <f aca="false">SUM(C58:E58)</f>
        <v>72.5</v>
      </c>
    </row>
    <row r="59" customFormat="false" ht="15" hidden="false" customHeight="false" outlineLevel="0" collapsed="false">
      <c r="A59" s="8" t="s">
        <v>838</v>
      </c>
      <c r="B59" s="8" t="s">
        <v>259</v>
      </c>
      <c r="C59" s="39" t="n">
        <f aca="false">Actuals!$H$37</f>
        <v>29.5</v>
      </c>
      <c r="D59" s="39" t="n">
        <f aca="false">Actuals!$H$63</f>
        <v>31</v>
      </c>
      <c r="E59" s="39" t="n">
        <f aca="false">Actuals!$H$89</f>
        <v>13</v>
      </c>
      <c r="F59" s="30" t="n">
        <f aca="false">SUM(C59:E59)</f>
        <v>73.5</v>
      </c>
    </row>
    <row r="60" customFormat="false" ht="15" hidden="false" customHeight="false" outlineLevel="0" collapsed="false">
      <c r="A60" s="8" t="s">
        <v>839</v>
      </c>
      <c r="B60" s="8" t="s">
        <v>259</v>
      </c>
      <c r="C60" s="39" t="n">
        <f aca="false">Budget!$P$40</f>
        <v>11.9832639057225</v>
      </c>
      <c r="D60" s="39" t="n">
        <f aca="false">Budget!$P$66</f>
        <v>16.1933534239392</v>
      </c>
      <c r="E60" s="39" t="n">
        <f aca="false">Budget!$P$92</f>
        <v>11.1207752768921</v>
      </c>
      <c r="F60" s="30" t="n">
        <f aca="false">SUM(C60:E60)</f>
        <v>39.2973926065539</v>
      </c>
    </row>
    <row r="61" customFormat="false" ht="15" hidden="false" customHeight="false" outlineLevel="0" collapsed="false">
      <c r="A61" s="8" t="s">
        <v>840</v>
      </c>
      <c r="B61" s="8" t="s">
        <v>259</v>
      </c>
      <c r="C61" s="39" t="n">
        <f aca="false">Actuals!$H$43</f>
        <v>13.457466799429</v>
      </c>
      <c r="D61" s="39" t="n">
        <f aca="false">Actuals!$H$69</f>
        <v>13.459436946529</v>
      </c>
      <c r="E61" s="39" t="n">
        <f aca="false">Actuals!$H$95</f>
        <v>9.61937101665142</v>
      </c>
      <c r="F61" s="30" t="n">
        <f aca="false">SUM(C61:E61)</f>
        <v>36.5362747626094</v>
      </c>
    </row>
    <row r="63" customFormat="false" ht="15" hidden="false" customHeight="false" outlineLevel="0" collapsed="false">
      <c r="A63" s="16" t="s">
        <v>841</v>
      </c>
      <c r="B63" s="17"/>
      <c r="C63" s="17"/>
      <c r="D63" s="17"/>
      <c r="E63" s="17"/>
      <c r="F63" s="17"/>
      <c r="G63" s="17"/>
      <c r="H63" s="17"/>
    </row>
    <row r="64" customFormat="false" ht="15" hidden="false" customHeight="false" outlineLevel="0" collapsed="false">
      <c r="A64" s="18" t="s">
        <v>842</v>
      </c>
      <c r="B64" s="19" t="s">
        <v>220</v>
      </c>
      <c r="C64" s="19" t="s">
        <v>756</v>
      </c>
      <c r="D64" s="19" t="s">
        <v>269</v>
      </c>
      <c r="E64" s="19" t="s">
        <v>757</v>
      </c>
      <c r="F64" s="19" t="s">
        <v>125</v>
      </c>
      <c r="G64" s="19"/>
      <c r="H64" s="19" t="s">
        <v>599</v>
      </c>
    </row>
    <row r="65" customFormat="false" ht="15" hidden="false" customHeight="false" outlineLevel="0" collapsed="false">
      <c r="A65" s="8" t="s">
        <v>843</v>
      </c>
      <c r="B65" s="8" t="s">
        <v>259</v>
      </c>
      <c r="C65" s="30" t="n">
        <f aca="false">C44*(C48-C47)</f>
        <v>-1.05389408676215</v>
      </c>
      <c r="D65" s="30" t="n">
        <f aca="false">D44*(D48-D47)</f>
        <v>1.01374574059968</v>
      </c>
      <c r="E65" s="30" t="n">
        <f aca="false">E44*(E48-E47)</f>
        <v>1.36844933100339</v>
      </c>
      <c r="F65" s="30" t="n">
        <f aca="false">SUM(C65:E65)</f>
        <v>1.32830098484092</v>
      </c>
      <c r="H65" s="0" t="s">
        <v>844</v>
      </c>
    </row>
    <row r="66" customFormat="false" ht="15" hidden="false" customHeight="false" outlineLevel="0" collapsed="false">
      <c r="A66" s="8" t="s">
        <v>845</v>
      </c>
      <c r="B66" s="8" t="s">
        <v>259</v>
      </c>
      <c r="C66" s="30" t="n">
        <f aca="false">C45*($F$44-$F$43)*C47</f>
        <v>6.26041727734904</v>
      </c>
      <c r="D66" s="30" t="n">
        <f aca="false">D45*($F$44-$F$43)*D47</f>
        <v>6.26041727734904</v>
      </c>
      <c r="E66" s="30" t="n">
        <f aca="false">E45*($F$44-$F$43)*E47</f>
        <v>2.24616025155779</v>
      </c>
      <c r="F66" s="30" t="n">
        <f aca="false">SUM(C66:E66)</f>
        <v>14.7669948062559</v>
      </c>
      <c r="H66" s="0" t="s">
        <v>846</v>
      </c>
    </row>
    <row r="67" customFormat="false" ht="15" hidden="false" customHeight="false" outlineLevel="0" collapsed="false">
      <c r="A67" s="8" t="s">
        <v>847</v>
      </c>
      <c r="B67" s="8" t="s">
        <v>259</v>
      </c>
      <c r="C67" s="30" t="n">
        <f aca="false">(C46-C45)*$F$44*C47</f>
        <v>3.7046271532997</v>
      </c>
      <c r="D67" s="30" t="n">
        <f aca="false">(D46-D45)*$F$44*D47</f>
        <v>-4.24474538684883</v>
      </c>
      <c r="E67" s="30" t="n">
        <f aca="false">(E46-E45)*$F$44*E47</f>
        <v>-5.80116687015176</v>
      </c>
      <c r="F67" s="30" t="n">
        <f aca="false">SUM(C67:E67)</f>
        <v>-6.34128510370089</v>
      </c>
      <c r="H67" s="0" t="s">
        <v>848</v>
      </c>
    </row>
    <row r="68" customFormat="false" ht="15" hidden="false" customHeight="false" outlineLevel="0" collapsed="false">
      <c r="A68" s="8" t="s">
        <v>849</v>
      </c>
      <c r="B68" s="8" t="s">
        <v>259</v>
      </c>
      <c r="C68" s="30" t="n">
        <f aca="false">C65+C66+C67</f>
        <v>8.91115034388659</v>
      </c>
      <c r="D68" s="30" t="n">
        <f aca="false">D65+D66+D67</f>
        <v>3.02941763109989</v>
      </c>
      <c r="E68" s="30" t="n">
        <f aca="false">E65+E66+E67</f>
        <v>-2.18655728759058</v>
      </c>
      <c r="F68" s="30" t="n">
        <f aca="false">SUM(C68:E68)</f>
        <v>9.75401068739591</v>
      </c>
    </row>
    <row r="69" customFormat="false" ht="15" hidden="false" customHeight="false" outlineLevel="0" collapsed="false">
      <c r="A69" s="8" t="s">
        <v>850</v>
      </c>
      <c r="B69" s="8" t="s">
        <v>259</v>
      </c>
      <c r="C69" s="39" t="n">
        <f aca="false">Actuals!$H$34-Budget!$P$31</f>
        <v>8.91115034388659</v>
      </c>
      <c r="D69" s="39" t="n">
        <f aca="false">Actuals!$H$60-Budget!$P$57</f>
        <v>3.0294176310999</v>
      </c>
      <c r="E69" s="39" t="n">
        <f aca="false">Actuals!$H$86-Budget!$P$83</f>
        <v>-2.18655728759057</v>
      </c>
      <c r="F69" s="30" t="n">
        <f aca="false">Actuals!$H$100-Budget!$P$97</f>
        <v>9.75401068739592</v>
      </c>
    </row>
    <row r="70" customFormat="false" ht="15" hidden="false" customHeight="false" outlineLevel="0" collapsed="false">
      <c r="A70" s="7" t="s">
        <v>851</v>
      </c>
      <c r="F70" s="75" t="n">
        <f aca="false">F69-F68</f>
        <v>0</v>
      </c>
      <c r="G70" s="7" t="str">
        <f aca="false">IF(ABS(F70)&gt;0.001,"UNRECONCILED","Reconciled")</f>
        <v>Reconciled</v>
      </c>
    </row>
    <row r="71" customFormat="false" ht="15" hidden="false" customHeight="false" outlineLevel="0" collapsed="false">
      <c r="A71" s="4" t="s">
        <v>852</v>
      </c>
    </row>
    <row r="73" customFormat="false" ht="15" hidden="false" customHeight="false" outlineLevel="0" collapsed="false">
      <c r="A73" s="16" t="s">
        <v>853</v>
      </c>
      <c r="B73" s="17"/>
      <c r="C73" s="17"/>
      <c r="D73" s="17"/>
      <c r="E73" s="17"/>
      <c r="F73" s="17"/>
      <c r="G73" s="17"/>
      <c r="H73" s="17"/>
    </row>
    <row r="74" customFormat="false" ht="15" hidden="false" customHeight="false" outlineLevel="0" collapsed="false">
      <c r="A74" s="18" t="s">
        <v>854</v>
      </c>
      <c r="B74" s="19" t="s">
        <v>220</v>
      </c>
      <c r="C74" s="19" t="s">
        <v>756</v>
      </c>
      <c r="D74" s="19" t="s">
        <v>269</v>
      </c>
      <c r="E74" s="19" t="s">
        <v>757</v>
      </c>
      <c r="F74" s="19" t="s">
        <v>125</v>
      </c>
      <c r="G74" s="19"/>
      <c r="H74" s="19" t="s">
        <v>855</v>
      </c>
    </row>
    <row r="75" customFormat="false" ht="15" hidden="false" customHeight="false" outlineLevel="0" collapsed="false">
      <c r="A75" s="7" t="s">
        <v>856</v>
      </c>
      <c r="F75" s="39" t="n">
        <f aca="false">Budget!$P$109</f>
        <v>176.841542807061</v>
      </c>
    </row>
    <row r="76" customFormat="false" ht="15" hidden="false" customHeight="false" outlineLevel="0" collapsed="false">
      <c r="A76" s="8" t="s">
        <v>857</v>
      </c>
      <c r="B76" s="8" t="s">
        <v>259</v>
      </c>
      <c r="C76" s="30" t="n">
        <f aca="false">C65</f>
        <v>-1.05389408676215</v>
      </c>
      <c r="D76" s="30" t="n">
        <f aca="false">D65</f>
        <v>1.01374574059968</v>
      </c>
      <c r="E76" s="30" t="n">
        <f aca="false">E65</f>
        <v>1.36844933100339</v>
      </c>
      <c r="F76" s="30" t="n">
        <f aca="false">SUM(C76:E76)</f>
        <v>1.32830098484092</v>
      </c>
      <c r="H76" s="0" t="s">
        <v>858</v>
      </c>
    </row>
    <row r="77" customFormat="false" ht="15" hidden="false" customHeight="false" outlineLevel="0" collapsed="false">
      <c r="A77" s="8" t="s">
        <v>859</v>
      </c>
      <c r="B77" s="8" t="s">
        <v>259</v>
      </c>
      <c r="C77" s="30" t="n">
        <f aca="false">C45*($F$44-$F$43)*C51</f>
        <v>3.71197665416553</v>
      </c>
      <c r="D77" s="30" t="n">
        <f aca="false">D45*($F$44-$F$43)*D51</f>
        <v>3.74229012024379</v>
      </c>
      <c r="E77" s="30" t="n">
        <f aca="false">E45*($F$44-$F$43)*E51</f>
        <v>1.14771762231686</v>
      </c>
      <c r="F77" s="30" t="n">
        <f aca="false">SUM(C77:E77)</f>
        <v>8.60198439672618</v>
      </c>
      <c r="H77" s="0" t="s">
        <v>860</v>
      </c>
    </row>
    <row r="78" customFormat="false" ht="15" hidden="false" customHeight="false" outlineLevel="0" collapsed="false">
      <c r="A78" s="8" t="s">
        <v>861</v>
      </c>
      <c r="B78" s="8" t="s">
        <v>259</v>
      </c>
      <c r="C78" s="30" t="n">
        <f aca="false">(C46-C45)*$F$44*C51</f>
        <v>2.19657714433681</v>
      </c>
      <c r="D78" s="30" t="n">
        <f aca="false">(D46-D45)*$F$44*D51</f>
        <v>-2.53738177830876</v>
      </c>
      <c r="E78" s="30" t="n">
        <f aca="false">(E46-E45)*$F$44*E51</f>
        <v>-2.96421479378252</v>
      </c>
      <c r="F78" s="30" t="n">
        <f aca="false">SUM(C78:E78)</f>
        <v>-3.30501942775447</v>
      </c>
      <c r="H78" s="0" t="s">
        <v>862</v>
      </c>
    </row>
    <row r="79" customFormat="false" ht="15" hidden="false" customHeight="false" outlineLevel="0" collapsed="false">
      <c r="A79" s="8" t="s">
        <v>863</v>
      </c>
      <c r="B79" s="8" t="s">
        <v>259</v>
      </c>
      <c r="C79" s="30" t="n">
        <f aca="false">-C53*(C57-C56)</f>
        <v>-0.776159999999997</v>
      </c>
      <c r="D79" s="30" t="n">
        <f aca="false">-D53*(D57-D56)</f>
        <v>-0.239399999999999</v>
      </c>
      <c r="E79" s="30" t="n">
        <f aca="false">-E53*(E57-E56)</f>
        <v>-0.239400000000004</v>
      </c>
      <c r="F79" s="30" t="n">
        <f aca="false">SUM(C79:E79)</f>
        <v>-1.25496</v>
      </c>
      <c r="H79" s="0" t="s">
        <v>864</v>
      </c>
    </row>
    <row r="80" customFormat="false" ht="15" hidden="false" customHeight="false" outlineLevel="0" collapsed="false">
      <c r="A80" s="8" t="s">
        <v>865</v>
      </c>
      <c r="B80" s="8" t="s">
        <v>259</v>
      </c>
      <c r="C80" s="30" t="n">
        <f aca="false">-C56*(C53-C54/C55)</f>
        <v>-0.280506947368426</v>
      </c>
      <c r="D80" s="30" t="n">
        <f aca="false">-D56*(D53-D54/D55)</f>
        <v>-0</v>
      </c>
      <c r="E80" s="30" t="n">
        <f aca="false">-E56*(E53-E54/E55)</f>
        <v>-0.560413636363638</v>
      </c>
      <c r="F80" s="30" t="n">
        <f aca="false">SUM(C80:E80)</f>
        <v>-0.840920583732064</v>
      </c>
      <c r="H80" s="0" t="s">
        <v>866</v>
      </c>
    </row>
    <row r="81" customFormat="false" ht="15" hidden="false" customHeight="false" outlineLevel="0" collapsed="false">
      <c r="A81" s="8" t="s">
        <v>867</v>
      </c>
      <c r="B81" s="8" t="s">
        <v>259</v>
      </c>
      <c r="C81" s="30" t="n">
        <f aca="false">-(C59-C58)</f>
        <v>-0.5</v>
      </c>
      <c r="D81" s="30" t="n">
        <f aca="false">-(D59-D58)</f>
        <v>-0</v>
      </c>
      <c r="E81" s="30" t="n">
        <f aca="false">-(E59-E58)</f>
        <v>-0.5</v>
      </c>
      <c r="F81" s="30" t="n">
        <f aca="false">SUM(C81:E81)-(Actuals!$H$105-Budget!$P$102)</f>
        <v>-0.938178998608911</v>
      </c>
      <c r="H81" s="0" t="s">
        <v>868</v>
      </c>
    </row>
    <row r="82" customFormat="false" ht="15" hidden="false" customHeight="false" outlineLevel="0" collapsed="false">
      <c r="A82" s="8" t="s">
        <v>869</v>
      </c>
      <c r="B82" s="8" t="s">
        <v>259</v>
      </c>
      <c r="C82" s="30" t="n">
        <f aca="false">-(C56*(C54/C55-C52)-(C61-C60)-(C44-C43)*C49)</f>
        <v>2.0043204732213</v>
      </c>
      <c r="D82" s="30" t="n">
        <f aca="false">-(D56*(D54/D55-D52)-(D61-D60)-(D44-D43)*D49)</f>
        <v>-0.625352928845009</v>
      </c>
      <c r="E82" s="30" t="n">
        <f aca="false">-(E56*(E54/E55-E52)-(E61-E60)-(E44-E43)*E49)</f>
        <v>-0.624650071005359</v>
      </c>
      <c r="F82" s="30" t="n">
        <f aca="false">SUM(C82:E82)</f>
        <v>0.754317473370928</v>
      </c>
      <c r="H82" s="0" t="s">
        <v>870</v>
      </c>
    </row>
    <row r="83" customFormat="false" ht="15" hidden="false" customHeight="false" outlineLevel="0" collapsed="false">
      <c r="A83" s="8" t="s">
        <v>871</v>
      </c>
      <c r="B83" s="8" t="s">
        <v>259</v>
      </c>
      <c r="C83" s="30" t="n">
        <f aca="false">0</f>
        <v>0</v>
      </c>
      <c r="D83" s="30" t="n">
        <f aca="false">0</f>
        <v>0</v>
      </c>
      <c r="E83" s="30" t="n">
        <f aca="false">0</f>
        <v>0</v>
      </c>
      <c r="F83" s="30" t="n">
        <f aca="false">-(Actuals!$H$109-Budget!$P$106)</f>
        <v>-1.5</v>
      </c>
      <c r="H83" s="0" t="s">
        <v>872</v>
      </c>
    </row>
    <row r="84" customFormat="false" ht="15" hidden="false" customHeight="false" outlineLevel="0" collapsed="false">
      <c r="A84" s="8" t="s">
        <v>873</v>
      </c>
      <c r="B84" s="8" t="s">
        <v>259</v>
      </c>
      <c r="C84" s="30" t="n">
        <f aca="false">0</f>
        <v>0</v>
      </c>
      <c r="D84" s="30" t="n">
        <f aca="false">0</f>
        <v>0</v>
      </c>
      <c r="E84" s="30" t="n">
        <f aca="false">0</f>
        <v>0</v>
      </c>
      <c r="F84" s="30" t="n">
        <f aca="false">-(Actuals!$H$110-Budget!$P$107)</f>
        <v>0.916666666666671</v>
      </c>
      <c r="H84" s="0" t="s">
        <v>874</v>
      </c>
    </row>
    <row r="85" customFormat="false" ht="15" hidden="false" customHeight="false" outlineLevel="0" collapsed="false">
      <c r="A85" s="7" t="s">
        <v>875</v>
      </c>
      <c r="F85" s="42" t="n">
        <f aca="false">F75+SUM(F76:F84)</f>
        <v>180.60373331857</v>
      </c>
    </row>
    <row r="86" customFormat="false" ht="15" hidden="false" customHeight="false" outlineLevel="0" collapsed="false">
      <c r="A86" s="7" t="s">
        <v>876</v>
      </c>
      <c r="F86" s="39" t="n">
        <f aca="false">Actuals!$H$112</f>
        <v>180.60373331857</v>
      </c>
    </row>
    <row r="87" customFormat="false" ht="15" hidden="false" customHeight="false" outlineLevel="0" collapsed="false">
      <c r="A87" s="7" t="s">
        <v>877</v>
      </c>
      <c r="F87" s="75" t="n">
        <f aca="false">F86-F85</f>
        <v>0</v>
      </c>
      <c r="G87" s="7" t="str">
        <f aca="false">IF(ABS(F87)&gt;0.001,"UNRECONCILED","Reconciled")</f>
        <v>Reconciled</v>
      </c>
    </row>
    <row r="89" customFormat="false" ht="15" hidden="false" customHeight="false" outlineLevel="0" collapsed="false">
      <c r="A89" s="16" t="s">
        <v>878</v>
      </c>
      <c r="B89" s="17"/>
      <c r="C89" s="17"/>
      <c r="D89" s="17"/>
      <c r="E89" s="17"/>
      <c r="F89" s="17"/>
      <c r="G89" s="17"/>
      <c r="H89" s="17"/>
    </row>
    <row r="90" customFormat="false" ht="15" hidden="false" customHeight="false" outlineLevel="0" collapsed="false">
      <c r="A90" s="7" t="s">
        <v>879</v>
      </c>
      <c r="F90" s="47" t="n">
        <f aca="false">F69</f>
        <v>9.75401068739592</v>
      </c>
      <c r="G90" s="0" t="str">
        <f aca="false">IF(ABS(F90)&lt;0.0005,"On budget",IF(F90&gt;0,"Favorable","Unfavorable"))</f>
        <v>Favorable</v>
      </c>
    </row>
    <row r="91" customFormat="false" ht="15" hidden="false" customHeight="false" outlineLevel="0" collapsed="false">
      <c r="A91" s="8" t="s">
        <v>843</v>
      </c>
      <c r="F91" s="47" t="n">
        <f aca="false">F65</f>
        <v>1.32830098484092</v>
      </c>
      <c r="G91" s="0" t="str">
        <f aca="false">IF(ABS(F91)&lt;0.0005,"On budget",IF(F91&gt;0,"Favorable","Unfavorable"))</f>
        <v>Favorable</v>
      </c>
    </row>
    <row r="92" customFormat="false" ht="15" hidden="false" customHeight="false" outlineLevel="0" collapsed="false">
      <c r="A92" s="8" t="s">
        <v>880</v>
      </c>
      <c r="F92" s="47" t="n">
        <f aca="false">F66</f>
        <v>14.7669948062559</v>
      </c>
      <c r="G92" s="0" t="str">
        <f aca="false">IF(ABS(F92)&lt;0.0005,"On budget",IF(F92&gt;0,"Favorable","Unfavorable"))</f>
        <v>Favorable</v>
      </c>
    </row>
    <row r="93" customFormat="false" ht="15" hidden="false" customHeight="false" outlineLevel="0" collapsed="false">
      <c r="A93" s="8" t="s">
        <v>881</v>
      </c>
      <c r="F93" s="47" t="n">
        <f aca="false">F67</f>
        <v>-6.34128510370089</v>
      </c>
      <c r="G93" s="0" t="str">
        <f aca="false">IF(ABS(F93)&lt;0.0005,"On budget",IF(F93&gt;0,"Favorable","Unfavorable"))</f>
        <v>Unfavorable</v>
      </c>
    </row>
    <row r="94" customFormat="false" ht="15" hidden="false" customHeight="false" outlineLevel="0" collapsed="false">
      <c r="A94" s="8" t="s">
        <v>882</v>
      </c>
      <c r="F94" s="47" t="n">
        <f aca="false">F79</f>
        <v>-1.25496</v>
      </c>
      <c r="G94" s="0" t="str">
        <f aca="false">IF(ABS(F94)&lt;0.0005,"On budget",IF(F94&gt;0,"Favorable","Unfavorable"))</f>
        <v>Unfavorable</v>
      </c>
    </row>
    <row r="95" customFormat="false" ht="15" hidden="false" customHeight="false" outlineLevel="0" collapsed="false">
      <c r="A95" s="8" t="s">
        <v>883</v>
      </c>
      <c r="F95" s="47" t="n">
        <f aca="false">F80</f>
        <v>-0.840920583732064</v>
      </c>
      <c r="G95" s="0" t="str">
        <f aca="false">IF(ABS(F95)&lt;0.0005,"On budget",IF(F95&gt;0,"Favorable","Unfavorable"))</f>
        <v>Unfavorable</v>
      </c>
    </row>
    <row r="96" customFormat="false" ht="15" hidden="false" customHeight="false" outlineLevel="0" collapsed="false">
      <c r="A96" s="8" t="s">
        <v>884</v>
      </c>
      <c r="F96" s="47" t="n">
        <f aca="false">F83+F84</f>
        <v>-0.583333333333329</v>
      </c>
      <c r="G96" s="0" t="str">
        <f aca="false">IF(ABS(F96)&lt;0.0005,"On budget",IF(F96&gt;0,"Favorable","Unfavorable"))</f>
        <v>Unfavorable</v>
      </c>
    </row>
    <row r="97" customFormat="false" ht="15" hidden="false" customHeight="false" outlineLevel="0" collapsed="false">
      <c r="A97" s="7" t="s">
        <v>885</v>
      </c>
      <c r="F97" s="47" t="n">
        <f aca="false">F86-F75</f>
        <v>3.76219051150923</v>
      </c>
      <c r="G97" s="0" t="str">
        <f aca="false">IF(ABS(F97)&lt;0.0005,"On budget",IF(F97&gt;0,"Favorable","Unfavorable"))</f>
        <v>Favorable</v>
      </c>
    </row>
    <row r="99" customFormat="false" ht="15" hidden="false" customHeight="false" outlineLevel="0" collapsed="false">
      <c r="A99" s="16" t="s">
        <v>886</v>
      </c>
      <c r="B99" s="17"/>
      <c r="C99" s="17"/>
      <c r="D99" s="17"/>
      <c r="E99" s="17"/>
      <c r="F99" s="17"/>
      <c r="G99" s="17"/>
      <c r="H99" s="17"/>
    </row>
    <row r="100" customFormat="false" ht="15" hidden="false" customHeight="false" outlineLevel="0" collapsed="false">
      <c r="A100" s="18" t="s">
        <v>787</v>
      </c>
      <c r="B100" s="19" t="s">
        <v>220</v>
      </c>
      <c r="C100" s="76" t="n">
        <f aca="false">Ops_Model!C$6</f>
        <v>46023</v>
      </c>
      <c r="D100" s="76" t="n">
        <f aca="false">Ops_Model!D$6</f>
        <v>46054</v>
      </c>
      <c r="E100" s="76" t="n">
        <f aca="false">Ops_Model!E$6</f>
        <v>46082</v>
      </c>
      <c r="F100" s="76" t="n">
        <f aca="false">Ops_Model!F$6</f>
        <v>46113</v>
      </c>
      <c r="G100" s="76" t="n">
        <f aca="false">Ops_Model!G$6</f>
        <v>46143</v>
      </c>
      <c r="H100" s="19" t="s">
        <v>599</v>
      </c>
    </row>
    <row r="101" customFormat="false" ht="15" hidden="false" customHeight="false" outlineLevel="0" collapsed="false">
      <c r="A101" s="8" t="s">
        <v>887</v>
      </c>
      <c r="B101" s="8" t="s">
        <v>259</v>
      </c>
      <c r="C101" s="39" t="n">
        <f aca="false">Budget!C97</f>
        <v>89.7317525294857</v>
      </c>
      <c r="D101" s="39" t="n">
        <f aca="false">Budget!D97</f>
        <v>91.6409387535173</v>
      </c>
      <c r="E101" s="39" t="n">
        <f aca="false">Budget!E97</f>
        <v>97.3684974256122</v>
      </c>
      <c r="F101" s="39" t="n">
        <f aca="false">Budget!F97</f>
        <v>94.5047180895648</v>
      </c>
      <c r="G101" s="39" t="n">
        <f aca="false">Budget!G97</f>
        <v>95.4593112015806</v>
      </c>
    </row>
    <row r="102" customFormat="false" ht="15" hidden="false" customHeight="false" outlineLevel="0" collapsed="false">
      <c r="A102" s="8" t="s">
        <v>888</v>
      </c>
      <c r="B102" s="8" t="s">
        <v>259</v>
      </c>
      <c r="C102" s="39" t="n">
        <f aca="false">Actuals!C100</f>
        <v>92.5019226822217</v>
      </c>
      <c r="D102" s="39" t="n">
        <f aca="false">Actuals!D100</f>
        <v>91.664007646339</v>
      </c>
      <c r="E102" s="39" t="n">
        <f aca="false">Actuals!E100</f>
        <v>101.368232945633</v>
      </c>
      <c r="F102" s="39" t="n">
        <f aca="false">Actuals!F100</f>
        <v>95.4930844963614</v>
      </c>
      <c r="G102" s="39" t="n">
        <f aca="false">Actuals!G100</f>
        <v>97.4319809166018</v>
      </c>
    </row>
    <row r="103" customFormat="false" ht="15" hidden="false" customHeight="false" outlineLevel="0" collapsed="false">
      <c r="A103" s="8" t="s">
        <v>889</v>
      </c>
      <c r="B103" s="8" t="s">
        <v>259</v>
      </c>
      <c r="C103" s="39" t="n">
        <f aca="false">Budget!C109</f>
        <v>32.7514799457822</v>
      </c>
      <c r="D103" s="39" t="n">
        <f aca="false">Budget!D109</f>
        <v>34.1460544430451</v>
      </c>
      <c r="E103" s="39" t="n">
        <f aca="false">Budget!E109</f>
        <v>37.5835289162837</v>
      </c>
      <c r="F103" s="39" t="n">
        <f aca="false">Budget!F109</f>
        <v>35.9190849793482</v>
      </c>
      <c r="G103" s="39" t="n">
        <f aca="false">Budget!G109</f>
        <v>36.4413945226017</v>
      </c>
    </row>
    <row r="104" customFormat="false" ht="15" hidden="false" customHeight="false" outlineLevel="0" collapsed="false">
      <c r="A104" s="8" t="s">
        <v>890</v>
      </c>
      <c r="B104" s="8" t="s">
        <v>259</v>
      </c>
      <c r="C104" s="39" t="n">
        <f aca="false">Actuals!C112</f>
        <v>34.1263047181905</v>
      </c>
      <c r="D104" s="39" t="n">
        <f aca="false">Actuals!D112</f>
        <v>33.811332284176</v>
      </c>
      <c r="E104" s="39" t="n">
        <f aca="false">Actuals!E112</f>
        <v>39.4818956096641</v>
      </c>
      <c r="F104" s="39" t="n">
        <f aca="false">Actuals!F112</f>
        <v>36.0520757927914</v>
      </c>
      <c r="G104" s="39" t="n">
        <f aca="false">Actuals!G112</f>
        <v>37.1321249137482</v>
      </c>
    </row>
    <row r="105" customFormat="false" ht="15" hidden="false" customHeight="false" outlineLevel="0" collapsed="false">
      <c r="A105" s="7" t="s">
        <v>891</v>
      </c>
      <c r="B105" s="8" t="s">
        <v>259</v>
      </c>
      <c r="C105" s="42" t="n">
        <f aca="false">C102-C101</f>
        <v>2.77017015273601</v>
      </c>
      <c r="D105" s="42" t="n">
        <f aca="false">D102-D101</f>
        <v>0.0230688928216267</v>
      </c>
      <c r="E105" s="42" t="n">
        <f aca="false">E102-E101</f>
        <v>3.99973552002035</v>
      </c>
      <c r="F105" s="42" t="n">
        <f aca="false">F102-F101</f>
        <v>0.988366406796686</v>
      </c>
      <c r="G105" s="42" t="n">
        <f aca="false">G102-G101</f>
        <v>1.97266971502124</v>
      </c>
    </row>
    <row r="106" customFormat="false" ht="15" hidden="false" customHeight="false" outlineLevel="0" collapsed="false">
      <c r="A106" s="7" t="s">
        <v>885</v>
      </c>
      <c r="B106" s="8" t="s">
        <v>259</v>
      </c>
      <c r="C106" s="42" t="n">
        <f aca="false">C104-C103</f>
        <v>1.37482477240827</v>
      </c>
      <c r="D106" s="42" t="n">
        <f aca="false">D104-D103</f>
        <v>-0.334722158869127</v>
      </c>
      <c r="E106" s="42" t="n">
        <f aca="false">E104-E103</f>
        <v>1.8983666933804</v>
      </c>
      <c r="F106" s="42" t="n">
        <f aca="false">F104-F103</f>
        <v>0.132990813443215</v>
      </c>
      <c r="G106" s="42" t="n">
        <f aca="false">G104-G103</f>
        <v>0.690730391146467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C00000"/>
    <pageSetUpPr fitToPage="true"/>
  </sheetPr>
  <dimension ref="A1:K16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defaultColWidth="8.54296875" defaultRowHeight="15" customHeight="false" zeroHeight="false" outlineLevelRow="0" outlineLevelCol="0"/>
  <cols>
    <col collapsed="false" customWidth="true" hidden="false" outlineLevel="0" max="1" min="1" style="0" width="58"/>
    <col collapsed="false" customWidth="true" hidden="false" outlineLevel="0" max="9" min="2" style="0" width="12"/>
    <col collapsed="false" customWidth="true" hidden="false" outlineLevel="0" max="10" min="10" style="0" width="26"/>
    <col collapsed="false" customWidth="true" hidden="false" outlineLevel="0" max="11" min="11" style="0" width="70"/>
  </cols>
  <sheetData>
    <row r="1" customFormat="false" ht="19.7" hidden="false" customHeight="false" outlineLevel="0" collapsed="false">
      <c r="A1" s="14" t="s">
        <v>892</v>
      </c>
    </row>
    <row r="2" customFormat="false" ht="15" hidden="false" customHeight="false" outlineLevel="0" collapsed="false">
      <c r="A2" s="4" t="s">
        <v>893</v>
      </c>
    </row>
    <row r="3" customFormat="false" ht="15" hidden="false" customHeight="false" outlineLevel="0" collapsed="false">
      <c r="A3" s="15" t="s">
        <v>894</v>
      </c>
    </row>
    <row r="5" customFormat="false" ht="15" hidden="false" customHeight="false" outlineLevel="0" collapsed="false">
      <c r="A5" s="16" t="s">
        <v>895</v>
      </c>
      <c r="B5" s="17"/>
      <c r="C5" s="17"/>
      <c r="D5" s="17"/>
      <c r="E5" s="17"/>
      <c r="F5" s="17"/>
      <c r="G5" s="17"/>
      <c r="H5" s="17"/>
      <c r="I5" s="17"/>
      <c r="J5" s="17"/>
      <c r="K5" s="17"/>
    </row>
    <row r="6" customFormat="false" ht="15" hidden="false" customHeight="false" outlineLevel="0" collapsed="false">
      <c r="A6" s="8" t="s">
        <v>896</v>
      </c>
      <c r="B6" s="8" t="s">
        <v>259</v>
      </c>
      <c r="F6" s="27" t="n">
        <v>22</v>
      </c>
      <c r="J6" s="0" t="s">
        <v>897</v>
      </c>
      <c r="K6" s="0" t="s">
        <v>898</v>
      </c>
    </row>
    <row r="7" customFormat="false" ht="15" hidden="false" customHeight="false" outlineLevel="0" collapsed="false">
      <c r="A7" s="8" t="s">
        <v>899</v>
      </c>
      <c r="B7" s="8" t="s">
        <v>259</v>
      </c>
      <c r="F7" s="27" t="n">
        <v>2.5</v>
      </c>
      <c r="J7" s="0" t="s">
        <v>897</v>
      </c>
      <c r="K7" s="0" t="s">
        <v>900</v>
      </c>
    </row>
    <row r="8" customFormat="false" ht="15" hidden="false" customHeight="false" outlineLevel="0" collapsed="false">
      <c r="A8" s="8" t="s">
        <v>901</v>
      </c>
      <c r="B8" s="8" t="s">
        <v>291</v>
      </c>
      <c r="F8" s="32" t="n">
        <v>6</v>
      </c>
      <c r="J8" s="0" t="s">
        <v>897</v>
      </c>
      <c r="K8" s="0" t="s">
        <v>902</v>
      </c>
    </row>
    <row r="9" customFormat="false" ht="15" hidden="false" customHeight="false" outlineLevel="0" collapsed="false">
      <c r="A9" s="8" t="s">
        <v>903</v>
      </c>
      <c r="B9" s="8" t="s">
        <v>231</v>
      </c>
      <c r="F9" s="23" t="n">
        <v>0.01</v>
      </c>
      <c r="J9" s="0" t="s">
        <v>897</v>
      </c>
      <c r="K9" s="0" t="s">
        <v>904</v>
      </c>
    </row>
    <row r="10" customFormat="false" ht="15" hidden="false" customHeight="false" outlineLevel="0" collapsed="false">
      <c r="A10" s="8" t="s">
        <v>905</v>
      </c>
      <c r="B10" s="8" t="s">
        <v>906</v>
      </c>
      <c r="F10" s="27" t="n">
        <v>1.2</v>
      </c>
      <c r="J10" s="0" t="s">
        <v>897</v>
      </c>
      <c r="K10" s="0" t="s">
        <v>907</v>
      </c>
    </row>
    <row r="11" customFormat="false" ht="15" hidden="false" customHeight="false" outlineLevel="0" collapsed="false">
      <c r="A11" s="8" t="s">
        <v>908</v>
      </c>
      <c r="B11" s="8" t="s">
        <v>906</v>
      </c>
      <c r="F11" s="27" t="n">
        <v>1</v>
      </c>
      <c r="J11" s="0" t="s">
        <v>897</v>
      </c>
      <c r="K11" s="0" t="s">
        <v>909</v>
      </c>
    </row>
    <row r="12" customFormat="false" ht="15" hidden="false" customHeight="false" outlineLevel="0" collapsed="false">
      <c r="A12" s="8" t="s">
        <v>910</v>
      </c>
      <c r="B12" s="8" t="s">
        <v>911</v>
      </c>
      <c r="F12" s="40" t="n">
        <v>6</v>
      </c>
      <c r="J12" s="0" t="s">
        <v>897</v>
      </c>
      <c r="K12" s="0" t="s">
        <v>912</v>
      </c>
    </row>
    <row r="13" customFormat="false" ht="15" hidden="false" customHeight="false" outlineLevel="0" collapsed="false">
      <c r="A13" s="8" t="s">
        <v>913</v>
      </c>
      <c r="B13" s="8" t="s">
        <v>259</v>
      </c>
      <c r="F13" s="27" t="n">
        <v>0</v>
      </c>
      <c r="J13" s="0" t="s">
        <v>897</v>
      </c>
      <c r="K13" s="0" t="s">
        <v>914</v>
      </c>
    </row>
    <row r="14" customFormat="false" ht="15" hidden="false" customHeight="false" outlineLevel="0" collapsed="false">
      <c r="A14" s="8" t="s">
        <v>915</v>
      </c>
      <c r="B14" s="8" t="s">
        <v>226</v>
      </c>
      <c r="F14" s="23" t="n">
        <v>0.9</v>
      </c>
      <c r="J14" s="0" t="s">
        <v>897</v>
      </c>
      <c r="K14" s="0" t="s">
        <v>916</v>
      </c>
    </row>
    <row r="15" customFormat="false" ht="15" hidden="false" customHeight="false" outlineLevel="0" collapsed="false">
      <c r="A15" s="8" t="s">
        <v>917</v>
      </c>
      <c r="B15" s="8" t="s">
        <v>226</v>
      </c>
      <c r="F15" s="23" t="n">
        <v>0.02</v>
      </c>
      <c r="J15" s="0" t="s">
        <v>897</v>
      </c>
      <c r="K15" s="0" t="s">
        <v>918</v>
      </c>
    </row>
    <row r="16" customFormat="false" ht="15" hidden="false" customHeight="false" outlineLevel="0" collapsed="false">
      <c r="A16" s="8" t="s">
        <v>919</v>
      </c>
      <c r="B16" s="8" t="s">
        <v>226</v>
      </c>
      <c r="F16" s="77" t="n">
        <v>0.09</v>
      </c>
      <c r="J16" s="0" t="s">
        <v>107</v>
      </c>
      <c r="K16" s="0" t="s">
        <v>920</v>
      </c>
    </row>
    <row r="17" customFormat="false" ht="15" hidden="false" customHeight="false" outlineLevel="0" collapsed="false">
      <c r="A17" s="8" t="s">
        <v>921</v>
      </c>
      <c r="B17" s="8" t="s">
        <v>226</v>
      </c>
      <c r="F17" s="77" t="n">
        <v>0.11</v>
      </c>
      <c r="J17" s="0" t="s">
        <v>107</v>
      </c>
      <c r="K17" s="0" t="s">
        <v>922</v>
      </c>
    </row>
    <row r="18" customFormat="false" ht="15" hidden="false" customHeight="false" outlineLevel="0" collapsed="false">
      <c r="A18" s="8" t="s">
        <v>923</v>
      </c>
      <c r="B18" s="8" t="s">
        <v>911</v>
      </c>
      <c r="F18" s="78" t="n">
        <v>4</v>
      </c>
      <c r="J18" s="0" t="s">
        <v>107</v>
      </c>
      <c r="K18" s="0" t="s">
        <v>924</v>
      </c>
    </row>
    <row r="19" customFormat="false" ht="15" hidden="false" customHeight="false" outlineLevel="0" collapsed="false">
      <c r="A19" s="7" t="s">
        <v>925</v>
      </c>
      <c r="B19" s="8" t="s">
        <v>259</v>
      </c>
      <c r="F19" s="42" t="n">
        <f aca="false">F6+F7</f>
        <v>24.5</v>
      </c>
      <c r="J19" s="0" t="s">
        <v>247</v>
      </c>
    </row>
    <row r="20" customFormat="false" ht="15" hidden="false" customHeight="false" outlineLevel="0" collapsed="false">
      <c r="A20" s="8" t="s">
        <v>926</v>
      </c>
      <c r="B20" s="8" t="s">
        <v>344</v>
      </c>
      <c r="F20" s="79" t="n">
        <f aca="false">Assumptions!$F$83</f>
        <v>40</v>
      </c>
      <c r="J20" s="0" t="s">
        <v>927</v>
      </c>
    </row>
    <row r="22" customFormat="false" ht="15" hidden="false" customHeight="false" outlineLevel="0" collapsed="false">
      <c r="A22" s="16" t="s">
        <v>928</v>
      </c>
      <c r="B22" s="17"/>
      <c r="C22" s="17"/>
      <c r="D22" s="17"/>
      <c r="E22" s="17"/>
      <c r="F22" s="17"/>
      <c r="G22" s="17"/>
      <c r="H22" s="17"/>
      <c r="I22" s="17"/>
      <c r="J22" s="17"/>
      <c r="K22" s="17"/>
    </row>
    <row r="23" customFormat="false" ht="15" hidden="false" customHeight="false" outlineLevel="0" collapsed="false">
      <c r="A23" s="18" t="s">
        <v>45</v>
      </c>
      <c r="B23" s="19" t="s">
        <v>220</v>
      </c>
      <c r="C23" s="19" t="s">
        <v>221</v>
      </c>
      <c r="D23" s="19" t="s">
        <v>216</v>
      </c>
      <c r="E23" s="19" t="s">
        <v>222</v>
      </c>
      <c r="F23" s="19"/>
      <c r="G23" s="19"/>
      <c r="H23" s="19"/>
      <c r="I23" s="19"/>
      <c r="J23" s="19" t="s">
        <v>99</v>
      </c>
      <c r="K23" s="19" t="s">
        <v>498</v>
      </c>
    </row>
    <row r="24" customFormat="false" ht="15" hidden="false" customHeight="false" outlineLevel="0" collapsed="false">
      <c r="A24" s="8" t="s">
        <v>929</v>
      </c>
      <c r="B24" s="8" t="s">
        <v>226</v>
      </c>
      <c r="C24" s="23" t="n">
        <v>0.02</v>
      </c>
      <c r="D24" s="23" t="n">
        <v>0.07</v>
      </c>
      <c r="E24" s="23" t="n">
        <v>0.11</v>
      </c>
      <c r="J24" s="0" t="s">
        <v>897</v>
      </c>
      <c r="K24" s="0" t="s">
        <v>930</v>
      </c>
    </row>
    <row r="25" customFormat="false" ht="15" hidden="false" customHeight="false" outlineLevel="0" collapsed="false">
      <c r="A25" s="8" t="s">
        <v>931</v>
      </c>
      <c r="B25" s="8" t="s">
        <v>300</v>
      </c>
      <c r="C25" s="71" t="n">
        <f aca="false">Assumptions!$C$52*(1+Assumptions!$C$10+Assumptions!$C$48)</f>
        <v>733.715500209543</v>
      </c>
      <c r="D25" s="71" t="n">
        <f aca="false">Assumptions!$C$52*(1+Assumptions!$D$10+Assumptions!$C$48)</f>
        <v>817.568700233491</v>
      </c>
      <c r="E25" s="71" t="n">
        <f aca="false">Assumptions!$C$52*(1+Assumptions!$E$10+Assumptions!$C$48)</f>
        <v>880.458600251452</v>
      </c>
      <c r="J25" s="0" t="s">
        <v>247</v>
      </c>
      <c r="K25" s="0" t="s">
        <v>932</v>
      </c>
    </row>
    <row r="26" customFormat="false" ht="15" hidden="false" customHeight="false" outlineLevel="0" collapsed="false">
      <c r="A26" s="8" t="s">
        <v>933</v>
      </c>
      <c r="B26" s="8" t="s">
        <v>281</v>
      </c>
      <c r="C26" s="80" t="n">
        <f aca="false">Assumptions!$C$43*(1+Assumptions!$C$11)</f>
        <v>0.582</v>
      </c>
      <c r="D26" s="80" t="n">
        <f aca="false">Assumptions!$C$43*(1+Assumptions!$D$11)</f>
        <v>0.594</v>
      </c>
      <c r="E26" s="80" t="n">
        <f aca="false">Assumptions!$C$43*(1+Assumptions!$E$11)</f>
        <v>0.606</v>
      </c>
      <c r="J26" s="0" t="s">
        <v>247</v>
      </c>
      <c r="K26" s="0" t="s">
        <v>934</v>
      </c>
    </row>
    <row r="27" customFormat="false" ht="15" hidden="false" customHeight="false" outlineLevel="0" collapsed="false">
      <c r="A27" s="8" t="s">
        <v>935</v>
      </c>
      <c r="B27" s="8" t="s">
        <v>281</v>
      </c>
      <c r="C27" s="69" t="n">
        <f aca="false">Assumptions!$C$45*(1+Assumptions!$C$14)</f>
        <v>0.147</v>
      </c>
      <c r="D27" s="69" t="n">
        <f aca="false">Assumptions!$C$45*(1+Assumptions!$D$14)</f>
        <v>0.1442</v>
      </c>
      <c r="E27" s="69" t="n">
        <f aca="false">Assumptions!$C$45*(1+Assumptions!$E$14)</f>
        <v>0.1414</v>
      </c>
      <c r="J27" s="0" t="s">
        <v>247</v>
      </c>
      <c r="K27" s="0" t="s">
        <v>936</v>
      </c>
    </row>
    <row r="28" customFormat="false" ht="15" hidden="false" customHeight="false" outlineLevel="0" collapsed="false">
      <c r="A28" s="8" t="s">
        <v>937</v>
      </c>
      <c r="B28" s="8" t="s">
        <v>226</v>
      </c>
      <c r="C28" s="25" t="n">
        <f aca="false">MIN(1,MAX(0,Assumptions!$C$44+Assumptions!$C$12))</f>
        <v>0.93</v>
      </c>
      <c r="D28" s="25" t="n">
        <f aca="false">MIN(1,MAX(0,Assumptions!$C$44+Assumptions!$D$12))</f>
        <v>0.95</v>
      </c>
      <c r="E28" s="25" t="n">
        <f aca="false">MIN(1,MAX(0,Assumptions!$C$44+Assumptions!$E$12))</f>
        <v>0.96</v>
      </c>
      <c r="J28" s="0" t="s">
        <v>247</v>
      </c>
      <c r="K28" s="0" t="s">
        <v>938</v>
      </c>
    </row>
    <row r="29" customFormat="false" ht="15" hidden="false" customHeight="false" outlineLevel="0" collapsed="false">
      <c r="A29" s="8" t="s">
        <v>939</v>
      </c>
      <c r="B29" s="8" t="s">
        <v>226</v>
      </c>
      <c r="C29" s="25" t="n">
        <f aca="false">MIN(1,C28+$F$9)</f>
        <v>0.94</v>
      </c>
      <c r="D29" s="25" t="n">
        <f aca="false">MIN(1,D28+$F$9)</f>
        <v>0.96</v>
      </c>
      <c r="E29" s="25" t="n">
        <f aca="false">MIN(1,E28+$F$9)</f>
        <v>0.97</v>
      </c>
      <c r="J29" s="0" t="s">
        <v>247</v>
      </c>
      <c r="K29" s="0" t="s">
        <v>940</v>
      </c>
    </row>
    <row r="30" customFormat="false" ht="15" hidden="false" customHeight="false" outlineLevel="0" collapsed="false">
      <c r="A30" s="8" t="s">
        <v>243</v>
      </c>
      <c r="B30" s="8" t="s">
        <v>226</v>
      </c>
      <c r="C30" s="25" t="n">
        <f aca="false">Assumptions!$C$18</f>
        <v>0.16</v>
      </c>
      <c r="D30" s="25" t="n">
        <f aca="false">Assumptions!$D$18</f>
        <v>0.13</v>
      </c>
      <c r="E30" s="25" t="n">
        <f aca="false">Assumptions!$E$18</f>
        <v>0.12</v>
      </c>
      <c r="J30" s="0" t="s">
        <v>107</v>
      </c>
      <c r="K30" s="0" t="s">
        <v>941</v>
      </c>
    </row>
    <row r="31" customFormat="false" ht="15" hidden="false" customHeight="false" outlineLevel="0" collapsed="false">
      <c r="A31" s="8" t="s">
        <v>942</v>
      </c>
      <c r="B31" s="8" t="s">
        <v>943</v>
      </c>
      <c r="C31" s="71" t="n">
        <f aca="false">Assumptions!$C$47*12*$F$14*C28</f>
        <v>883.872</v>
      </c>
      <c r="D31" s="71" t="n">
        <f aca="false">Assumptions!$C$47*12*$F$14*D28</f>
        <v>902.88</v>
      </c>
      <c r="E31" s="71" t="n">
        <f aca="false">Assumptions!$C$47*12*$F$14*E28</f>
        <v>912.384</v>
      </c>
      <c r="J31" s="0" t="s">
        <v>247</v>
      </c>
      <c r="K31" s="0" t="s">
        <v>944</v>
      </c>
    </row>
    <row r="32" customFormat="false" ht="15" hidden="false" customHeight="false" outlineLevel="0" collapsed="false">
      <c r="A32" s="8" t="s">
        <v>945</v>
      </c>
      <c r="B32" s="8" t="s">
        <v>943</v>
      </c>
      <c r="C32" s="71" t="n">
        <f aca="false">(Assumptions!$C$47+$F$8)*12*$F$14*C29</f>
        <v>954.288</v>
      </c>
      <c r="D32" s="71" t="n">
        <f aca="false">(Assumptions!$C$47+$F$8)*12*$F$14*D29</f>
        <v>974.592</v>
      </c>
      <c r="E32" s="71" t="n">
        <f aca="false">(Assumptions!$C$47+$F$8)*12*$F$14*E29</f>
        <v>984.744</v>
      </c>
      <c r="J32" s="0" t="s">
        <v>247</v>
      </c>
      <c r="K32" s="0" t="s">
        <v>946</v>
      </c>
    </row>
    <row r="33" customFormat="false" ht="15" hidden="false" customHeight="false" outlineLevel="0" collapsed="false">
      <c r="A33" s="8" t="s">
        <v>947</v>
      </c>
      <c r="B33" s="8" t="s">
        <v>943</v>
      </c>
      <c r="C33" s="71" t="n">
        <f aca="false">$F$8*12*C29</f>
        <v>67.68</v>
      </c>
      <c r="D33" s="71" t="n">
        <f aca="false">$F$8*12*D29</f>
        <v>69.12</v>
      </c>
      <c r="E33" s="71" t="n">
        <f aca="false">$F$8*12*E29</f>
        <v>69.84</v>
      </c>
      <c r="J33" s="0" t="s">
        <v>247</v>
      </c>
      <c r="K33" s="0" t="s">
        <v>948</v>
      </c>
    </row>
    <row r="35" customFormat="false" ht="15" hidden="false" customHeight="false" outlineLevel="0" collapsed="false">
      <c r="A35" s="16" t="s">
        <v>949</v>
      </c>
      <c r="B35" s="17"/>
      <c r="C35" s="17"/>
      <c r="D35" s="17"/>
      <c r="E35" s="17"/>
      <c r="F35" s="17"/>
      <c r="G35" s="17"/>
      <c r="H35" s="17"/>
      <c r="I35" s="17"/>
      <c r="J35" s="17"/>
      <c r="K35" s="17"/>
    </row>
    <row r="36" customFormat="false" ht="15" hidden="false" customHeight="false" outlineLevel="0" collapsed="false">
      <c r="A36" s="18" t="s">
        <v>787</v>
      </c>
      <c r="B36" s="19" t="s">
        <v>220</v>
      </c>
      <c r="C36" s="19" t="s">
        <v>950</v>
      </c>
      <c r="D36" s="19" t="s">
        <v>951</v>
      </c>
      <c r="E36" s="19" t="s">
        <v>952</v>
      </c>
      <c r="F36" s="19" t="s">
        <v>953</v>
      </c>
      <c r="G36" s="19" t="s">
        <v>954</v>
      </c>
      <c r="H36" s="19" t="s">
        <v>955</v>
      </c>
      <c r="I36" s="19" t="s">
        <v>956</v>
      </c>
      <c r="J36" s="19" t="s">
        <v>99</v>
      </c>
      <c r="K36" s="19" t="s">
        <v>599</v>
      </c>
    </row>
    <row r="37" customFormat="false" ht="15" hidden="false" customHeight="false" outlineLevel="0" collapsed="false">
      <c r="A37" s="8" t="s">
        <v>957</v>
      </c>
      <c r="B37" s="8" t="s">
        <v>958</v>
      </c>
      <c r="C37" s="81" t="n">
        <f aca="false">0</f>
        <v>0</v>
      </c>
      <c r="D37" s="81" t="n">
        <f aca="false">1</f>
        <v>1</v>
      </c>
      <c r="E37" s="81" t="n">
        <f aca="false">2</f>
        <v>2</v>
      </c>
      <c r="F37" s="81" t="n">
        <f aca="false">3</f>
        <v>3</v>
      </c>
      <c r="G37" s="81" t="n">
        <f aca="false">4</f>
        <v>4</v>
      </c>
      <c r="H37" s="81" t="n">
        <f aca="false">5</f>
        <v>5</v>
      </c>
      <c r="I37" s="81" t="n">
        <f aca="false">6</f>
        <v>6</v>
      </c>
      <c r="J37" s="0" t="s">
        <v>959</v>
      </c>
    </row>
    <row r="38" customFormat="false" ht="15" hidden="false" customHeight="false" outlineLevel="0" collapsed="false">
      <c r="A38" s="8" t="s">
        <v>960</v>
      </c>
      <c r="B38" s="8"/>
      <c r="C38" s="82" t="str">
        <f aca="false">"FY"&amp;(2026+C37)</f>
        <v>FY2026</v>
      </c>
      <c r="D38" s="82" t="str">
        <f aca="false">"FY"&amp;(2026+D37)</f>
        <v>FY2027</v>
      </c>
      <c r="E38" s="82" t="str">
        <f aca="false">"FY"&amp;(2026+E37)</f>
        <v>FY2028</v>
      </c>
      <c r="F38" s="82" t="str">
        <f aca="false">"FY"&amp;(2026+F37)</f>
        <v>FY2029</v>
      </c>
      <c r="G38" s="82" t="str">
        <f aca="false">"FY"&amp;(2026+G37)</f>
        <v>FY2030</v>
      </c>
      <c r="H38" s="82" t="str">
        <f aca="false">"FY"&amp;(2026+H37)</f>
        <v>FY2031</v>
      </c>
      <c r="I38" s="82" t="str">
        <f aca="false">"FY"&amp;(2026+I37)</f>
        <v>FY2032</v>
      </c>
      <c r="J38" s="0" t="s">
        <v>959</v>
      </c>
    </row>
    <row r="39" customFormat="false" ht="15" hidden="false" customHeight="false" outlineLevel="0" collapsed="false">
      <c r="A39" s="8" t="s">
        <v>961</v>
      </c>
      <c r="B39" s="8" t="s">
        <v>300</v>
      </c>
      <c r="C39" s="72" t="n">
        <f aca="false">0</f>
        <v>0</v>
      </c>
      <c r="D39" s="72" t="n">
        <f aca="false">$C$25*(1+$C$24)^D37</f>
        <v>748.389810213734</v>
      </c>
      <c r="E39" s="72" t="n">
        <f aca="false">$C$25*(1+$C$24)^E37</f>
        <v>763.357606418009</v>
      </c>
      <c r="F39" s="72" t="n">
        <f aca="false">$C$25*(1+$C$24)^F37</f>
        <v>778.624758546369</v>
      </c>
      <c r="G39" s="72" t="n">
        <f aca="false">$C$25*(1+$C$24)^G37</f>
        <v>794.197253717296</v>
      </c>
      <c r="H39" s="72" t="n">
        <f aca="false">$C$25*(1+$C$24)^H37</f>
        <v>810.081198791642</v>
      </c>
      <c r="I39" s="72" t="n">
        <f aca="false">$C$25*(1+$C$24)^I37</f>
        <v>826.282822767475</v>
      </c>
      <c r="J39" s="0" t="s">
        <v>959</v>
      </c>
    </row>
    <row r="40" customFormat="false" ht="15" hidden="false" customHeight="false" outlineLevel="0" collapsed="false">
      <c r="A40" s="8" t="s">
        <v>962</v>
      </c>
      <c r="B40" s="8" t="s">
        <v>281</v>
      </c>
      <c r="C40" s="83" t="n">
        <f aca="false">0</f>
        <v>0</v>
      </c>
      <c r="D40" s="83" t="n">
        <f aca="false">$C$26*(1-$F$15)^D37</f>
        <v>0.57036</v>
      </c>
      <c r="E40" s="83" t="n">
        <f aca="false">$C$26*(1-$F$15)^E37</f>
        <v>0.5589528</v>
      </c>
      <c r="F40" s="83" t="n">
        <f aca="false">$C$26*(1-$F$15)^F37</f>
        <v>0.547773744</v>
      </c>
      <c r="G40" s="83" t="n">
        <f aca="false">$C$26*(1-$F$15)^G37</f>
        <v>0.53681826912</v>
      </c>
      <c r="H40" s="83" t="n">
        <f aca="false">$C$26*(1-$F$15)^H37</f>
        <v>0.5260819037376</v>
      </c>
      <c r="I40" s="83" t="n">
        <f aca="false">$C$26*(1-$F$15)^I37</f>
        <v>0.515560265662848</v>
      </c>
      <c r="J40" s="0" t="s">
        <v>959</v>
      </c>
    </row>
    <row r="41" customFormat="false" ht="15" hidden="false" customHeight="false" outlineLevel="0" collapsed="false">
      <c r="A41" s="8" t="s">
        <v>963</v>
      </c>
      <c r="B41" s="8" t="s">
        <v>300</v>
      </c>
      <c r="C41" s="72" t="n">
        <f aca="false">0</f>
        <v>0</v>
      </c>
      <c r="D41" s="72" t="n">
        <f aca="false">MIN(D39,$C$31)</f>
        <v>748.389810213734</v>
      </c>
      <c r="E41" s="72" t="n">
        <f aca="false">MIN(E39,$C$31)</f>
        <v>763.357606418009</v>
      </c>
      <c r="F41" s="72" t="n">
        <f aca="false">MIN(F39,$C$31)</f>
        <v>778.624758546369</v>
      </c>
      <c r="G41" s="72" t="n">
        <f aca="false">MIN(G39,$C$31)</f>
        <v>794.197253717296</v>
      </c>
      <c r="H41" s="72" t="n">
        <f aca="false">MIN(H39,$C$31)</f>
        <v>810.081198791642</v>
      </c>
      <c r="I41" s="72" t="n">
        <f aca="false">MIN(I39,$C$31)</f>
        <v>826.282822767475</v>
      </c>
      <c r="J41" s="0" t="s">
        <v>959</v>
      </c>
      <c r="K41" s="0" t="s">
        <v>964</v>
      </c>
    </row>
    <row r="42" customFormat="false" ht="15" hidden="false" customHeight="false" outlineLevel="0" collapsed="false">
      <c r="A42" s="8" t="s">
        <v>965</v>
      </c>
      <c r="B42" s="8" t="s">
        <v>300</v>
      </c>
      <c r="C42" s="72" t="n">
        <f aca="false">0</f>
        <v>0</v>
      </c>
      <c r="D42" s="72" t="n">
        <f aca="false">MIN(D39,$C$32)</f>
        <v>748.389810213734</v>
      </c>
      <c r="E42" s="72" t="n">
        <f aca="false">MIN(E39,$C$32)</f>
        <v>763.357606418009</v>
      </c>
      <c r="F42" s="72" t="n">
        <f aca="false">MIN(F39,$C$32)</f>
        <v>778.624758546369</v>
      </c>
      <c r="G42" s="72" t="n">
        <f aca="false">MIN(G39,$C$32)</f>
        <v>794.197253717296</v>
      </c>
      <c r="H42" s="72" t="n">
        <f aca="false">MIN(H39,$C$32)</f>
        <v>810.081198791642</v>
      </c>
      <c r="I42" s="72" t="n">
        <f aca="false">MIN(I39,$C$32)</f>
        <v>826.282822767475</v>
      </c>
      <c r="J42" s="0" t="s">
        <v>959</v>
      </c>
      <c r="K42" s="0" t="s">
        <v>966</v>
      </c>
    </row>
    <row r="43" customFormat="false" ht="15" hidden="false" customHeight="false" outlineLevel="0" collapsed="false">
      <c r="A43" s="8" t="s">
        <v>967</v>
      </c>
      <c r="B43" s="8" t="s">
        <v>300</v>
      </c>
      <c r="C43" s="72" t="n">
        <f aca="false">0</f>
        <v>0</v>
      </c>
      <c r="D43" s="72" t="n">
        <f aca="false">D42-D41</f>
        <v>0</v>
      </c>
      <c r="E43" s="72" t="n">
        <f aca="false">E42-E41</f>
        <v>0</v>
      </c>
      <c r="F43" s="72" t="n">
        <f aca="false">F42-F41</f>
        <v>0</v>
      </c>
      <c r="G43" s="72" t="n">
        <f aca="false">G42-G41</f>
        <v>0</v>
      </c>
      <c r="H43" s="72" t="n">
        <f aca="false">H42-H41</f>
        <v>0</v>
      </c>
      <c r="I43" s="72" t="n">
        <f aca="false">I42-I41</f>
        <v>0</v>
      </c>
      <c r="J43" s="0" t="s">
        <v>959</v>
      </c>
    </row>
    <row r="44" customFormat="false" ht="15" hidden="false" customHeight="false" outlineLevel="0" collapsed="false">
      <c r="A44" s="8" t="s">
        <v>968</v>
      </c>
      <c r="B44" s="8" t="s">
        <v>259</v>
      </c>
      <c r="C44" s="30" t="n">
        <f aca="false">0</f>
        <v>0</v>
      </c>
      <c r="D44" s="30" t="n">
        <f aca="false">D43*D40</f>
        <v>0</v>
      </c>
      <c r="E44" s="30" t="n">
        <f aca="false">E43*E40</f>
        <v>0</v>
      </c>
      <c r="F44" s="30" t="n">
        <f aca="false">F43*F40</f>
        <v>0</v>
      </c>
      <c r="G44" s="30" t="n">
        <f aca="false">G43*G40</f>
        <v>0</v>
      </c>
      <c r="H44" s="30" t="n">
        <f aca="false">H43*H40</f>
        <v>0</v>
      </c>
      <c r="I44" s="30" t="n">
        <f aca="false">I43*I40</f>
        <v>0</v>
      </c>
      <c r="J44" s="0" t="s">
        <v>959</v>
      </c>
      <c r="K44" s="0" t="s">
        <v>969</v>
      </c>
    </row>
    <row r="45" customFormat="false" ht="15" hidden="false" customHeight="false" outlineLevel="0" collapsed="false">
      <c r="A45" s="8" t="s">
        <v>970</v>
      </c>
      <c r="B45" s="8" t="s">
        <v>259</v>
      </c>
      <c r="C45" s="30" t="n">
        <f aca="false">0</f>
        <v>0</v>
      </c>
      <c r="D45" s="30" t="n">
        <f aca="false">D43*(D40-$C$27/$C$29)</f>
        <v>0</v>
      </c>
      <c r="E45" s="30" t="n">
        <f aca="false">E43*(E40-$C$27/$C$29)</f>
        <v>0</v>
      </c>
      <c r="F45" s="30" t="n">
        <f aca="false">F43*(F40-$C$27/$C$29)</f>
        <v>0</v>
      </c>
      <c r="G45" s="30" t="n">
        <f aca="false">G43*(G40-$C$27/$C$29)</f>
        <v>0</v>
      </c>
      <c r="H45" s="30" t="n">
        <f aca="false">H43*(H40-$C$27/$C$29)</f>
        <v>0</v>
      </c>
      <c r="I45" s="30" t="n">
        <f aca="false">I43*(I40-$C$27/$C$29)</f>
        <v>0</v>
      </c>
      <c r="J45" s="0" t="s">
        <v>959</v>
      </c>
      <c r="K45" s="0" t="s">
        <v>971</v>
      </c>
    </row>
    <row r="46" customFormat="false" ht="15" hidden="false" customHeight="false" outlineLevel="0" collapsed="false">
      <c r="A46" s="8" t="s">
        <v>972</v>
      </c>
      <c r="B46" s="8" t="s">
        <v>300</v>
      </c>
      <c r="C46" s="72" t="n">
        <f aca="false">0</f>
        <v>0</v>
      </c>
      <c r="D46" s="72" t="n">
        <f aca="false">D41*(1/$C$28-1/$C$29)</f>
        <v>8.56085346847112</v>
      </c>
      <c r="E46" s="72" t="n">
        <f aca="false">E41*(1/$C$28-1/$C$29)</f>
        <v>8.73207053784054</v>
      </c>
      <c r="F46" s="72" t="n">
        <f aca="false">F41*(1/$C$28-1/$C$29)</f>
        <v>8.90671194859736</v>
      </c>
      <c r="G46" s="72" t="n">
        <f aca="false">G41*(1/$C$28-1/$C$29)</f>
        <v>9.0848461875693</v>
      </c>
      <c r="H46" s="72" t="n">
        <f aca="false">H41*(1/$C$28-1/$C$29)</f>
        <v>9.26654311132069</v>
      </c>
      <c r="I46" s="72" t="n">
        <f aca="false">I41*(1/$C$28-1/$C$29)</f>
        <v>9.4518739735471</v>
      </c>
      <c r="J46" s="0" t="s">
        <v>959</v>
      </c>
      <c r="K46" s="0" t="s">
        <v>973</v>
      </c>
    </row>
    <row r="47" customFormat="false" ht="15" hidden="false" customHeight="false" outlineLevel="0" collapsed="false">
      <c r="A47" s="8" t="s">
        <v>974</v>
      </c>
      <c r="B47" s="8" t="s">
        <v>259</v>
      </c>
      <c r="C47" s="30" t="n">
        <f aca="false">0</f>
        <v>0</v>
      </c>
      <c r="D47" s="30" t="n">
        <f aca="false">D46*$C$27</f>
        <v>1.25844545986526</v>
      </c>
      <c r="E47" s="30" t="n">
        <f aca="false">E46*$C$27</f>
        <v>1.28361436906256</v>
      </c>
      <c r="F47" s="30" t="n">
        <f aca="false">F46*$C$27</f>
        <v>1.30928665644381</v>
      </c>
      <c r="G47" s="30" t="n">
        <f aca="false">G46*$C$27</f>
        <v>1.33547238957269</v>
      </c>
      <c r="H47" s="30" t="n">
        <f aca="false">H46*$C$27</f>
        <v>1.36218183736414</v>
      </c>
      <c r="I47" s="30" t="n">
        <f aca="false">I46*$C$27</f>
        <v>1.38942547411142</v>
      </c>
      <c r="J47" s="0" t="s">
        <v>959</v>
      </c>
      <c r="K47" s="0" t="s">
        <v>975</v>
      </c>
    </row>
    <row r="48" customFormat="false" ht="15" hidden="false" customHeight="false" outlineLevel="0" collapsed="false">
      <c r="A48" s="8" t="s">
        <v>905</v>
      </c>
      <c r="B48" s="8" t="s">
        <v>259</v>
      </c>
      <c r="C48" s="30" t="n">
        <f aca="false">0</f>
        <v>0</v>
      </c>
      <c r="D48" s="30" t="n">
        <f aca="false">$F$10</f>
        <v>1.2</v>
      </c>
      <c r="E48" s="30" t="n">
        <f aca="false">$F$10</f>
        <v>1.2</v>
      </c>
      <c r="F48" s="30" t="n">
        <f aca="false">$F$10</f>
        <v>1.2</v>
      </c>
      <c r="G48" s="30" t="n">
        <f aca="false">$F$10</f>
        <v>1.2</v>
      </c>
      <c r="H48" s="30" t="n">
        <f aca="false">$F$10</f>
        <v>1.2</v>
      </c>
      <c r="I48" s="30" t="n">
        <f aca="false">$F$10</f>
        <v>1.2</v>
      </c>
      <c r="J48" s="0" t="s">
        <v>959</v>
      </c>
    </row>
    <row r="49" customFormat="false" ht="15" hidden="false" customHeight="false" outlineLevel="0" collapsed="false">
      <c r="A49" s="8" t="s">
        <v>976</v>
      </c>
      <c r="B49" s="8" t="s">
        <v>259</v>
      </c>
      <c r="C49" s="30" t="n">
        <f aca="false">0</f>
        <v>0</v>
      </c>
      <c r="D49" s="30" t="n">
        <f aca="false">-$F$11</f>
        <v>-1</v>
      </c>
      <c r="E49" s="30" t="n">
        <f aca="false">-$F$11</f>
        <v>-1</v>
      </c>
      <c r="F49" s="30" t="n">
        <f aca="false">-$F$11</f>
        <v>-1</v>
      </c>
      <c r="G49" s="30" t="n">
        <f aca="false">-$F$11</f>
        <v>-1</v>
      </c>
      <c r="H49" s="30" t="n">
        <f aca="false">-$F$11</f>
        <v>-1</v>
      </c>
      <c r="I49" s="30" t="n">
        <f aca="false">-$F$11</f>
        <v>-1</v>
      </c>
      <c r="J49" s="0" t="s">
        <v>959</v>
      </c>
    </row>
    <row r="50" customFormat="false" ht="15" hidden="false" customHeight="false" outlineLevel="0" collapsed="false">
      <c r="A50" s="7" t="s">
        <v>977</v>
      </c>
      <c r="B50" s="8" t="s">
        <v>259</v>
      </c>
      <c r="C50" s="30" t="n">
        <f aca="false">0</f>
        <v>0</v>
      </c>
      <c r="D50" s="30" t="n">
        <f aca="false">D45+D47+D48+D49</f>
        <v>1.45844545986526</v>
      </c>
      <c r="E50" s="30" t="n">
        <f aca="false">E45+E47+E48+E49</f>
        <v>1.48361436906256</v>
      </c>
      <c r="F50" s="30" t="n">
        <f aca="false">F45+F47+F48+F49</f>
        <v>1.50928665644381</v>
      </c>
      <c r="G50" s="30" t="n">
        <f aca="false">G45+G47+G48+G49</f>
        <v>1.53547238957269</v>
      </c>
      <c r="H50" s="30" t="n">
        <f aca="false">H45+H47+H48+H49</f>
        <v>1.56218183736414</v>
      </c>
      <c r="I50" s="30" t="n">
        <f aca="false">I45+I47+I48+I49</f>
        <v>1.58942547411142</v>
      </c>
      <c r="J50" s="0" t="s">
        <v>959</v>
      </c>
      <c r="K50" s="0" t="s">
        <v>978</v>
      </c>
    </row>
    <row r="51" customFormat="false" ht="15" hidden="false" customHeight="false" outlineLevel="0" collapsed="false">
      <c r="A51" s="8" t="s">
        <v>979</v>
      </c>
      <c r="B51" s="8" t="s">
        <v>259</v>
      </c>
      <c r="C51" s="30" t="n">
        <f aca="false">0</f>
        <v>0</v>
      </c>
      <c r="D51" s="30" t="n">
        <f aca="false">IF(D37&lt;=$F$12,($F$19-$F$13)/$F$12,0)</f>
        <v>4.08333333333333</v>
      </c>
      <c r="E51" s="30" t="n">
        <f aca="false">IF(E37&lt;=$F$12,($F$19-$F$13)/$F$12,0)</f>
        <v>4.08333333333333</v>
      </c>
      <c r="F51" s="30" t="n">
        <f aca="false">IF(F37&lt;=$F$12,($F$19-$F$13)/$F$12,0)</f>
        <v>4.08333333333333</v>
      </c>
      <c r="G51" s="30" t="n">
        <f aca="false">IF(G37&lt;=$F$12,($F$19-$F$13)/$F$12,0)</f>
        <v>4.08333333333333</v>
      </c>
      <c r="H51" s="30" t="n">
        <f aca="false">IF(H37&lt;=$F$12,($F$19-$F$13)/$F$12,0)</f>
        <v>4.08333333333333</v>
      </c>
      <c r="I51" s="30" t="n">
        <f aca="false">IF(I37&lt;=$F$12,($F$19-$F$13)/$F$12,0)</f>
        <v>4.08333333333333</v>
      </c>
      <c r="J51" s="0" t="s">
        <v>959</v>
      </c>
      <c r="K51" s="0" t="s">
        <v>980</v>
      </c>
    </row>
    <row r="52" customFormat="false" ht="15" hidden="false" customHeight="false" outlineLevel="0" collapsed="false">
      <c r="A52" s="8" t="s">
        <v>981</v>
      </c>
      <c r="B52" s="8" t="s">
        <v>259</v>
      </c>
      <c r="C52" s="30" t="n">
        <f aca="false">0</f>
        <v>0</v>
      </c>
      <c r="D52" s="30" t="n">
        <f aca="false">D50-D51</f>
        <v>-2.62488787346808</v>
      </c>
      <c r="E52" s="30" t="n">
        <f aca="false">E50-E51</f>
        <v>-2.59971896427077</v>
      </c>
      <c r="F52" s="30" t="n">
        <f aca="false">F50-F51</f>
        <v>-2.57404667688952</v>
      </c>
      <c r="G52" s="30" t="n">
        <f aca="false">G50-G51</f>
        <v>-2.54786094376065</v>
      </c>
      <c r="H52" s="30" t="n">
        <f aca="false">H50-H51</f>
        <v>-2.52115149596919</v>
      </c>
      <c r="I52" s="30" t="n">
        <f aca="false">I50-I51</f>
        <v>-2.49390785922191</v>
      </c>
      <c r="J52" s="0" t="s">
        <v>959</v>
      </c>
      <c r="K52" s="0" t="s">
        <v>982</v>
      </c>
    </row>
    <row r="53" customFormat="false" ht="15" hidden="false" customHeight="false" outlineLevel="0" collapsed="false">
      <c r="A53" s="8" t="s">
        <v>983</v>
      </c>
      <c r="B53" s="8" t="s">
        <v>259</v>
      </c>
      <c r="C53" s="30" t="n">
        <f aca="false">0</f>
        <v>0</v>
      </c>
      <c r="D53" s="30" t="n">
        <f aca="false">D52*$C$30</f>
        <v>-0.419982059754893</v>
      </c>
      <c r="E53" s="30" t="n">
        <f aca="false">E52*$C$30</f>
        <v>-0.415955034283324</v>
      </c>
      <c r="F53" s="30" t="n">
        <f aca="false">F52*$C$30</f>
        <v>-0.411847468302324</v>
      </c>
      <c r="G53" s="30" t="n">
        <f aca="false">G52*$C$30</f>
        <v>-0.407657751001703</v>
      </c>
      <c r="H53" s="30" t="n">
        <f aca="false">H52*$C$30</f>
        <v>-0.403384239355071</v>
      </c>
      <c r="I53" s="30" t="n">
        <f aca="false">I52*$C$30</f>
        <v>-0.399025257475505</v>
      </c>
      <c r="J53" s="0" t="s">
        <v>959</v>
      </c>
      <c r="K53" s="0" t="s">
        <v>984</v>
      </c>
    </row>
    <row r="54" customFormat="false" ht="15" hidden="false" customHeight="false" outlineLevel="0" collapsed="false">
      <c r="A54" s="8" t="s">
        <v>985</v>
      </c>
      <c r="B54" s="8" t="s">
        <v>259</v>
      </c>
      <c r="C54" s="30" t="n">
        <f aca="false">0</f>
        <v>0</v>
      </c>
      <c r="D54" s="30" t="n">
        <f aca="false">D52-D53</f>
        <v>-2.20490581371319</v>
      </c>
      <c r="E54" s="30" t="n">
        <f aca="false">E52-E53</f>
        <v>-2.18376392998745</v>
      </c>
      <c r="F54" s="30" t="n">
        <f aca="false">F52-F53</f>
        <v>-2.1621992085872</v>
      </c>
      <c r="G54" s="30" t="n">
        <f aca="false">G52-G53</f>
        <v>-2.14020319275894</v>
      </c>
      <c r="H54" s="30" t="n">
        <f aca="false">H52-H53</f>
        <v>-2.11776725661412</v>
      </c>
      <c r="I54" s="30" t="n">
        <f aca="false">I52-I53</f>
        <v>-2.0948826017464</v>
      </c>
      <c r="J54" s="0" t="s">
        <v>959</v>
      </c>
      <c r="K54" s="0" t="s">
        <v>986</v>
      </c>
    </row>
    <row r="55" customFormat="false" ht="15" hidden="false" customHeight="false" outlineLevel="0" collapsed="false">
      <c r="A55" s="8" t="s">
        <v>987</v>
      </c>
      <c r="B55" s="8" t="s">
        <v>259</v>
      </c>
      <c r="C55" s="30" t="n">
        <f aca="false">0</f>
        <v>0</v>
      </c>
      <c r="D55" s="30" t="n">
        <f aca="false">IF(D37=$F$12,0,D44*$F$20/365)</f>
        <v>0</v>
      </c>
      <c r="E55" s="30" t="n">
        <f aca="false">IF(E37=$F$12,0,E44*$F$20/365)</f>
        <v>0</v>
      </c>
      <c r="F55" s="30" t="n">
        <f aca="false">IF(F37=$F$12,0,F44*$F$20/365)</f>
        <v>0</v>
      </c>
      <c r="G55" s="30" t="n">
        <f aca="false">IF(G37=$F$12,0,G44*$F$20/365)</f>
        <v>0</v>
      </c>
      <c r="H55" s="30" t="n">
        <f aca="false">IF(H37=$F$12,0,H44*$F$20/365)</f>
        <v>0</v>
      </c>
      <c r="I55" s="30" t="n">
        <f aca="false">IF(I37=$F$12,0,I44*$F$20/365)</f>
        <v>0</v>
      </c>
      <c r="J55" s="0" t="s">
        <v>959</v>
      </c>
      <c r="K55" s="0" t="s">
        <v>988</v>
      </c>
    </row>
    <row r="56" customFormat="false" ht="15" hidden="false" customHeight="false" outlineLevel="0" collapsed="false">
      <c r="A56" s="8" t="s">
        <v>989</v>
      </c>
      <c r="B56" s="8" t="s">
        <v>259</v>
      </c>
      <c r="C56" s="30" t="n">
        <f aca="false">0</f>
        <v>0</v>
      </c>
      <c r="D56" s="30" t="n">
        <f aca="false">D55-C55</f>
        <v>0</v>
      </c>
      <c r="E56" s="30" t="n">
        <f aca="false">E55-D55</f>
        <v>0</v>
      </c>
      <c r="F56" s="30" t="n">
        <f aca="false">F55-E55</f>
        <v>0</v>
      </c>
      <c r="G56" s="30" t="n">
        <f aca="false">G55-F55</f>
        <v>0</v>
      </c>
      <c r="H56" s="30" t="n">
        <f aca="false">H55-G55</f>
        <v>0</v>
      </c>
      <c r="I56" s="30" t="n">
        <f aca="false">I55-H55</f>
        <v>0</v>
      </c>
      <c r="J56" s="0" t="s">
        <v>959</v>
      </c>
      <c r="K56" s="0" t="s">
        <v>990</v>
      </c>
    </row>
    <row r="57" customFormat="false" ht="15" hidden="false" customHeight="false" outlineLevel="0" collapsed="false">
      <c r="A57" s="8" t="s">
        <v>991</v>
      </c>
      <c r="B57" s="8" t="s">
        <v>259</v>
      </c>
      <c r="C57" s="30" t="n">
        <f aca="false">-$F$19</f>
        <v>-24.5</v>
      </c>
      <c r="D57" s="30" t="n">
        <f aca="false">IF(D37=$F$12,$F$13,0)</f>
        <v>0</v>
      </c>
      <c r="E57" s="30" t="n">
        <f aca="false">IF(E37=$F$12,$F$13,0)</f>
        <v>0</v>
      </c>
      <c r="F57" s="30" t="n">
        <f aca="false">IF(F37=$F$12,$F$13,0)</f>
        <v>0</v>
      </c>
      <c r="G57" s="30" t="n">
        <f aca="false">IF(G37=$F$12,$F$13,0)</f>
        <v>0</v>
      </c>
      <c r="H57" s="30" t="n">
        <f aca="false">IF(H37=$F$12,$F$13,0)</f>
        <v>0</v>
      </c>
      <c r="I57" s="30" t="n">
        <f aca="false">IF(I37=$F$12,$F$13,0)</f>
        <v>0</v>
      </c>
      <c r="J57" s="0" t="s">
        <v>959</v>
      </c>
      <c r="K57" s="0" t="s">
        <v>992</v>
      </c>
    </row>
    <row r="58" customFormat="false" ht="15" hidden="false" customHeight="false" outlineLevel="0" collapsed="false">
      <c r="A58" s="44" t="s">
        <v>993</v>
      </c>
      <c r="B58" s="45" t="s">
        <v>259</v>
      </c>
      <c r="C58" s="62" t="n">
        <f aca="false">C54+C51-C56+C57</f>
        <v>-24.5</v>
      </c>
      <c r="D58" s="62" t="n">
        <f aca="false">D54+D51-D56+D57</f>
        <v>1.87842751962015</v>
      </c>
      <c r="E58" s="62" t="n">
        <f aca="false">E54+E51-E56+E57</f>
        <v>1.89956940334588</v>
      </c>
      <c r="F58" s="62" t="n">
        <f aca="false">F54+F51-F56+F57</f>
        <v>1.92113412474613</v>
      </c>
      <c r="G58" s="62" t="n">
        <f aca="false">G54+G51-G56+G57</f>
        <v>1.94313014057439</v>
      </c>
      <c r="H58" s="62" t="n">
        <f aca="false">H54+H51-H56+H57</f>
        <v>1.96556607671921</v>
      </c>
      <c r="I58" s="62" t="n">
        <f aca="false">I54+I51-I56+I57</f>
        <v>1.98845073158693</v>
      </c>
      <c r="J58" s="0" t="s">
        <v>959</v>
      </c>
      <c r="K58" s="0" t="s">
        <v>994</v>
      </c>
    </row>
    <row r="59" customFormat="false" ht="15" hidden="false" customHeight="false" outlineLevel="0" collapsed="false">
      <c r="A59" s="8" t="s">
        <v>995</v>
      </c>
      <c r="B59" s="8" t="s">
        <v>563</v>
      </c>
      <c r="C59" s="84" t="n">
        <f aca="false">1/(1+$F$16)^C37</f>
        <v>1</v>
      </c>
      <c r="D59" s="84" t="n">
        <f aca="false">1/(1+$F$16)^D37</f>
        <v>0.91743119266055</v>
      </c>
      <c r="E59" s="84" t="n">
        <f aca="false">1/(1+$F$16)^E37</f>
        <v>0.84167999326656</v>
      </c>
      <c r="F59" s="84" t="n">
        <f aca="false">1/(1+$F$16)^F37</f>
        <v>0.772183480061064</v>
      </c>
      <c r="G59" s="84" t="n">
        <f aca="false">1/(1+$F$16)^G37</f>
        <v>0.708425211065196</v>
      </c>
      <c r="H59" s="84" t="n">
        <f aca="false">1/(1+$F$16)^H37</f>
        <v>0.649931386298345</v>
      </c>
      <c r="I59" s="84" t="n">
        <f aca="false">1/(1+$F$16)^I37</f>
        <v>0.596267326879216</v>
      </c>
      <c r="J59" s="0" t="s">
        <v>959</v>
      </c>
      <c r="K59" s="0" t="s">
        <v>996</v>
      </c>
    </row>
    <row r="60" customFormat="false" ht="15" hidden="false" customHeight="false" outlineLevel="0" collapsed="false">
      <c r="A60" s="8" t="s">
        <v>997</v>
      </c>
      <c r="B60" s="8" t="s">
        <v>259</v>
      </c>
      <c r="C60" s="30" t="n">
        <f aca="false">C58*C59</f>
        <v>-24.5</v>
      </c>
      <c r="D60" s="30" t="n">
        <f aca="false">D58*D59</f>
        <v>1.72332799965151</v>
      </c>
      <c r="E60" s="30" t="n">
        <f aca="false">E58*E59</f>
        <v>1.59882956261753</v>
      </c>
      <c r="F60" s="30" t="n">
        <f aca="false">F58*F59</f>
        <v>1.48346803411054</v>
      </c>
      <c r="G60" s="30" t="n">
        <f aca="false">G58*G59</f>
        <v>1.37656237996356</v>
      </c>
      <c r="H60" s="30" t="n">
        <f aca="false">H58*H59</f>
        <v>1.27748308510312</v>
      </c>
      <c r="I60" s="30" t="n">
        <f aca="false">I58*I59</f>
        <v>1.18564820235436</v>
      </c>
      <c r="J60" s="0" t="s">
        <v>959</v>
      </c>
      <c r="K60" s="0" t="s">
        <v>998</v>
      </c>
    </row>
    <row r="61" customFormat="false" ht="15" hidden="false" customHeight="false" outlineLevel="0" collapsed="false">
      <c r="A61" s="8" t="s">
        <v>731</v>
      </c>
      <c r="B61" s="8" t="s">
        <v>259</v>
      </c>
      <c r="C61" s="30" t="n">
        <f aca="false">C58</f>
        <v>-24.5</v>
      </c>
      <c r="D61" s="30" t="n">
        <f aca="false">C61+D58</f>
        <v>-22.6215724803799</v>
      </c>
      <c r="E61" s="30" t="n">
        <f aca="false">D61+E58</f>
        <v>-20.722003077034</v>
      </c>
      <c r="F61" s="30" t="n">
        <f aca="false">E61+F58</f>
        <v>-18.8008689522878</v>
      </c>
      <c r="G61" s="30" t="n">
        <f aca="false">F61+G58</f>
        <v>-16.8577388117134</v>
      </c>
      <c r="H61" s="30" t="n">
        <f aca="false">G61+H58</f>
        <v>-14.8921727349942</v>
      </c>
      <c r="I61" s="30" t="n">
        <f aca="false">H61+I58</f>
        <v>-12.9037220034073</v>
      </c>
      <c r="J61" s="0" t="s">
        <v>959</v>
      </c>
      <c r="K61" s="0" t="s">
        <v>999</v>
      </c>
    </row>
    <row r="62" customFormat="false" ht="15" hidden="false" customHeight="false" outlineLevel="0" collapsed="false">
      <c r="A62" s="8" t="s">
        <v>1000</v>
      </c>
      <c r="B62" s="8" t="s">
        <v>911</v>
      </c>
      <c r="C62" s="54" t="n">
        <f aca="false">0</f>
        <v>0</v>
      </c>
      <c r="D62" s="54" t="n">
        <f aca="false">IF(AND(C61&lt;0,D61&gt;=0),C37+(-C61)/D58,0)</f>
        <v>0</v>
      </c>
      <c r="E62" s="54" t="n">
        <f aca="false">IF(AND(D61&lt;0,E61&gt;=0),D37+(-D61)/E58,0)</f>
        <v>0</v>
      </c>
      <c r="F62" s="54" t="n">
        <f aca="false">IF(AND(E61&lt;0,F61&gt;=0),E37+(-E61)/F58,0)</f>
        <v>0</v>
      </c>
      <c r="G62" s="54" t="n">
        <f aca="false">IF(AND(F61&lt;0,G61&gt;=0),F37+(-F61)/G58,0)</f>
        <v>0</v>
      </c>
      <c r="H62" s="54" t="n">
        <f aca="false">IF(AND(G61&lt;0,H61&gt;=0),G37+(-G61)/H58,0)</f>
        <v>0</v>
      </c>
      <c r="I62" s="54" t="n">
        <f aca="false">IF(AND(H61&lt;0,I61&gt;=0),H37+(-H61)/I58,0)</f>
        <v>0</v>
      </c>
      <c r="J62" s="0" t="s">
        <v>959</v>
      </c>
      <c r="K62" s="0" t="s">
        <v>1001</v>
      </c>
    </row>
    <row r="63" customFormat="false" ht="15" hidden="false" customHeight="false" outlineLevel="0" collapsed="false">
      <c r="A63" s="8" t="s">
        <v>1002</v>
      </c>
      <c r="B63" s="8" t="s">
        <v>259</v>
      </c>
      <c r="C63" s="30" t="n">
        <f aca="false">0</f>
        <v>0</v>
      </c>
      <c r="D63" s="30" t="n">
        <f aca="false">D45*(1-$C$30)-((IF(D37=$F$12,0,D44*$F$20/365))-(0))</f>
        <v>0</v>
      </c>
      <c r="E63" s="30" t="n">
        <f aca="false">E45*(1-$C$30)-((IF(E37=$F$12,0,E44*$F$20/365))-(IF(D37=$F$12,0,D44*$F$20/365)))</f>
        <v>0</v>
      </c>
      <c r="F63" s="30" t="n">
        <f aca="false">F45*(1-$C$30)-((IF(F37=$F$12,0,F44*$F$20/365))-(IF(E37=$F$12,0,E44*$F$20/365)))</f>
        <v>0</v>
      </c>
      <c r="G63" s="30" t="n">
        <f aca="false">G45*(1-$C$30)-((IF(G37=$F$12,0,G44*$F$20/365))-(IF(F37=$F$12,0,F44*$F$20/365)))</f>
        <v>0</v>
      </c>
      <c r="H63" s="30" t="n">
        <f aca="false">H45*(1-$C$30)-((IF(H37=$F$12,0,H44*$F$20/365))-(IF(G37=$F$12,0,G44*$F$20/365)))</f>
        <v>0</v>
      </c>
      <c r="I63" s="30" t="n">
        <f aca="false">I45*(1-$C$30)-((IF(I37=$F$12,0,I44*$F$20/365))-(IF(H37=$F$12,0,H44*$F$20/365)))</f>
        <v>0</v>
      </c>
      <c r="J63" s="0" t="s">
        <v>959</v>
      </c>
      <c r="K63" s="0" t="s">
        <v>1003</v>
      </c>
    </row>
    <row r="64" customFormat="false" ht="15" hidden="false" customHeight="false" outlineLevel="0" collapsed="false">
      <c r="A64" s="8" t="s">
        <v>1004</v>
      </c>
      <c r="B64" s="8" t="s">
        <v>259</v>
      </c>
      <c r="C64" s="30" t="n">
        <f aca="false">0</f>
        <v>0</v>
      </c>
      <c r="D64" s="30" t="n">
        <f aca="false">$C$33*(D40-$C$27/$C$29)*(1-$C$30)-((IF(D37=$F$12,0,$C$33*D40*$F$20/365))-(0))</f>
        <v>19.3047381251507</v>
      </c>
      <c r="E64" s="30" t="n">
        <f aca="false">$C$33*(E40-$C$27/$C$29)*(1-$C$30)-((IF(E37=$F$12,0,$C$33*E40*$F$20/365))-(IF(D37=$F$12,0,$C$33*D40*$F$20/365)))</f>
        <v>22.971184469497</v>
      </c>
      <c r="F64" s="30" t="n">
        <f aca="false">$C$33*(F40-$C$27/$C$29)*(1-$C$30)-((IF(F37=$F$12,0,$C$33*F40*$F$20/365))-(IF(E37=$F$12,0,$C$33*E40*$F$20/365)))</f>
        <v>22.333949580107</v>
      </c>
      <c r="G64" s="30" t="n">
        <f aca="false">$C$33*(G40-$C$27/$C$29)*(1-$C$30)-((IF(G37=$F$12,0,$C$33*G40*$F$20/365))-(IF(F37=$F$12,0,$C$33*F40*$F$20/365)))</f>
        <v>21.7094593885049</v>
      </c>
      <c r="H64" s="30" t="n">
        <f aca="false">$C$33*(H40-$C$27/$C$29)*(1-$C$30)-((IF(H37=$F$12,0,$C$33*H40*$F$20/365))-(IF(G37=$F$12,0,$C$33*G40*$F$20/365)))</f>
        <v>21.0974590007348</v>
      </c>
      <c r="I64" s="30" t="n">
        <f aca="false">$C$33*(I40-$C$27/$C$29)*(1-$C$30)-((IF(I37=$F$12,0,$C$33*I40*$F$20/365))-(IF(H37=$F$12,0,$C$33*H40*$F$20/365)))</f>
        <v>24.3216020486721</v>
      </c>
      <c r="J64" s="0" t="s">
        <v>959</v>
      </c>
      <c r="K64" s="0" t="s">
        <v>1005</v>
      </c>
    </row>
    <row r="65" customFormat="false" ht="15" hidden="false" customHeight="false" outlineLevel="0" collapsed="false">
      <c r="A65" s="7" t="s">
        <v>1006</v>
      </c>
      <c r="F65" s="42" t="n">
        <f aca="false">C58+NPV($F$16,D58:I58)</f>
        <v>-15.8546807361994</v>
      </c>
      <c r="J65" s="0" t="s">
        <v>247</v>
      </c>
      <c r="K65" s="0" t="s">
        <v>1007</v>
      </c>
    </row>
    <row r="66" customFormat="false" ht="15" hidden="false" customHeight="false" outlineLevel="0" collapsed="false">
      <c r="A66" s="7" t="s">
        <v>1008</v>
      </c>
      <c r="F66" s="57" t="n">
        <f aca="false">IFERROR(IRR(C58:I58),"n.m.")</f>
        <v>-0.178040688993039</v>
      </c>
      <c r="J66" s="0" t="s">
        <v>247</v>
      </c>
      <c r="K66" s="0" t="s">
        <v>1009</v>
      </c>
    </row>
    <row r="67" customFormat="false" ht="15" hidden="false" customHeight="false" outlineLevel="0" collapsed="false">
      <c r="A67" s="7" t="s">
        <v>1010</v>
      </c>
      <c r="F67" s="85" t="str">
        <f aca="false">IF(SUM(D62:I62)=0,"Not within life",SUM(D62:I62))</f>
        <v>Not within life</v>
      </c>
      <c r="J67" s="0" t="s">
        <v>247</v>
      </c>
      <c r="K67" s="0" t="s">
        <v>1011</v>
      </c>
    </row>
    <row r="68" customFormat="false" ht="15" hidden="false" customHeight="false" outlineLevel="0" collapsed="false">
      <c r="A68" s="7" t="s">
        <v>1012</v>
      </c>
      <c r="F68" s="42" t="n">
        <f aca="false">F65-SUMPRODUCT(D63:I63,D59:I59)</f>
        <v>-15.8546807361994</v>
      </c>
      <c r="J68" s="0" t="s">
        <v>247</v>
      </c>
      <c r="K68" s="0" t="s">
        <v>1013</v>
      </c>
    </row>
    <row r="69" customFormat="false" ht="15" hidden="false" customHeight="false" outlineLevel="0" collapsed="false">
      <c r="A69" s="7" t="s">
        <v>1014</v>
      </c>
      <c r="F69" s="42" t="n">
        <f aca="false">SUMPRODUCT(D64:I64,D59:I59)</f>
        <v>97.8846679861578</v>
      </c>
      <c r="J69" s="0" t="s">
        <v>247</v>
      </c>
      <c r="K69" s="0" t="s">
        <v>1015</v>
      </c>
    </row>
    <row r="70" customFormat="false" ht="15" hidden="false" customHeight="false" outlineLevel="0" collapsed="false">
      <c r="A70" s="7" t="s">
        <v>1016</v>
      </c>
      <c r="F70" s="57" t="n">
        <f aca="false">IF(F68&gt;=0,0,IFERROR(-F68/F69,"n.m."))</f>
        <v>0.16197307568578</v>
      </c>
      <c r="J70" s="0" t="s">
        <v>247</v>
      </c>
      <c r="K70" s="0" t="s">
        <v>1017</v>
      </c>
    </row>
    <row r="71" customFormat="false" ht="15" hidden="false" customHeight="false" outlineLevel="0" collapsed="false">
      <c r="A71" s="7" t="s">
        <v>1018</v>
      </c>
      <c r="F71" s="57" t="n">
        <f aca="false">IFERROR(SUM(D43:I43)/($C$33*$F$12),0)</f>
        <v>0</v>
      </c>
      <c r="J71" s="0" t="s">
        <v>247</v>
      </c>
      <c r="K71" s="0" t="s">
        <v>1019</v>
      </c>
    </row>
    <row r="73" customFormat="false" ht="15" hidden="false" customHeight="false" outlineLevel="0" collapsed="false">
      <c r="A73" s="16" t="s">
        <v>1020</v>
      </c>
      <c r="B73" s="17"/>
      <c r="C73" s="17"/>
      <c r="D73" s="17"/>
      <c r="E73" s="17"/>
      <c r="F73" s="17"/>
      <c r="G73" s="17"/>
      <c r="H73" s="17"/>
      <c r="I73" s="17"/>
      <c r="J73" s="17"/>
      <c r="K73" s="17"/>
    </row>
    <row r="74" customFormat="false" ht="15" hidden="false" customHeight="false" outlineLevel="0" collapsed="false">
      <c r="A74" s="18" t="s">
        <v>787</v>
      </c>
      <c r="B74" s="19" t="s">
        <v>220</v>
      </c>
      <c r="C74" s="19" t="s">
        <v>950</v>
      </c>
      <c r="D74" s="19" t="s">
        <v>951</v>
      </c>
      <c r="E74" s="19" t="s">
        <v>952</v>
      </c>
      <c r="F74" s="19" t="s">
        <v>953</v>
      </c>
      <c r="G74" s="19" t="s">
        <v>954</v>
      </c>
      <c r="H74" s="19" t="s">
        <v>955</v>
      </c>
      <c r="I74" s="19" t="s">
        <v>956</v>
      </c>
      <c r="J74" s="19" t="s">
        <v>99</v>
      </c>
      <c r="K74" s="19" t="s">
        <v>599</v>
      </c>
    </row>
    <row r="75" customFormat="false" ht="15" hidden="false" customHeight="false" outlineLevel="0" collapsed="false">
      <c r="A75" s="8" t="s">
        <v>957</v>
      </c>
      <c r="B75" s="8" t="s">
        <v>958</v>
      </c>
      <c r="C75" s="81" t="n">
        <f aca="false">0</f>
        <v>0</v>
      </c>
      <c r="D75" s="81" t="n">
        <f aca="false">1</f>
        <v>1</v>
      </c>
      <c r="E75" s="81" t="n">
        <f aca="false">2</f>
        <v>2</v>
      </c>
      <c r="F75" s="81" t="n">
        <f aca="false">3</f>
        <v>3</v>
      </c>
      <c r="G75" s="81" t="n">
        <f aca="false">4</f>
        <v>4</v>
      </c>
      <c r="H75" s="81" t="n">
        <f aca="false">5</f>
        <v>5</v>
      </c>
      <c r="I75" s="81" t="n">
        <f aca="false">6</f>
        <v>6</v>
      </c>
      <c r="J75" s="0" t="s">
        <v>959</v>
      </c>
    </row>
    <row r="76" customFormat="false" ht="15" hidden="false" customHeight="false" outlineLevel="0" collapsed="false">
      <c r="A76" s="8" t="s">
        <v>960</v>
      </c>
      <c r="B76" s="8"/>
      <c r="C76" s="82" t="str">
        <f aca="false">"FY"&amp;(2026+C75)</f>
        <v>FY2026</v>
      </c>
      <c r="D76" s="82" t="str">
        <f aca="false">"FY"&amp;(2026+D75)</f>
        <v>FY2027</v>
      </c>
      <c r="E76" s="82" t="str">
        <f aca="false">"FY"&amp;(2026+E75)</f>
        <v>FY2028</v>
      </c>
      <c r="F76" s="82" t="str">
        <f aca="false">"FY"&amp;(2026+F75)</f>
        <v>FY2029</v>
      </c>
      <c r="G76" s="82" t="str">
        <f aca="false">"FY"&amp;(2026+G75)</f>
        <v>FY2030</v>
      </c>
      <c r="H76" s="82" t="str">
        <f aca="false">"FY"&amp;(2026+H75)</f>
        <v>FY2031</v>
      </c>
      <c r="I76" s="82" t="str">
        <f aca="false">"FY"&amp;(2026+I75)</f>
        <v>FY2032</v>
      </c>
      <c r="J76" s="0" t="s">
        <v>959</v>
      </c>
    </row>
    <row r="77" customFormat="false" ht="15" hidden="false" customHeight="false" outlineLevel="0" collapsed="false">
      <c r="A77" s="8" t="s">
        <v>961</v>
      </c>
      <c r="B77" s="8" t="s">
        <v>300</v>
      </c>
      <c r="C77" s="72" t="n">
        <f aca="false">0</f>
        <v>0</v>
      </c>
      <c r="D77" s="72" t="n">
        <f aca="false">$D$25*(1+$D$24)^D75</f>
        <v>874.798509249835</v>
      </c>
      <c r="E77" s="72" t="n">
        <f aca="false">$D$25*(1+$D$24)^E75</f>
        <v>936.034404897324</v>
      </c>
      <c r="F77" s="72" t="n">
        <f aca="false">$D$25*(1+$D$24)^F75</f>
        <v>1001.55681324014</v>
      </c>
      <c r="G77" s="72" t="n">
        <f aca="false">$D$25*(1+$D$24)^G75</f>
        <v>1071.66579016695</v>
      </c>
      <c r="H77" s="72" t="n">
        <f aca="false">$D$25*(1+$D$24)^H75</f>
        <v>1146.68239547863</v>
      </c>
      <c r="I77" s="72" t="n">
        <f aca="false">$D$25*(1+$D$24)^I75</f>
        <v>1226.95016316214</v>
      </c>
      <c r="J77" s="0" t="s">
        <v>959</v>
      </c>
    </row>
    <row r="78" customFormat="false" ht="15" hidden="false" customHeight="false" outlineLevel="0" collapsed="false">
      <c r="A78" s="8" t="s">
        <v>962</v>
      </c>
      <c r="B78" s="8" t="s">
        <v>281</v>
      </c>
      <c r="C78" s="83" t="n">
        <f aca="false">0</f>
        <v>0</v>
      </c>
      <c r="D78" s="83" t="n">
        <f aca="false">$D$26*(1-$F$15)^D75</f>
        <v>0.58212</v>
      </c>
      <c r="E78" s="83" t="n">
        <f aca="false">$D$26*(1-$F$15)^E75</f>
        <v>0.5704776</v>
      </c>
      <c r="F78" s="83" t="n">
        <f aca="false">$D$26*(1-$F$15)^F75</f>
        <v>0.559068048</v>
      </c>
      <c r="G78" s="83" t="n">
        <f aca="false">$D$26*(1-$F$15)^G75</f>
        <v>0.54788668704</v>
      </c>
      <c r="H78" s="83" t="n">
        <f aca="false">$D$26*(1-$F$15)^H75</f>
        <v>0.5369289532992</v>
      </c>
      <c r="I78" s="83" t="n">
        <f aca="false">$D$26*(1-$F$15)^I75</f>
        <v>0.526190374233216</v>
      </c>
      <c r="J78" s="0" t="s">
        <v>959</v>
      </c>
    </row>
    <row r="79" customFormat="false" ht="15" hidden="false" customHeight="false" outlineLevel="0" collapsed="false">
      <c r="A79" s="8" t="s">
        <v>963</v>
      </c>
      <c r="B79" s="8" t="s">
        <v>300</v>
      </c>
      <c r="C79" s="72" t="n">
        <f aca="false">0</f>
        <v>0</v>
      </c>
      <c r="D79" s="72" t="n">
        <f aca="false">MIN(D77,$D$31)</f>
        <v>874.798509249835</v>
      </c>
      <c r="E79" s="72" t="n">
        <f aca="false">MIN(E77,$D$31)</f>
        <v>902.88</v>
      </c>
      <c r="F79" s="72" t="n">
        <f aca="false">MIN(F77,$D$31)</f>
        <v>902.88</v>
      </c>
      <c r="G79" s="72" t="n">
        <f aca="false">MIN(G77,$D$31)</f>
        <v>902.88</v>
      </c>
      <c r="H79" s="72" t="n">
        <f aca="false">MIN(H77,$D$31)</f>
        <v>902.88</v>
      </c>
      <c r="I79" s="72" t="n">
        <f aca="false">MIN(I77,$D$31)</f>
        <v>902.88</v>
      </c>
      <c r="J79" s="0" t="s">
        <v>959</v>
      </c>
      <c r="K79" s="0" t="s">
        <v>964</v>
      </c>
    </row>
    <row r="80" customFormat="false" ht="15" hidden="false" customHeight="false" outlineLevel="0" collapsed="false">
      <c r="A80" s="8" t="s">
        <v>965</v>
      </c>
      <c r="B80" s="8" t="s">
        <v>300</v>
      </c>
      <c r="C80" s="72" t="n">
        <f aca="false">0</f>
        <v>0</v>
      </c>
      <c r="D80" s="72" t="n">
        <f aca="false">MIN(D77,$D$32)</f>
        <v>874.798509249835</v>
      </c>
      <c r="E80" s="72" t="n">
        <f aca="false">MIN(E77,$D$32)</f>
        <v>936.034404897324</v>
      </c>
      <c r="F80" s="72" t="n">
        <f aca="false">MIN(F77,$D$32)</f>
        <v>974.592</v>
      </c>
      <c r="G80" s="72" t="n">
        <f aca="false">MIN(G77,$D$32)</f>
        <v>974.592</v>
      </c>
      <c r="H80" s="72" t="n">
        <f aca="false">MIN(H77,$D$32)</f>
        <v>974.592</v>
      </c>
      <c r="I80" s="72" t="n">
        <f aca="false">MIN(I77,$D$32)</f>
        <v>974.592</v>
      </c>
      <c r="J80" s="0" t="s">
        <v>959</v>
      </c>
      <c r="K80" s="0" t="s">
        <v>966</v>
      </c>
    </row>
    <row r="81" customFormat="false" ht="15" hidden="false" customHeight="false" outlineLevel="0" collapsed="false">
      <c r="A81" s="8" t="s">
        <v>967</v>
      </c>
      <c r="B81" s="8" t="s">
        <v>300</v>
      </c>
      <c r="C81" s="72" t="n">
        <f aca="false">0</f>
        <v>0</v>
      </c>
      <c r="D81" s="72" t="n">
        <f aca="false">D80-D79</f>
        <v>0</v>
      </c>
      <c r="E81" s="72" t="n">
        <f aca="false">E80-E79</f>
        <v>33.154404897324</v>
      </c>
      <c r="F81" s="72" t="n">
        <f aca="false">F80-F79</f>
        <v>71.7120000000001</v>
      </c>
      <c r="G81" s="72" t="n">
        <f aca="false">G80-G79</f>
        <v>71.7120000000001</v>
      </c>
      <c r="H81" s="72" t="n">
        <f aca="false">H80-H79</f>
        <v>71.7120000000001</v>
      </c>
      <c r="I81" s="72" t="n">
        <f aca="false">I80-I79</f>
        <v>71.7120000000001</v>
      </c>
      <c r="J81" s="0" t="s">
        <v>959</v>
      </c>
    </row>
    <row r="82" customFormat="false" ht="15" hidden="false" customHeight="false" outlineLevel="0" collapsed="false">
      <c r="A82" s="8" t="s">
        <v>968</v>
      </c>
      <c r="B82" s="8" t="s">
        <v>259</v>
      </c>
      <c r="C82" s="30" t="n">
        <f aca="false">0</f>
        <v>0</v>
      </c>
      <c r="D82" s="30" t="n">
        <f aca="false">D81*D78</f>
        <v>0</v>
      </c>
      <c r="E82" s="30" t="n">
        <f aca="false">E81*E78</f>
        <v>18.9138453352536</v>
      </c>
      <c r="F82" s="30" t="n">
        <f aca="false">F81*F78</f>
        <v>40.0918878581761</v>
      </c>
      <c r="G82" s="30" t="n">
        <f aca="false">G81*G78</f>
        <v>39.2900501010125</v>
      </c>
      <c r="H82" s="30" t="n">
        <f aca="false">H81*H78</f>
        <v>38.5042490989923</v>
      </c>
      <c r="I82" s="30" t="n">
        <f aca="false">I81*I78</f>
        <v>37.7341641170124</v>
      </c>
      <c r="J82" s="0" t="s">
        <v>959</v>
      </c>
      <c r="K82" s="0" t="s">
        <v>969</v>
      </c>
    </row>
    <row r="83" customFormat="false" ht="15" hidden="false" customHeight="false" outlineLevel="0" collapsed="false">
      <c r="A83" s="8" t="s">
        <v>970</v>
      </c>
      <c r="B83" s="8" t="s">
        <v>259</v>
      </c>
      <c r="C83" s="30" t="n">
        <f aca="false">0</f>
        <v>0</v>
      </c>
      <c r="D83" s="30" t="n">
        <f aca="false">D81*(D78-$D$27/$D$29)</f>
        <v>0</v>
      </c>
      <c r="E83" s="30" t="n">
        <f aca="false">E81*(E78-$D$27/$D$29)</f>
        <v>13.9337774329681</v>
      </c>
      <c r="F83" s="30" t="n">
        <f aca="false">F81*(F78-$D$27/$D$29)</f>
        <v>29.320147858176</v>
      </c>
      <c r="G83" s="30" t="n">
        <f aca="false">G81*(G78-$D$27/$D$29)</f>
        <v>28.5183101010125</v>
      </c>
      <c r="H83" s="30" t="n">
        <f aca="false">H81*(H78-$D$27/$D$29)</f>
        <v>27.7325090989923</v>
      </c>
      <c r="I83" s="30" t="n">
        <f aca="false">I81*(I78-$D$27/$D$29)</f>
        <v>26.9624241170124</v>
      </c>
      <c r="J83" s="0" t="s">
        <v>959</v>
      </c>
      <c r="K83" s="0" t="s">
        <v>971</v>
      </c>
    </row>
    <row r="84" customFormat="false" ht="15" hidden="false" customHeight="false" outlineLevel="0" collapsed="false">
      <c r="A84" s="8" t="s">
        <v>972</v>
      </c>
      <c r="B84" s="8" t="s">
        <v>300</v>
      </c>
      <c r="C84" s="72" t="n">
        <f aca="false">0</f>
        <v>0</v>
      </c>
      <c r="D84" s="72" t="n">
        <f aca="false">D79*(1/$D$28-1/$D$29)</f>
        <v>9.59208891721299</v>
      </c>
      <c r="E84" s="72" t="n">
        <f aca="false">E79*(1/$D$28-1/$D$29)</f>
        <v>9.89999999999988</v>
      </c>
      <c r="F84" s="72" t="n">
        <f aca="false">F79*(1/$D$28-1/$D$29)</f>
        <v>9.89999999999988</v>
      </c>
      <c r="G84" s="72" t="n">
        <f aca="false">G79*(1/$D$28-1/$D$29)</f>
        <v>9.89999999999988</v>
      </c>
      <c r="H84" s="72" t="n">
        <f aca="false">H79*(1/$D$28-1/$D$29)</f>
        <v>9.89999999999988</v>
      </c>
      <c r="I84" s="72" t="n">
        <f aca="false">I79*(1/$D$28-1/$D$29)</f>
        <v>9.89999999999988</v>
      </c>
      <c r="J84" s="0" t="s">
        <v>959</v>
      </c>
      <c r="K84" s="0" t="s">
        <v>973</v>
      </c>
    </row>
    <row r="85" customFormat="false" ht="15" hidden="false" customHeight="false" outlineLevel="0" collapsed="false">
      <c r="A85" s="8" t="s">
        <v>974</v>
      </c>
      <c r="B85" s="8" t="s">
        <v>259</v>
      </c>
      <c r="C85" s="30" t="n">
        <f aca="false">0</f>
        <v>0</v>
      </c>
      <c r="D85" s="30" t="n">
        <f aca="false">D84*$D$27</f>
        <v>1.38317922186211</v>
      </c>
      <c r="E85" s="30" t="n">
        <f aca="false">E84*$D$27</f>
        <v>1.42757999999998</v>
      </c>
      <c r="F85" s="30" t="n">
        <f aca="false">F84*$D$27</f>
        <v>1.42757999999998</v>
      </c>
      <c r="G85" s="30" t="n">
        <f aca="false">G84*$D$27</f>
        <v>1.42757999999998</v>
      </c>
      <c r="H85" s="30" t="n">
        <f aca="false">H84*$D$27</f>
        <v>1.42757999999998</v>
      </c>
      <c r="I85" s="30" t="n">
        <f aca="false">I84*$D$27</f>
        <v>1.42757999999998</v>
      </c>
      <c r="J85" s="0" t="s">
        <v>959</v>
      </c>
      <c r="K85" s="0" t="s">
        <v>975</v>
      </c>
    </row>
    <row r="86" customFormat="false" ht="15" hidden="false" customHeight="false" outlineLevel="0" collapsed="false">
      <c r="A86" s="8" t="s">
        <v>905</v>
      </c>
      <c r="B86" s="8" t="s">
        <v>259</v>
      </c>
      <c r="C86" s="30" t="n">
        <f aca="false">0</f>
        <v>0</v>
      </c>
      <c r="D86" s="30" t="n">
        <f aca="false">$F$10</f>
        <v>1.2</v>
      </c>
      <c r="E86" s="30" t="n">
        <f aca="false">$F$10</f>
        <v>1.2</v>
      </c>
      <c r="F86" s="30" t="n">
        <f aca="false">$F$10</f>
        <v>1.2</v>
      </c>
      <c r="G86" s="30" t="n">
        <f aca="false">$F$10</f>
        <v>1.2</v>
      </c>
      <c r="H86" s="30" t="n">
        <f aca="false">$F$10</f>
        <v>1.2</v>
      </c>
      <c r="I86" s="30" t="n">
        <f aca="false">$F$10</f>
        <v>1.2</v>
      </c>
      <c r="J86" s="0" t="s">
        <v>959</v>
      </c>
    </row>
    <row r="87" customFormat="false" ht="15" hidden="false" customHeight="false" outlineLevel="0" collapsed="false">
      <c r="A87" s="8" t="s">
        <v>976</v>
      </c>
      <c r="B87" s="8" t="s">
        <v>259</v>
      </c>
      <c r="C87" s="30" t="n">
        <f aca="false">0</f>
        <v>0</v>
      </c>
      <c r="D87" s="30" t="n">
        <f aca="false">-$F$11</f>
        <v>-1</v>
      </c>
      <c r="E87" s="30" t="n">
        <f aca="false">-$F$11</f>
        <v>-1</v>
      </c>
      <c r="F87" s="30" t="n">
        <f aca="false">-$F$11</f>
        <v>-1</v>
      </c>
      <c r="G87" s="30" t="n">
        <f aca="false">-$F$11</f>
        <v>-1</v>
      </c>
      <c r="H87" s="30" t="n">
        <f aca="false">-$F$11</f>
        <v>-1</v>
      </c>
      <c r="I87" s="30" t="n">
        <f aca="false">-$F$11</f>
        <v>-1</v>
      </c>
      <c r="J87" s="0" t="s">
        <v>959</v>
      </c>
    </row>
    <row r="88" customFormat="false" ht="15" hidden="false" customHeight="false" outlineLevel="0" collapsed="false">
      <c r="A88" s="7" t="s">
        <v>977</v>
      </c>
      <c r="B88" s="8" t="s">
        <v>259</v>
      </c>
      <c r="C88" s="30" t="n">
        <f aca="false">0</f>
        <v>0</v>
      </c>
      <c r="D88" s="30" t="n">
        <f aca="false">D83+D85+D86+D87</f>
        <v>1.58317922186211</v>
      </c>
      <c r="E88" s="30" t="n">
        <f aca="false">E83+E85+E86+E87</f>
        <v>15.5613574329681</v>
      </c>
      <c r="F88" s="30" t="n">
        <f aca="false">F83+F85+F86+F87</f>
        <v>30.947727858176</v>
      </c>
      <c r="G88" s="30" t="n">
        <f aca="false">G83+G85+G86+G87</f>
        <v>30.1458901010125</v>
      </c>
      <c r="H88" s="30" t="n">
        <f aca="false">H83+H85+H86+H87</f>
        <v>29.3600890989922</v>
      </c>
      <c r="I88" s="30" t="n">
        <f aca="false">I83+I85+I86+I87</f>
        <v>28.5900041170124</v>
      </c>
      <c r="J88" s="0" t="s">
        <v>959</v>
      </c>
      <c r="K88" s="0" t="s">
        <v>978</v>
      </c>
    </row>
    <row r="89" customFormat="false" ht="15" hidden="false" customHeight="false" outlineLevel="0" collapsed="false">
      <c r="A89" s="8" t="s">
        <v>979</v>
      </c>
      <c r="B89" s="8" t="s">
        <v>259</v>
      </c>
      <c r="C89" s="30" t="n">
        <f aca="false">0</f>
        <v>0</v>
      </c>
      <c r="D89" s="30" t="n">
        <f aca="false">IF(D75&lt;=$F$12,($F$19-$F$13)/$F$12,0)</f>
        <v>4.08333333333333</v>
      </c>
      <c r="E89" s="30" t="n">
        <f aca="false">IF(E75&lt;=$F$12,($F$19-$F$13)/$F$12,0)</f>
        <v>4.08333333333333</v>
      </c>
      <c r="F89" s="30" t="n">
        <f aca="false">IF(F75&lt;=$F$12,($F$19-$F$13)/$F$12,0)</f>
        <v>4.08333333333333</v>
      </c>
      <c r="G89" s="30" t="n">
        <f aca="false">IF(G75&lt;=$F$12,($F$19-$F$13)/$F$12,0)</f>
        <v>4.08333333333333</v>
      </c>
      <c r="H89" s="30" t="n">
        <f aca="false">IF(H75&lt;=$F$12,($F$19-$F$13)/$F$12,0)</f>
        <v>4.08333333333333</v>
      </c>
      <c r="I89" s="30" t="n">
        <f aca="false">IF(I75&lt;=$F$12,($F$19-$F$13)/$F$12,0)</f>
        <v>4.08333333333333</v>
      </c>
      <c r="J89" s="0" t="s">
        <v>959</v>
      </c>
      <c r="K89" s="0" t="s">
        <v>980</v>
      </c>
    </row>
    <row r="90" customFormat="false" ht="15" hidden="false" customHeight="false" outlineLevel="0" collapsed="false">
      <c r="A90" s="8" t="s">
        <v>981</v>
      </c>
      <c r="B90" s="8" t="s">
        <v>259</v>
      </c>
      <c r="C90" s="30" t="n">
        <f aca="false">0</f>
        <v>0</v>
      </c>
      <c r="D90" s="30" t="n">
        <f aca="false">D88-D89</f>
        <v>-2.50015411147122</v>
      </c>
      <c r="E90" s="30" t="n">
        <f aca="false">E88-E89</f>
        <v>11.4780240996347</v>
      </c>
      <c r="F90" s="30" t="n">
        <f aca="false">F88-F89</f>
        <v>26.8643945248427</v>
      </c>
      <c r="G90" s="30" t="n">
        <f aca="false">G88-G89</f>
        <v>26.0625567676792</v>
      </c>
      <c r="H90" s="30" t="n">
        <f aca="false">H88-H89</f>
        <v>25.2767557656589</v>
      </c>
      <c r="I90" s="30" t="n">
        <f aca="false">I88-I89</f>
        <v>24.5066707836791</v>
      </c>
      <c r="J90" s="0" t="s">
        <v>959</v>
      </c>
      <c r="K90" s="0" t="s">
        <v>982</v>
      </c>
    </row>
    <row r="91" customFormat="false" ht="15" hidden="false" customHeight="false" outlineLevel="0" collapsed="false">
      <c r="A91" s="8" t="s">
        <v>983</v>
      </c>
      <c r="B91" s="8" t="s">
        <v>259</v>
      </c>
      <c r="C91" s="30" t="n">
        <f aca="false">0</f>
        <v>0</v>
      </c>
      <c r="D91" s="30" t="n">
        <f aca="false">D90*$D$30</f>
        <v>-0.325020034491259</v>
      </c>
      <c r="E91" s="30" t="n">
        <f aca="false">E90*$D$30</f>
        <v>1.49214313295251</v>
      </c>
      <c r="F91" s="30" t="n">
        <f aca="false">F90*$D$30</f>
        <v>3.49237128822955</v>
      </c>
      <c r="G91" s="30" t="n">
        <f aca="false">G90*$D$30</f>
        <v>3.38813237979829</v>
      </c>
      <c r="H91" s="30" t="n">
        <f aca="false">H90*$D$30</f>
        <v>3.28597824953566</v>
      </c>
      <c r="I91" s="30" t="n">
        <f aca="false">I90*$D$30</f>
        <v>3.18586720187828</v>
      </c>
      <c r="J91" s="0" t="s">
        <v>959</v>
      </c>
      <c r="K91" s="0" t="s">
        <v>984</v>
      </c>
    </row>
    <row r="92" customFormat="false" ht="15" hidden="false" customHeight="false" outlineLevel="0" collapsed="false">
      <c r="A92" s="8" t="s">
        <v>985</v>
      </c>
      <c r="B92" s="8" t="s">
        <v>259</v>
      </c>
      <c r="C92" s="30" t="n">
        <f aca="false">0</f>
        <v>0</v>
      </c>
      <c r="D92" s="30" t="n">
        <f aca="false">D90-D91</f>
        <v>-2.17513407697996</v>
      </c>
      <c r="E92" s="30" t="n">
        <f aca="false">E90-E91</f>
        <v>9.98588096668221</v>
      </c>
      <c r="F92" s="30" t="n">
        <f aca="false">F90-F91</f>
        <v>23.3720232366131</v>
      </c>
      <c r="G92" s="30" t="n">
        <f aca="false">G90-G91</f>
        <v>22.6744243878809</v>
      </c>
      <c r="H92" s="30" t="n">
        <f aca="false">H90-H91</f>
        <v>21.9907775161233</v>
      </c>
      <c r="I92" s="30" t="n">
        <f aca="false">I90-I91</f>
        <v>21.3208035818008</v>
      </c>
      <c r="J92" s="0" t="s">
        <v>959</v>
      </c>
      <c r="K92" s="0" t="s">
        <v>986</v>
      </c>
    </row>
    <row r="93" customFormat="false" ht="15" hidden="false" customHeight="false" outlineLevel="0" collapsed="false">
      <c r="A93" s="8" t="s">
        <v>987</v>
      </c>
      <c r="B93" s="8" t="s">
        <v>259</v>
      </c>
      <c r="C93" s="30" t="n">
        <f aca="false">0</f>
        <v>0</v>
      </c>
      <c r="D93" s="30" t="n">
        <f aca="false">IF(D75=$F$12,0,D82*$F$20/365)</f>
        <v>0</v>
      </c>
      <c r="E93" s="30" t="n">
        <f aca="false">IF(E75=$F$12,0,E82*$F$20/365)</f>
        <v>2.07275017372642</v>
      </c>
      <c r="F93" s="30" t="n">
        <f aca="false">IF(F75=$F$12,0,F82*$F$20/365)</f>
        <v>4.39363154610149</v>
      </c>
      <c r="G93" s="30" t="n">
        <f aca="false">IF(G75=$F$12,0,G82*$F$20/365)</f>
        <v>4.30575891517946</v>
      </c>
      <c r="H93" s="30" t="n">
        <f aca="false">IF(H75=$F$12,0,H82*$F$20/365)</f>
        <v>4.21964373687587</v>
      </c>
      <c r="I93" s="30" t="n">
        <f aca="false">IF(I75=$F$12,0,I82*$F$20/365)</f>
        <v>0</v>
      </c>
      <c r="J93" s="0" t="s">
        <v>959</v>
      </c>
      <c r="K93" s="0" t="s">
        <v>988</v>
      </c>
    </row>
    <row r="94" customFormat="false" ht="15" hidden="false" customHeight="false" outlineLevel="0" collapsed="false">
      <c r="A94" s="8" t="s">
        <v>989</v>
      </c>
      <c r="B94" s="8" t="s">
        <v>259</v>
      </c>
      <c r="C94" s="30" t="n">
        <f aca="false">0</f>
        <v>0</v>
      </c>
      <c r="D94" s="30" t="n">
        <f aca="false">D93-C93</f>
        <v>0</v>
      </c>
      <c r="E94" s="30" t="n">
        <f aca="false">E93-D93</f>
        <v>2.07275017372642</v>
      </c>
      <c r="F94" s="30" t="n">
        <f aca="false">F93-E93</f>
        <v>2.32088137237506</v>
      </c>
      <c r="G94" s="30" t="n">
        <f aca="false">G93-F93</f>
        <v>-0.0878726309220301</v>
      </c>
      <c r="H94" s="30" t="n">
        <f aca="false">H93-G93</f>
        <v>-0.0861151783035883</v>
      </c>
      <c r="I94" s="30" t="n">
        <f aca="false">I93-H93</f>
        <v>-4.21964373687587</v>
      </c>
      <c r="J94" s="0" t="s">
        <v>959</v>
      </c>
      <c r="K94" s="0" t="s">
        <v>990</v>
      </c>
    </row>
    <row r="95" customFormat="false" ht="15" hidden="false" customHeight="false" outlineLevel="0" collapsed="false">
      <c r="A95" s="8" t="s">
        <v>991</v>
      </c>
      <c r="B95" s="8" t="s">
        <v>259</v>
      </c>
      <c r="C95" s="30" t="n">
        <f aca="false">-$F$19</f>
        <v>-24.5</v>
      </c>
      <c r="D95" s="30" t="n">
        <f aca="false">IF(D75=$F$12,$F$13,0)</f>
        <v>0</v>
      </c>
      <c r="E95" s="30" t="n">
        <f aca="false">IF(E75=$F$12,$F$13,0)</f>
        <v>0</v>
      </c>
      <c r="F95" s="30" t="n">
        <f aca="false">IF(F75=$F$12,$F$13,0)</f>
        <v>0</v>
      </c>
      <c r="G95" s="30" t="n">
        <f aca="false">IF(G75=$F$12,$F$13,0)</f>
        <v>0</v>
      </c>
      <c r="H95" s="30" t="n">
        <f aca="false">IF(H75=$F$12,$F$13,0)</f>
        <v>0</v>
      </c>
      <c r="I95" s="30" t="n">
        <f aca="false">IF(I75=$F$12,$F$13,0)</f>
        <v>0</v>
      </c>
      <c r="J95" s="0" t="s">
        <v>959</v>
      </c>
      <c r="K95" s="0" t="s">
        <v>992</v>
      </c>
    </row>
    <row r="96" customFormat="false" ht="15" hidden="false" customHeight="false" outlineLevel="0" collapsed="false">
      <c r="A96" s="44" t="s">
        <v>993</v>
      </c>
      <c r="B96" s="45" t="s">
        <v>259</v>
      </c>
      <c r="C96" s="62" t="n">
        <f aca="false">C92+C89-C94+C95</f>
        <v>-24.5</v>
      </c>
      <c r="D96" s="62" t="n">
        <f aca="false">D92+D89-D94+D95</f>
        <v>1.90819925635337</v>
      </c>
      <c r="E96" s="62" t="n">
        <f aca="false">E92+E89-E94+E95</f>
        <v>11.9964641262891</v>
      </c>
      <c r="F96" s="62" t="n">
        <f aca="false">F92+F89-F94+F95</f>
        <v>25.1344751975714</v>
      </c>
      <c r="G96" s="62" t="n">
        <f aca="false">G92+G89-G94+G95</f>
        <v>26.8456303521362</v>
      </c>
      <c r="H96" s="62" t="n">
        <f aca="false">H92+H89-H94+H95</f>
        <v>26.1602260277602</v>
      </c>
      <c r="I96" s="62" t="n">
        <f aca="false">I92+I89-I94+I95</f>
        <v>29.62378065201</v>
      </c>
      <c r="J96" s="0" t="s">
        <v>959</v>
      </c>
      <c r="K96" s="0" t="s">
        <v>994</v>
      </c>
    </row>
    <row r="97" customFormat="false" ht="15" hidden="false" customHeight="false" outlineLevel="0" collapsed="false">
      <c r="A97" s="8" t="s">
        <v>995</v>
      </c>
      <c r="B97" s="8" t="s">
        <v>563</v>
      </c>
      <c r="C97" s="84" t="n">
        <f aca="false">1/(1+$F$16)^C75</f>
        <v>1</v>
      </c>
      <c r="D97" s="84" t="n">
        <f aca="false">1/(1+$F$16)^D75</f>
        <v>0.91743119266055</v>
      </c>
      <c r="E97" s="84" t="n">
        <f aca="false">1/(1+$F$16)^E75</f>
        <v>0.84167999326656</v>
      </c>
      <c r="F97" s="84" t="n">
        <f aca="false">1/(1+$F$16)^F75</f>
        <v>0.772183480061064</v>
      </c>
      <c r="G97" s="84" t="n">
        <f aca="false">1/(1+$F$16)^G75</f>
        <v>0.708425211065196</v>
      </c>
      <c r="H97" s="84" t="n">
        <f aca="false">1/(1+$F$16)^H75</f>
        <v>0.649931386298345</v>
      </c>
      <c r="I97" s="84" t="n">
        <f aca="false">1/(1+$F$16)^I75</f>
        <v>0.596267326879216</v>
      </c>
      <c r="J97" s="0" t="s">
        <v>959</v>
      </c>
      <c r="K97" s="0" t="s">
        <v>996</v>
      </c>
    </row>
    <row r="98" customFormat="false" ht="15" hidden="false" customHeight="false" outlineLevel="0" collapsed="false">
      <c r="A98" s="8" t="s">
        <v>997</v>
      </c>
      <c r="B98" s="8" t="s">
        <v>259</v>
      </c>
      <c r="C98" s="30" t="n">
        <f aca="false">C96*C97</f>
        <v>-24.5</v>
      </c>
      <c r="D98" s="30" t="n">
        <f aca="false">D96*D97</f>
        <v>1.75064151959025</v>
      </c>
      <c r="E98" s="30" t="n">
        <f aca="false">E96*E97</f>
        <v>10.0971838450376</v>
      </c>
      <c r="F98" s="30" t="n">
        <f aca="false">F96*F97</f>
        <v>19.4084265275692</v>
      </c>
      <c r="G98" s="30" t="n">
        <f aca="false">G96*G97</f>
        <v>19.0181213483903</v>
      </c>
      <c r="H98" s="30" t="n">
        <f aca="false">H96*H97</f>
        <v>17.0023519681002</v>
      </c>
      <c r="I98" s="30" t="n">
        <f aca="false">I96*I97</f>
        <v>17.6636925014302</v>
      </c>
      <c r="J98" s="0" t="s">
        <v>959</v>
      </c>
      <c r="K98" s="0" t="s">
        <v>998</v>
      </c>
    </row>
    <row r="99" customFormat="false" ht="15" hidden="false" customHeight="false" outlineLevel="0" collapsed="false">
      <c r="A99" s="8" t="s">
        <v>731</v>
      </c>
      <c r="B99" s="8" t="s">
        <v>259</v>
      </c>
      <c r="C99" s="30" t="n">
        <f aca="false">C96</f>
        <v>-24.5</v>
      </c>
      <c r="D99" s="30" t="n">
        <f aca="false">C99+D96</f>
        <v>-22.5918007436466</v>
      </c>
      <c r="E99" s="30" t="n">
        <f aca="false">D99+E96</f>
        <v>-10.5953366173575</v>
      </c>
      <c r="F99" s="30" t="n">
        <f aca="false">E99+F96</f>
        <v>14.5391385802139</v>
      </c>
      <c r="G99" s="30" t="n">
        <f aca="false">F99+G96</f>
        <v>41.3847689323501</v>
      </c>
      <c r="H99" s="30" t="n">
        <f aca="false">G99+H96</f>
        <v>67.5449949601103</v>
      </c>
      <c r="I99" s="30" t="n">
        <f aca="false">H99+I96</f>
        <v>97.1687756121203</v>
      </c>
      <c r="J99" s="0" t="s">
        <v>959</v>
      </c>
      <c r="K99" s="0" t="s">
        <v>999</v>
      </c>
    </row>
    <row r="100" customFormat="false" ht="15" hidden="false" customHeight="false" outlineLevel="0" collapsed="false">
      <c r="A100" s="8" t="s">
        <v>1000</v>
      </c>
      <c r="B100" s="8" t="s">
        <v>911</v>
      </c>
      <c r="C100" s="54" t="n">
        <f aca="false">0</f>
        <v>0</v>
      </c>
      <c r="D100" s="54" t="n">
        <f aca="false">IF(AND(C99&lt;0,D99&gt;=0),C75+(-C99)/D96,0)</f>
        <v>0</v>
      </c>
      <c r="E100" s="54" t="n">
        <f aca="false">IF(AND(D99&lt;0,E99&gt;=0),D75+(-D99)/E96,0)</f>
        <v>0</v>
      </c>
      <c r="F100" s="54" t="n">
        <f aca="false">IF(AND(E99&lt;0,F99&gt;=0),E75+(-E99)/F96,0)</f>
        <v>2.42154596561385</v>
      </c>
      <c r="G100" s="54" t="n">
        <f aca="false">IF(AND(F99&lt;0,G99&gt;=0),F75+(-F99)/G96,0)</f>
        <v>0</v>
      </c>
      <c r="H100" s="54" t="n">
        <f aca="false">IF(AND(G99&lt;0,H99&gt;=0),G75+(-G99)/H96,0)</f>
        <v>0</v>
      </c>
      <c r="I100" s="54" t="n">
        <f aca="false">IF(AND(H99&lt;0,I99&gt;=0),H75+(-H99)/I96,0)</f>
        <v>0</v>
      </c>
      <c r="J100" s="0" t="s">
        <v>959</v>
      </c>
      <c r="K100" s="0" t="s">
        <v>1001</v>
      </c>
    </row>
    <row r="101" customFormat="false" ht="15" hidden="false" customHeight="false" outlineLevel="0" collapsed="false">
      <c r="A101" s="8" t="s">
        <v>1002</v>
      </c>
      <c r="B101" s="8" t="s">
        <v>259</v>
      </c>
      <c r="C101" s="30" t="n">
        <f aca="false">0</f>
        <v>0</v>
      </c>
      <c r="D101" s="30" t="n">
        <f aca="false">D83*(1-$D$30)-((IF(D75=$F$12,0,D82*$F$20/365))-(0))</f>
        <v>0</v>
      </c>
      <c r="E101" s="30" t="n">
        <f aca="false">E83*(1-$D$30)-((IF(E75=$F$12,0,E82*$F$20/365))-(IF(D75=$F$12,0,D82*$F$20/365)))</f>
        <v>10.0496361929558</v>
      </c>
      <c r="F101" s="30" t="n">
        <f aca="false">F83*(1-$D$30)-((IF(F75=$F$12,0,F82*$F$20/365))-(IF(E75=$F$12,0,E82*$F$20/365)))</f>
        <v>23.1876472642381</v>
      </c>
      <c r="G101" s="30" t="n">
        <f aca="false">G83*(1-$D$30)-((IF(G75=$F$12,0,G82*$F$20/365))-(IF(F75=$F$12,0,F82*$F$20/365)))</f>
        <v>24.8988024188029</v>
      </c>
      <c r="H101" s="30" t="n">
        <f aca="false">H83*(1-$D$30)-((IF(H75=$F$12,0,H82*$F$20/365))-(IF(G75=$F$12,0,G82*$F$20/365)))</f>
        <v>24.2133980944269</v>
      </c>
      <c r="I101" s="30" t="n">
        <f aca="false">I83*(1-$D$30)-((IF(I75=$F$12,0,I82*$F$20/365))-(IF(H75=$F$12,0,H82*$F$20/365)))</f>
        <v>27.6769527186767</v>
      </c>
      <c r="J101" s="0" t="s">
        <v>959</v>
      </c>
      <c r="K101" s="0" t="s">
        <v>1003</v>
      </c>
    </row>
    <row r="102" customFormat="false" ht="15" hidden="false" customHeight="false" outlineLevel="0" collapsed="false">
      <c r="A102" s="8" t="s">
        <v>1004</v>
      </c>
      <c r="B102" s="8" t="s">
        <v>259</v>
      </c>
      <c r="C102" s="30" t="n">
        <f aca="false">0</f>
        <v>0</v>
      </c>
      <c r="D102" s="30" t="n">
        <f aca="false">$D$33*(D78-$D$27/$D$29)*(1-$D$30)-((IF(D75=$F$12,0,$D$33*D78*$F$20/365))-(0))</f>
        <v>21.5633095416986</v>
      </c>
      <c r="E102" s="30" t="n">
        <f aca="false">$D$33*(E78-$D$27/$D$29)*(1-$D$30)-((IF(E75=$F$12,0,$D$33*E78*$F$20/365))-(IF(D75=$F$12,0,$D$33*D78*$F$20/365)))</f>
        <v>25.360828977166</v>
      </c>
      <c r="F102" s="30" t="n">
        <f aca="false">$D$33*(F78-$D$27/$D$29)*(1-$D$30)-((IF(F75=$F$12,0,$D$33*F78*$F$20/365))-(IF(E75=$F$12,0,$D$33*E78*$F$20/365)))</f>
        <v>24.6729586376227</v>
      </c>
      <c r="G102" s="30" t="n">
        <f aca="false">$D$33*(G78-$D$27/$D$29)*(1-$D$30)-((IF(G75=$F$12,0,$D$33*G78*$F$20/365))-(IF(F75=$F$12,0,$D$33*F78*$F$20/365)))</f>
        <v>23.9988457048702</v>
      </c>
      <c r="H102" s="30" t="n">
        <f aca="false">$D$33*(H78-$D$27/$D$29)*(1-$D$30)-((IF(H75=$F$12,0,$D$33*H78*$F$20/365))-(IF(G75=$F$12,0,$D$33*G78*$F$20/365)))</f>
        <v>23.3382150307728</v>
      </c>
      <c r="I102" s="30" t="n">
        <f aca="false">$D$33*(I78-$D$27/$D$29)*(1-$D$30)-((IF(I75=$F$12,0,$D$33*I78*$F$20/365))-(IF(H75=$F$12,0,$D$33*H78*$F$20/365)))</f>
        <v>26.6765809336642</v>
      </c>
      <c r="J102" s="0" t="s">
        <v>959</v>
      </c>
      <c r="K102" s="0" t="s">
        <v>1005</v>
      </c>
    </row>
    <row r="103" customFormat="false" ht="15" hidden="false" customHeight="false" outlineLevel="0" collapsed="false">
      <c r="A103" s="7" t="s">
        <v>1006</v>
      </c>
      <c r="F103" s="42" t="n">
        <f aca="false">C96+NPV($F$16,D96:I96)</f>
        <v>60.4404177101178</v>
      </c>
      <c r="J103" s="0" t="s">
        <v>247</v>
      </c>
      <c r="K103" s="0" t="s">
        <v>1007</v>
      </c>
    </row>
    <row r="104" customFormat="false" ht="15" hidden="false" customHeight="false" outlineLevel="0" collapsed="false">
      <c r="A104" s="7" t="s">
        <v>1008</v>
      </c>
      <c r="F104" s="57" t="n">
        <f aca="false">IFERROR(IRR(C96:I96),"n.m.")</f>
        <v>0.515681923716597</v>
      </c>
      <c r="J104" s="0" t="s">
        <v>247</v>
      </c>
      <c r="K104" s="0" t="s">
        <v>1009</v>
      </c>
    </row>
    <row r="105" customFormat="false" ht="15" hidden="false" customHeight="false" outlineLevel="0" collapsed="false">
      <c r="A105" s="7" t="s">
        <v>1010</v>
      </c>
      <c r="F105" s="85" t="n">
        <f aca="false">IF(SUM(D100:I100)=0,"Not within life",SUM(D100:I100))</f>
        <v>2.42154596561385</v>
      </c>
      <c r="J105" s="0" t="s">
        <v>247</v>
      </c>
      <c r="K105" s="0" t="s">
        <v>1011</v>
      </c>
    </row>
    <row r="106" customFormat="false" ht="15" hidden="false" customHeight="false" outlineLevel="0" collapsed="false">
      <c r="A106" s="7" t="s">
        <v>1012</v>
      </c>
      <c r="F106" s="42" t="n">
        <f aca="false">F103-SUMPRODUCT(D101:I101,D97:I97)</f>
        <v>-15.8021275350718</v>
      </c>
      <c r="J106" s="0" t="s">
        <v>247</v>
      </c>
      <c r="K106" s="0" t="s">
        <v>1013</v>
      </c>
    </row>
    <row r="107" customFormat="false" ht="15" hidden="false" customHeight="false" outlineLevel="0" collapsed="false">
      <c r="A107" s="7" t="s">
        <v>1014</v>
      </c>
      <c r="F107" s="42" t="n">
        <f aca="false">SUMPRODUCT(D102:I102,D97:I97)</f>
        <v>108.256605603553</v>
      </c>
      <c r="J107" s="0" t="s">
        <v>247</v>
      </c>
      <c r="K107" s="0" t="s">
        <v>1015</v>
      </c>
    </row>
    <row r="108" customFormat="false" ht="15" hidden="false" customHeight="false" outlineLevel="0" collapsed="false">
      <c r="A108" s="7" t="s">
        <v>1016</v>
      </c>
      <c r="F108" s="57" t="n">
        <f aca="false">IF(F106&gt;=0,0,IFERROR(-F106/F107,"n.m."))</f>
        <v>0.145969176171484</v>
      </c>
      <c r="J108" s="0" t="s">
        <v>247</v>
      </c>
      <c r="K108" s="0" t="s">
        <v>1017</v>
      </c>
    </row>
    <row r="109" customFormat="false" ht="15" hidden="false" customHeight="false" outlineLevel="0" collapsed="false">
      <c r="A109" s="7" t="s">
        <v>1018</v>
      </c>
      <c r="F109" s="57" t="n">
        <f aca="false">IFERROR(SUM(D81:I81)/($D$33*$F$12),0)</f>
        <v>0.771610737117391</v>
      </c>
      <c r="J109" s="0" t="s">
        <v>247</v>
      </c>
      <c r="K109" s="0" t="s">
        <v>1019</v>
      </c>
    </row>
    <row r="111" customFormat="false" ht="15" hidden="false" customHeight="false" outlineLevel="0" collapsed="false">
      <c r="A111" s="16" t="s">
        <v>1021</v>
      </c>
      <c r="B111" s="17"/>
      <c r="C111" s="17"/>
      <c r="D111" s="17"/>
      <c r="E111" s="17"/>
      <c r="F111" s="17"/>
      <c r="G111" s="17"/>
      <c r="H111" s="17"/>
      <c r="I111" s="17"/>
      <c r="J111" s="17"/>
      <c r="K111" s="17"/>
    </row>
    <row r="112" customFormat="false" ht="15" hidden="false" customHeight="false" outlineLevel="0" collapsed="false">
      <c r="A112" s="18" t="s">
        <v>787</v>
      </c>
      <c r="B112" s="19" t="s">
        <v>220</v>
      </c>
      <c r="C112" s="19" t="s">
        <v>950</v>
      </c>
      <c r="D112" s="19" t="s">
        <v>951</v>
      </c>
      <c r="E112" s="19" t="s">
        <v>952</v>
      </c>
      <c r="F112" s="19" t="s">
        <v>953</v>
      </c>
      <c r="G112" s="19" t="s">
        <v>954</v>
      </c>
      <c r="H112" s="19" t="s">
        <v>955</v>
      </c>
      <c r="I112" s="19" t="s">
        <v>956</v>
      </c>
      <c r="J112" s="19" t="s">
        <v>99</v>
      </c>
      <c r="K112" s="19" t="s">
        <v>599</v>
      </c>
    </row>
    <row r="113" customFormat="false" ht="15" hidden="false" customHeight="false" outlineLevel="0" collapsed="false">
      <c r="A113" s="8" t="s">
        <v>957</v>
      </c>
      <c r="B113" s="8" t="s">
        <v>958</v>
      </c>
      <c r="C113" s="81" t="n">
        <f aca="false">0</f>
        <v>0</v>
      </c>
      <c r="D113" s="81" t="n">
        <f aca="false">1</f>
        <v>1</v>
      </c>
      <c r="E113" s="81" t="n">
        <f aca="false">2</f>
        <v>2</v>
      </c>
      <c r="F113" s="81" t="n">
        <f aca="false">3</f>
        <v>3</v>
      </c>
      <c r="G113" s="81" t="n">
        <f aca="false">4</f>
        <v>4</v>
      </c>
      <c r="H113" s="81" t="n">
        <f aca="false">5</f>
        <v>5</v>
      </c>
      <c r="I113" s="81" t="n">
        <f aca="false">6</f>
        <v>6</v>
      </c>
      <c r="J113" s="0" t="s">
        <v>959</v>
      </c>
    </row>
    <row r="114" customFormat="false" ht="15" hidden="false" customHeight="false" outlineLevel="0" collapsed="false">
      <c r="A114" s="8" t="s">
        <v>960</v>
      </c>
      <c r="B114" s="8"/>
      <c r="C114" s="82" t="str">
        <f aca="false">"FY"&amp;(2026+C113)</f>
        <v>FY2026</v>
      </c>
      <c r="D114" s="82" t="str">
        <f aca="false">"FY"&amp;(2026+D113)</f>
        <v>FY2027</v>
      </c>
      <c r="E114" s="82" t="str">
        <f aca="false">"FY"&amp;(2026+E113)</f>
        <v>FY2028</v>
      </c>
      <c r="F114" s="82" t="str">
        <f aca="false">"FY"&amp;(2026+F113)</f>
        <v>FY2029</v>
      </c>
      <c r="G114" s="82" t="str">
        <f aca="false">"FY"&amp;(2026+G113)</f>
        <v>FY2030</v>
      </c>
      <c r="H114" s="82" t="str">
        <f aca="false">"FY"&amp;(2026+H113)</f>
        <v>FY2031</v>
      </c>
      <c r="I114" s="82" t="str">
        <f aca="false">"FY"&amp;(2026+I113)</f>
        <v>FY2032</v>
      </c>
      <c r="J114" s="0" t="s">
        <v>959</v>
      </c>
    </row>
    <row r="115" customFormat="false" ht="15" hidden="false" customHeight="false" outlineLevel="0" collapsed="false">
      <c r="A115" s="8" t="s">
        <v>961</v>
      </c>
      <c r="B115" s="8" t="s">
        <v>300</v>
      </c>
      <c r="C115" s="72" t="n">
        <f aca="false">0</f>
        <v>0</v>
      </c>
      <c r="D115" s="72" t="n">
        <f aca="false">$E$25*(1+$E$24)^D113</f>
        <v>977.309046279112</v>
      </c>
      <c r="E115" s="72" t="n">
        <f aca="false">$E$25*(1+$E$24)^E113</f>
        <v>1084.81304136981</v>
      </c>
      <c r="F115" s="72" t="n">
        <f aca="false">$E$25*(1+$E$24)^F113</f>
        <v>1204.14247592049</v>
      </c>
      <c r="G115" s="72" t="n">
        <f aca="false">$E$25*(1+$E$24)^G113</f>
        <v>1336.59814827175</v>
      </c>
      <c r="H115" s="72" t="n">
        <f aca="false">$E$25*(1+$E$24)^H113</f>
        <v>1483.62394458164</v>
      </c>
      <c r="I115" s="72" t="n">
        <f aca="false">$E$25*(1+$E$24)^I113</f>
        <v>1646.82257848562</v>
      </c>
      <c r="J115" s="0" t="s">
        <v>959</v>
      </c>
    </row>
    <row r="116" customFormat="false" ht="15" hidden="false" customHeight="false" outlineLevel="0" collapsed="false">
      <c r="A116" s="8" t="s">
        <v>962</v>
      </c>
      <c r="B116" s="8" t="s">
        <v>281</v>
      </c>
      <c r="C116" s="83" t="n">
        <f aca="false">0</f>
        <v>0</v>
      </c>
      <c r="D116" s="83" t="n">
        <f aca="false">$E$26*(1-$F$15)^D113</f>
        <v>0.59388</v>
      </c>
      <c r="E116" s="83" t="n">
        <f aca="false">$E$26*(1-$F$15)^E113</f>
        <v>0.5820024</v>
      </c>
      <c r="F116" s="83" t="n">
        <f aca="false">$E$26*(1-$F$15)^F113</f>
        <v>0.570362352</v>
      </c>
      <c r="G116" s="83" t="n">
        <f aca="false">$E$26*(1-$F$15)^G113</f>
        <v>0.55895510496</v>
      </c>
      <c r="H116" s="83" t="n">
        <f aca="false">$E$26*(1-$F$15)^H113</f>
        <v>0.5477760028608</v>
      </c>
      <c r="I116" s="83" t="n">
        <f aca="false">$E$26*(1-$F$15)^I113</f>
        <v>0.536820482803584</v>
      </c>
      <c r="J116" s="0" t="s">
        <v>959</v>
      </c>
    </row>
    <row r="117" customFormat="false" ht="15" hidden="false" customHeight="false" outlineLevel="0" collapsed="false">
      <c r="A117" s="8" t="s">
        <v>963</v>
      </c>
      <c r="B117" s="8" t="s">
        <v>300</v>
      </c>
      <c r="C117" s="72" t="n">
        <f aca="false">0</f>
        <v>0</v>
      </c>
      <c r="D117" s="72" t="n">
        <f aca="false">MIN(D115,$E$31)</f>
        <v>912.384</v>
      </c>
      <c r="E117" s="72" t="n">
        <f aca="false">MIN(E115,$E$31)</f>
        <v>912.384</v>
      </c>
      <c r="F117" s="72" t="n">
        <f aca="false">MIN(F115,$E$31)</f>
        <v>912.384</v>
      </c>
      <c r="G117" s="72" t="n">
        <f aca="false">MIN(G115,$E$31)</f>
        <v>912.384</v>
      </c>
      <c r="H117" s="72" t="n">
        <f aca="false">MIN(H115,$E$31)</f>
        <v>912.384</v>
      </c>
      <c r="I117" s="72" t="n">
        <f aca="false">MIN(I115,$E$31)</f>
        <v>912.384</v>
      </c>
      <c r="J117" s="0" t="s">
        <v>959</v>
      </c>
      <c r="K117" s="0" t="s">
        <v>964</v>
      </c>
    </row>
    <row r="118" customFormat="false" ht="15" hidden="false" customHeight="false" outlineLevel="0" collapsed="false">
      <c r="A118" s="8" t="s">
        <v>965</v>
      </c>
      <c r="B118" s="8" t="s">
        <v>300</v>
      </c>
      <c r="C118" s="72" t="n">
        <f aca="false">0</f>
        <v>0</v>
      </c>
      <c r="D118" s="72" t="n">
        <f aca="false">MIN(D115,$E$32)</f>
        <v>977.309046279112</v>
      </c>
      <c r="E118" s="72" t="n">
        <f aca="false">MIN(E115,$E$32)</f>
        <v>984.744</v>
      </c>
      <c r="F118" s="72" t="n">
        <f aca="false">MIN(F115,$E$32)</f>
        <v>984.744</v>
      </c>
      <c r="G118" s="72" t="n">
        <f aca="false">MIN(G115,$E$32)</f>
        <v>984.744</v>
      </c>
      <c r="H118" s="72" t="n">
        <f aca="false">MIN(H115,$E$32)</f>
        <v>984.744</v>
      </c>
      <c r="I118" s="72" t="n">
        <f aca="false">MIN(I115,$E$32)</f>
        <v>984.744</v>
      </c>
      <c r="J118" s="0" t="s">
        <v>959</v>
      </c>
      <c r="K118" s="0" t="s">
        <v>966</v>
      </c>
    </row>
    <row r="119" customFormat="false" ht="15" hidden="false" customHeight="false" outlineLevel="0" collapsed="false">
      <c r="A119" s="8" t="s">
        <v>967</v>
      </c>
      <c r="B119" s="8" t="s">
        <v>300</v>
      </c>
      <c r="C119" s="72" t="n">
        <f aca="false">0</f>
        <v>0</v>
      </c>
      <c r="D119" s="72" t="n">
        <f aca="false">D118-D117</f>
        <v>64.9250462791117</v>
      </c>
      <c r="E119" s="72" t="n">
        <f aca="false">E118-E117</f>
        <v>72.3600000000001</v>
      </c>
      <c r="F119" s="72" t="n">
        <f aca="false">F118-F117</f>
        <v>72.3600000000001</v>
      </c>
      <c r="G119" s="72" t="n">
        <f aca="false">G118-G117</f>
        <v>72.3600000000001</v>
      </c>
      <c r="H119" s="72" t="n">
        <f aca="false">H118-H117</f>
        <v>72.3600000000001</v>
      </c>
      <c r="I119" s="72" t="n">
        <f aca="false">I118-I117</f>
        <v>72.3600000000001</v>
      </c>
      <c r="J119" s="0" t="s">
        <v>959</v>
      </c>
    </row>
    <row r="120" customFormat="false" ht="15" hidden="false" customHeight="false" outlineLevel="0" collapsed="false">
      <c r="A120" s="8" t="s">
        <v>968</v>
      </c>
      <c r="B120" s="8" t="s">
        <v>259</v>
      </c>
      <c r="C120" s="30" t="n">
        <f aca="false">0</f>
        <v>0</v>
      </c>
      <c r="D120" s="30" t="n">
        <f aca="false">D119*D116</f>
        <v>38.5576864842389</v>
      </c>
      <c r="E120" s="30" t="n">
        <f aca="false">E119*E116</f>
        <v>42.1136936640001</v>
      </c>
      <c r="F120" s="30" t="n">
        <f aca="false">F119*F116</f>
        <v>41.2714197907201</v>
      </c>
      <c r="G120" s="30" t="n">
        <f aca="false">G119*G116</f>
        <v>40.4459913949057</v>
      </c>
      <c r="H120" s="30" t="n">
        <f aca="false">H119*H116</f>
        <v>39.6370715670076</v>
      </c>
      <c r="I120" s="30" t="n">
        <f aca="false">I119*I116</f>
        <v>38.8443301356674</v>
      </c>
      <c r="J120" s="0" t="s">
        <v>959</v>
      </c>
      <c r="K120" s="0" t="s">
        <v>969</v>
      </c>
    </row>
    <row r="121" customFormat="false" ht="15" hidden="false" customHeight="false" outlineLevel="0" collapsed="false">
      <c r="A121" s="8" t="s">
        <v>970</v>
      </c>
      <c r="B121" s="8" t="s">
        <v>259</v>
      </c>
      <c r="C121" s="30" t="n">
        <f aca="false">0</f>
        <v>0</v>
      </c>
      <c r="D121" s="30" t="n">
        <f aca="false">D119*(D116-$E$27/$E$29)</f>
        <v>29.0933549957168</v>
      </c>
      <c r="E121" s="30" t="n">
        <f aca="false">E119*(E116-$E$27/$E$29)</f>
        <v>31.5655452103918</v>
      </c>
      <c r="F121" s="30" t="n">
        <f aca="false">F119*(F116-$E$27/$E$29)</f>
        <v>30.7232713371118</v>
      </c>
      <c r="G121" s="30" t="n">
        <f aca="false">G119*(G116-$E$27/$E$29)</f>
        <v>29.8978429412974</v>
      </c>
      <c r="H121" s="30" t="n">
        <f aca="false">H119*(H116-$E$27/$E$29)</f>
        <v>29.0889231133993</v>
      </c>
      <c r="I121" s="30" t="n">
        <f aca="false">I119*(I116-$E$27/$E$29)</f>
        <v>28.2961816820591</v>
      </c>
      <c r="J121" s="0" t="s">
        <v>959</v>
      </c>
      <c r="K121" s="0" t="s">
        <v>971</v>
      </c>
    </row>
    <row r="122" customFormat="false" ht="15" hidden="false" customHeight="false" outlineLevel="0" collapsed="false">
      <c r="A122" s="8" t="s">
        <v>972</v>
      </c>
      <c r="B122" s="8" t="s">
        <v>300</v>
      </c>
      <c r="C122" s="72" t="n">
        <f aca="false">0</f>
        <v>0</v>
      </c>
      <c r="D122" s="72" t="n">
        <f aca="false">D117*(1/$E$28-1/$E$29)</f>
        <v>9.79793814432986</v>
      </c>
      <c r="E122" s="72" t="n">
        <f aca="false">E117*(1/$E$28-1/$E$29)</f>
        <v>9.79793814432986</v>
      </c>
      <c r="F122" s="72" t="n">
        <f aca="false">F117*(1/$E$28-1/$E$29)</f>
        <v>9.79793814432986</v>
      </c>
      <c r="G122" s="72" t="n">
        <f aca="false">G117*(1/$E$28-1/$E$29)</f>
        <v>9.79793814432986</v>
      </c>
      <c r="H122" s="72" t="n">
        <f aca="false">H117*(1/$E$28-1/$E$29)</f>
        <v>9.79793814432986</v>
      </c>
      <c r="I122" s="72" t="n">
        <f aca="false">I117*(1/$E$28-1/$E$29)</f>
        <v>9.79793814432986</v>
      </c>
      <c r="J122" s="0" t="s">
        <v>959</v>
      </c>
      <c r="K122" s="0" t="s">
        <v>973</v>
      </c>
    </row>
    <row r="123" customFormat="false" ht="15" hidden="false" customHeight="false" outlineLevel="0" collapsed="false">
      <c r="A123" s="8" t="s">
        <v>974</v>
      </c>
      <c r="B123" s="8" t="s">
        <v>259</v>
      </c>
      <c r="C123" s="30" t="n">
        <f aca="false">0</f>
        <v>0</v>
      </c>
      <c r="D123" s="30" t="n">
        <f aca="false">D122*$E$27</f>
        <v>1.38542845360824</v>
      </c>
      <c r="E123" s="30" t="n">
        <f aca="false">E122*$E$27</f>
        <v>1.38542845360824</v>
      </c>
      <c r="F123" s="30" t="n">
        <f aca="false">F122*$E$27</f>
        <v>1.38542845360824</v>
      </c>
      <c r="G123" s="30" t="n">
        <f aca="false">G122*$E$27</f>
        <v>1.38542845360824</v>
      </c>
      <c r="H123" s="30" t="n">
        <f aca="false">H122*$E$27</f>
        <v>1.38542845360824</v>
      </c>
      <c r="I123" s="30" t="n">
        <f aca="false">I122*$E$27</f>
        <v>1.38542845360824</v>
      </c>
      <c r="J123" s="0" t="s">
        <v>959</v>
      </c>
      <c r="K123" s="0" t="s">
        <v>975</v>
      </c>
    </row>
    <row r="124" customFormat="false" ht="15" hidden="false" customHeight="false" outlineLevel="0" collapsed="false">
      <c r="A124" s="8" t="s">
        <v>905</v>
      </c>
      <c r="B124" s="8" t="s">
        <v>259</v>
      </c>
      <c r="C124" s="30" t="n">
        <f aca="false">0</f>
        <v>0</v>
      </c>
      <c r="D124" s="30" t="n">
        <f aca="false">$F$10</f>
        <v>1.2</v>
      </c>
      <c r="E124" s="30" t="n">
        <f aca="false">$F$10</f>
        <v>1.2</v>
      </c>
      <c r="F124" s="30" t="n">
        <f aca="false">$F$10</f>
        <v>1.2</v>
      </c>
      <c r="G124" s="30" t="n">
        <f aca="false">$F$10</f>
        <v>1.2</v>
      </c>
      <c r="H124" s="30" t="n">
        <f aca="false">$F$10</f>
        <v>1.2</v>
      </c>
      <c r="I124" s="30" t="n">
        <f aca="false">$F$10</f>
        <v>1.2</v>
      </c>
      <c r="J124" s="0" t="s">
        <v>959</v>
      </c>
    </row>
    <row r="125" customFormat="false" ht="15" hidden="false" customHeight="false" outlineLevel="0" collapsed="false">
      <c r="A125" s="8" t="s">
        <v>976</v>
      </c>
      <c r="B125" s="8" t="s">
        <v>259</v>
      </c>
      <c r="C125" s="30" t="n">
        <f aca="false">0</f>
        <v>0</v>
      </c>
      <c r="D125" s="30" t="n">
        <f aca="false">-$F$11</f>
        <v>-1</v>
      </c>
      <c r="E125" s="30" t="n">
        <f aca="false">-$F$11</f>
        <v>-1</v>
      </c>
      <c r="F125" s="30" t="n">
        <f aca="false">-$F$11</f>
        <v>-1</v>
      </c>
      <c r="G125" s="30" t="n">
        <f aca="false">-$F$11</f>
        <v>-1</v>
      </c>
      <c r="H125" s="30" t="n">
        <f aca="false">-$F$11</f>
        <v>-1</v>
      </c>
      <c r="I125" s="30" t="n">
        <f aca="false">-$F$11</f>
        <v>-1</v>
      </c>
      <c r="J125" s="0" t="s">
        <v>959</v>
      </c>
    </row>
    <row r="126" customFormat="false" ht="15" hidden="false" customHeight="false" outlineLevel="0" collapsed="false">
      <c r="A126" s="7" t="s">
        <v>977</v>
      </c>
      <c r="B126" s="8" t="s">
        <v>259</v>
      </c>
      <c r="C126" s="30" t="n">
        <f aca="false">0</f>
        <v>0</v>
      </c>
      <c r="D126" s="30" t="n">
        <f aca="false">D121+D123+D124+D125</f>
        <v>30.678783449325</v>
      </c>
      <c r="E126" s="30" t="n">
        <f aca="false">E121+E123+E124+E125</f>
        <v>33.1509736640001</v>
      </c>
      <c r="F126" s="30" t="n">
        <f aca="false">F121+F123+F124+F125</f>
        <v>32.3086997907201</v>
      </c>
      <c r="G126" s="30" t="n">
        <f aca="false">G121+G123+G124+G125</f>
        <v>31.4832713949056</v>
      </c>
      <c r="H126" s="30" t="n">
        <f aca="false">H121+H123+H124+H125</f>
        <v>30.6743515670075</v>
      </c>
      <c r="I126" s="30" t="n">
        <f aca="false">I121+I123+I124+I125</f>
        <v>29.8816101356674</v>
      </c>
      <c r="J126" s="0" t="s">
        <v>959</v>
      </c>
      <c r="K126" s="0" t="s">
        <v>978</v>
      </c>
    </row>
    <row r="127" customFormat="false" ht="15" hidden="false" customHeight="false" outlineLevel="0" collapsed="false">
      <c r="A127" s="8" t="s">
        <v>979</v>
      </c>
      <c r="B127" s="8" t="s">
        <v>259</v>
      </c>
      <c r="C127" s="30" t="n">
        <f aca="false">0</f>
        <v>0</v>
      </c>
      <c r="D127" s="30" t="n">
        <f aca="false">IF(D113&lt;=$F$12,($F$19-$F$13)/$F$12,0)</f>
        <v>4.08333333333333</v>
      </c>
      <c r="E127" s="30" t="n">
        <f aca="false">IF(E113&lt;=$F$12,($F$19-$F$13)/$F$12,0)</f>
        <v>4.08333333333333</v>
      </c>
      <c r="F127" s="30" t="n">
        <f aca="false">IF(F113&lt;=$F$12,($F$19-$F$13)/$F$12,0)</f>
        <v>4.08333333333333</v>
      </c>
      <c r="G127" s="30" t="n">
        <f aca="false">IF(G113&lt;=$F$12,($F$19-$F$13)/$F$12,0)</f>
        <v>4.08333333333333</v>
      </c>
      <c r="H127" s="30" t="n">
        <f aca="false">IF(H113&lt;=$F$12,($F$19-$F$13)/$F$12,0)</f>
        <v>4.08333333333333</v>
      </c>
      <c r="I127" s="30" t="n">
        <f aca="false">IF(I113&lt;=$F$12,($F$19-$F$13)/$F$12,0)</f>
        <v>4.08333333333333</v>
      </c>
      <c r="J127" s="0" t="s">
        <v>959</v>
      </c>
      <c r="K127" s="0" t="s">
        <v>980</v>
      </c>
    </row>
    <row r="128" customFormat="false" ht="15" hidden="false" customHeight="false" outlineLevel="0" collapsed="false">
      <c r="A128" s="8" t="s">
        <v>981</v>
      </c>
      <c r="B128" s="8" t="s">
        <v>259</v>
      </c>
      <c r="C128" s="30" t="n">
        <f aca="false">0</f>
        <v>0</v>
      </c>
      <c r="D128" s="30" t="n">
        <f aca="false">D126-D127</f>
        <v>26.5954501159917</v>
      </c>
      <c r="E128" s="30" t="n">
        <f aca="false">E126-E127</f>
        <v>29.0676403306667</v>
      </c>
      <c r="F128" s="30" t="n">
        <f aca="false">F126-F127</f>
        <v>28.2253664573867</v>
      </c>
      <c r="G128" s="30" t="n">
        <f aca="false">G126-G127</f>
        <v>27.3999380615723</v>
      </c>
      <c r="H128" s="30" t="n">
        <f aca="false">H126-H127</f>
        <v>26.5910182336742</v>
      </c>
      <c r="I128" s="30" t="n">
        <f aca="false">I126-I127</f>
        <v>25.798276802334</v>
      </c>
      <c r="J128" s="0" t="s">
        <v>959</v>
      </c>
      <c r="K128" s="0" t="s">
        <v>982</v>
      </c>
    </row>
    <row r="129" customFormat="false" ht="15" hidden="false" customHeight="false" outlineLevel="0" collapsed="false">
      <c r="A129" s="8" t="s">
        <v>983</v>
      </c>
      <c r="B129" s="8" t="s">
        <v>259</v>
      </c>
      <c r="C129" s="30" t="n">
        <f aca="false">0</f>
        <v>0</v>
      </c>
      <c r="D129" s="30" t="n">
        <f aca="false">D128*$E$30</f>
        <v>3.19145401391901</v>
      </c>
      <c r="E129" s="30" t="n">
        <f aca="false">E128*$E$30</f>
        <v>3.48811683968001</v>
      </c>
      <c r="F129" s="30" t="n">
        <f aca="false">F128*$E$30</f>
        <v>3.38704397488641</v>
      </c>
      <c r="G129" s="30" t="n">
        <f aca="false">G128*$E$30</f>
        <v>3.28799256738868</v>
      </c>
      <c r="H129" s="30" t="n">
        <f aca="false">H128*$E$30</f>
        <v>3.1909221880409</v>
      </c>
      <c r="I129" s="30" t="n">
        <f aca="false">I128*$E$30</f>
        <v>3.09579321628009</v>
      </c>
      <c r="J129" s="0" t="s">
        <v>959</v>
      </c>
      <c r="K129" s="0" t="s">
        <v>984</v>
      </c>
    </row>
    <row r="130" customFormat="false" ht="15" hidden="false" customHeight="false" outlineLevel="0" collapsed="false">
      <c r="A130" s="8" t="s">
        <v>985</v>
      </c>
      <c r="B130" s="8" t="s">
        <v>259</v>
      </c>
      <c r="C130" s="30" t="n">
        <f aca="false">0</f>
        <v>0</v>
      </c>
      <c r="D130" s="30" t="n">
        <f aca="false">D128-D129</f>
        <v>23.4039961020727</v>
      </c>
      <c r="E130" s="30" t="n">
        <f aca="false">E128-E129</f>
        <v>25.5795234909867</v>
      </c>
      <c r="F130" s="30" t="n">
        <f aca="false">F128-F129</f>
        <v>24.8383224825003</v>
      </c>
      <c r="G130" s="30" t="n">
        <f aca="false">G128-G129</f>
        <v>24.1119454941836</v>
      </c>
      <c r="H130" s="30" t="n">
        <f aca="false">H128-H129</f>
        <v>23.4000960456333</v>
      </c>
      <c r="I130" s="30" t="n">
        <f aca="false">I128-I129</f>
        <v>22.702483586054</v>
      </c>
      <c r="J130" s="0" t="s">
        <v>959</v>
      </c>
      <c r="K130" s="0" t="s">
        <v>986</v>
      </c>
    </row>
    <row r="131" customFormat="false" ht="15" hidden="false" customHeight="false" outlineLevel="0" collapsed="false">
      <c r="A131" s="8" t="s">
        <v>987</v>
      </c>
      <c r="B131" s="8" t="s">
        <v>259</v>
      </c>
      <c r="C131" s="30" t="n">
        <f aca="false">0</f>
        <v>0</v>
      </c>
      <c r="D131" s="30" t="n">
        <f aca="false">IF(D113=$F$12,0,D120*$F$20/365)</f>
        <v>4.22549988868371</v>
      </c>
      <c r="E131" s="30" t="n">
        <f aca="false">IF(E113=$F$12,0,E120*$F$20/365)</f>
        <v>4.61519930564384</v>
      </c>
      <c r="F131" s="30" t="n">
        <f aca="false">IF(F113=$F$12,0,F120*$F$20/365)</f>
        <v>4.52289531953097</v>
      </c>
      <c r="G131" s="30" t="n">
        <f aca="false">IF(G113=$F$12,0,G120*$F$20/365)</f>
        <v>4.43243741314035</v>
      </c>
      <c r="H131" s="30" t="n">
        <f aca="false">IF(H113=$F$12,0,H120*$F$20/365)</f>
        <v>4.34378866487754</v>
      </c>
      <c r="I131" s="30" t="n">
        <f aca="false">IF(I113=$F$12,0,I120*$F$20/365)</f>
        <v>0</v>
      </c>
      <c r="J131" s="0" t="s">
        <v>959</v>
      </c>
      <c r="K131" s="0" t="s">
        <v>988</v>
      </c>
    </row>
    <row r="132" customFormat="false" ht="15" hidden="false" customHeight="false" outlineLevel="0" collapsed="false">
      <c r="A132" s="8" t="s">
        <v>989</v>
      </c>
      <c r="B132" s="8" t="s">
        <v>259</v>
      </c>
      <c r="C132" s="30" t="n">
        <f aca="false">0</f>
        <v>0</v>
      </c>
      <c r="D132" s="30" t="n">
        <f aca="false">D131-C131</f>
        <v>4.22549988868371</v>
      </c>
      <c r="E132" s="30" t="n">
        <f aca="false">E131-D131</f>
        <v>0.389699416960133</v>
      </c>
      <c r="F132" s="30" t="n">
        <f aca="false">F131-E131</f>
        <v>-0.0923039861128769</v>
      </c>
      <c r="G132" s="30" t="n">
        <f aca="false">G131-F131</f>
        <v>-0.0904579063906201</v>
      </c>
      <c r="H132" s="30" t="n">
        <f aca="false">H131-G131</f>
        <v>-0.0886487482628064</v>
      </c>
      <c r="I132" s="30" t="n">
        <f aca="false">I131-H131</f>
        <v>-4.34378866487754</v>
      </c>
      <c r="J132" s="0" t="s">
        <v>959</v>
      </c>
      <c r="K132" s="0" t="s">
        <v>990</v>
      </c>
    </row>
    <row r="133" customFormat="false" ht="15" hidden="false" customHeight="false" outlineLevel="0" collapsed="false">
      <c r="A133" s="8" t="s">
        <v>991</v>
      </c>
      <c r="B133" s="8" t="s">
        <v>259</v>
      </c>
      <c r="C133" s="30" t="n">
        <f aca="false">-$F$19</f>
        <v>-24.5</v>
      </c>
      <c r="D133" s="30" t="n">
        <f aca="false">IF(D113=$F$12,$F$13,0)</f>
        <v>0</v>
      </c>
      <c r="E133" s="30" t="n">
        <f aca="false">IF(E113=$F$12,$F$13,0)</f>
        <v>0</v>
      </c>
      <c r="F133" s="30" t="n">
        <f aca="false">IF(F113=$F$12,$F$13,0)</f>
        <v>0</v>
      </c>
      <c r="G133" s="30" t="n">
        <f aca="false">IF(G113=$F$12,$F$13,0)</f>
        <v>0</v>
      </c>
      <c r="H133" s="30" t="n">
        <f aca="false">IF(H113=$F$12,$F$13,0)</f>
        <v>0</v>
      </c>
      <c r="I133" s="30" t="n">
        <f aca="false">IF(I113=$F$12,$F$13,0)</f>
        <v>0</v>
      </c>
      <c r="J133" s="0" t="s">
        <v>959</v>
      </c>
      <c r="K133" s="0" t="s">
        <v>992</v>
      </c>
    </row>
    <row r="134" customFormat="false" ht="15" hidden="false" customHeight="false" outlineLevel="0" collapsed="false">
      <c r="A134" s="44" t="s">
        <v>993</v>
      </c>
      <c r="B134" s="45" t="s">
        <v>259</v>
      </c>
      <c r="C134" s="62" t="n">
        <f aca="false">C130+C127-C132+C133</f>
        <v>-24.5</v>
      </c>
      <c r="D134" s="62" t="n">
        <f aca="false">D130+D127-D132+D133</f>
        <v>23.2618295467223</v>
      </c>
      <c r="E134" s="62" t="n">
        <f aca="false">E130+E127-E132+E133</f>
        <v>29.2731574073599</v>
      </c>
      <c r="F134" s="62" t="n">
        <f aca="false">F130+F127-F132+F133</f>
        <v>29.0139598019465</v>
      </c>
      <c r="G134" s="62" t="n">
        <f aca="false">G130+G127-G132+G133</f>
        <v>28.2857367339076</v>
      </c>
      <c r="H134" s="62" t="n">
        <f aca="false">H130+H127-H132+H133</f>
        <v>27.5720781272294</v>
      </c>
      <c r="I134" s="62" t="n">
        <f aca="false">I130+I127-I132+I133</f>
        <v>31.1296055842648</v>
      </c>
      <c r="J134" s="0" t="s">
        <v>959</v>
      </c>
      <c r="K134" s="0" t="s">
        <v>994</v>
      </c>
    </row>
    <row r="135" customFormat="false" ht="15" hidden="false" customHeight="false" outlineLevel="0" collapsed="false">
      <c r="A135" s="8" t="s">
        <v>995</v>
      </c>
      <c r="B135" s="8" t="s">
        <v>563</v>
      </c>
      <c r="C135" s="84" t="n">
        <f aca="false">1/(1+$F$16)^C113</f>
        <v>1</v>
      </c>
      <c r="D135" s="84" t="n">
        <f aca="false">1/(1+$F$16)^D113</f>
        <v>0.91743119266055</v>
      </c>
      <c r="E135" s="84" t="n">
        <f aca="false">1/(1+$F$16)^E113</f>
        <v>0.84167999326656</v>
      </c>
      <c r="F135" s="84" t="n">
        <f aca="false">1/(1+$F$16)^F113</f>
        <v>0.772183480061064</v>
      </c>
      <c r="G135" s="84" t="n">
        <f aca="false">1/(1+$F$16)^G113</f>
        <v>0.708425211065196</v>
      </c>
      <c r="H135" s="84" t="n">
        <f aca="false">1/(1+$F$16)^H113</f>
        <v>0.649931386298345</v>
      </c>
      <c r="I135" s="84" t="n">
        <f aca="false">1/(1+$F$16)^I113</f>
        <v>0.596267326879216</v>
      </c>
      <c r="J135" s="0" t="s">
        <v>959</v>
      </c>
      <c r="K135" s="0" t="s">
        <v>996</v>
      </c>
    </row>
    <row r="136" customFormat="false" ht="15" hidden="false" customHeight="false" outlineLevel="0" collapsed="false">
      <c r="A136" s="8" t="s">
        <v>997</v>
      </c>
      <c r="B136" s="8" t="s">
        <v>259</v>
      </c>
      <c r="C136" s="30" t="n">
        <f aca="false">C134*C135</f>
        <v>-24.5</v>
      </c>
      <c r="D136" s="30" t="n">
        <f aca="false">D134*D135</f>
        <v>21.3411280245159</v>
      </c>
      <c r="E136" s="30" t="n">
        <f aca="false">E134*E135</f>
        <v>24.6386309295176</v>
      </c>
      <c r="F136" s="30" t="n">
        <f aca="false">F134*F135</f>
        <v>22.4041004502189</v>
      </c>
      <c r="G136" s="30" t="n">
        <f aca="false">G134*G135</f>
        <v>20.0383290158531</v>
      </c>
      <c r="H136" s="30" t="n">
        <f aca="false">H134*H135</f>
        <v>17.9199589603565</v>
      </c>
      <c r="I136" s="30" t="n">
        <f aca="false">I134*I135</f>
        <v>18.5615667085339</v>
      </c>
      <c r="J136" s="0" t="s">
        <v>959</v>
      </c>
      <c r="K136" s="0" t="s">
        <v>998</v>
      </c>
    </row>
    <row r="137" customFormat="false" ht="15" hidden="false" customHeight="false" outlineLevel="0" collapsed="false">
      <c r="A137" s="8" t="s">
        <v>731</v>
      </c>
      <c r="B137" s="8" t="s">
        <v>259</v>
      </c>
      <c r="C137" s="30" t="n">
        <f aca="false">C134</f>
        <v>-24.5</v>
      </c>
      <c r="D137" s="30" t="n">
        <f aca="false">C137+D134</f>
        <v>-1.23817045327768</v>
      </c>
      <c r="E137" s="30" t="n">
        <f aca="false">D137+E134</f>
        <v>28.0349869540822</v>
      </c>
      <c r="F137" s="30" t="n">
        <f aca="false">E137+F134</f>
        <v>57.0489467560288</v>
      </c>
      <c r="G137" s="30" t="n">
        <f aca="false">F137+G134</f>
        <v>85.3346834899363</v>
      </c>
      <c r="H137" s="30" t="n">
        <f aca="false">G137+H134</f>
        <v>112.906761617166</v>
      </c>
      <c r="I137" s="30" t="n">
        <f aca="false">H137+I134</f>
        <v>144.036367201431</v>
      </c>
      <c r="J137" s="0" t="s">
        <v>959</v>
      </c>
      <c r="K137" s="0" t="s">
        <v>999</v>
      </c>
    </row>
    <row r="138" customFormat="false" ht="15" hidden="false" customHeight="false" outlineLevel="0" collapsed="false">
      <c r="A138" s="8" t="s">
        <v>1000</v>
      </c>
      <c r="B138" s="8" t="s">
        <v>911</v>
      </c>
      <c r="C138" s="54" t="n">
        <f aca="false">0</f>
        <v>0</v>
      </c>
      <c r="D138" s="54" t="n">
        <f aca="false">IF(AND(C137&lt;0,D137&gt;=0),C113+(-C137)/D134,0)</f>
        <v>0</v>
      </c>
      <c r="E138" s="54" t="n">
        <f aca="false">IF(AND(D137&lt;0,E137&gt;=0),D113+(-D137)/E134,0)</f>
        <v>1.04229712688821</v>
      </c>
      <c r="F138" s="54" t="n">
        <f aca="false">IF(AND(E137&lt;0,F137&gt;=0),E113+(-E137)/F134,0)</f>
        <v>0</v>
      </c>
      <c r="G138" s="54" t="n">
        <f aca="false">IF(AND(F137&lt;0,G137&gt;=0),F113+(-F137)/G134,0)</f>
        <v>0</v>
      </c>
      <c r="H138" s="54" t="n">
        <f aca="false">IF(AND(G137&lt;0,H137&gt;=0),G113+(-G137)/H134,0)</f>
        <v>0</v>
      </c>
      <c r="I138" s="54" t="n">
        <f aca="false">IF(AND(H137&lt;0,I137&gt;=0),H113+(-H137)/I134,0)</f>
        <v>0</v>
      </c>
      <c r="J138" s="0" t="s">
        <v>959</v>
      </c>
      <c r="K138" s="0" t="s">
        <v>1001</v>
      </c>
    </row>
    <row r="139" customFormat="false" ht="15" hidden="false" customHeight="false" outlineLevel="0" collapsed="false">
      <c r="A139" s="8" t="s">
        <v>1002</v>
      </c>
      <c r="B139" s="8" t="s">
        <v>259</v>
      </c>
      <c r="C139" s="30" t="n">
        <f aca="false">0</f>
        <v>0</v>
      </c>
      <c r="D139" s="30" t="n">
        <f aca="false">D121*(1-$E$30)-((IF(D113=$F$12,0,D120*$F$20/365))-(0))</f>
        <v>21.3766525075471</v>
      </c>
      <c r="E139" s="30" t="n">
        <f aca="false">E121*(1-$E$30)-((IF(E113=$F$12,0,E120*$F$20/365))-(IF(D113=$F$12,0,D120*$F$20/365)))</f>
        <v>27.3879803681847</v>
      </c>
      <c r="F139" s="30" t="n">
        <f aca="false">F121*(1-$E$30)-((IF(F113=$F$12,0,F120*$F$20/365))-(IF(E113=$F$12,0,E120*$F$20/365)))</f>
        <v>27.1287827627713</v>
      </c>
      <c r="G139" s="30" t="n">
        <f aca="false">G121*(1-$E$30)-((IF(G113=$F$12,0,G120*$F$20/365))-(IF(F113=$F$12,0,F120*$F$20/365)))</f>
        <v>26.4005596947323</v>
      </c>
      <c r="H139" s="30" t="n">
        <f aca="false">H121*(1-$E$30)-((IF(H113=$F$12,0,H120*$F$20/365))-(IF(G113=$F$12,0,G120*$F$20/365)))</f>
        <v>25.6869010880542</v>
      </c>
      <c r="I139" s="30" t="n">
        <f aca="false">I121*(1-$E$30)-((IF(I113=$F$12,0,I120*$F$20/365))-(IF(H113=$F$12,0,H120*$F$20/365)))</f>
        <v>29.2444285450896</v>
      </c>
      <c r="J139" s="0" t="s">
        <v>959</v>
      </c>
      <c r="K139" s="0" t="s">
        <v>1003</v>
      </c>
    </row>
    <row r="140" customFormat="false" ht="15" hidden="false" customHeight="false" outlineLevel="0" collapsed="false">
      <c r="A140" s="8" t="s">
        <v>1004</v>
      </c>
      <c r="B140" s="8" t="s">
        <v>259</v>
      </c>
      <c r="C140" s="30" t="n">
        <f aca="false">0</f>
        <v>0</v>
      </c>
      <c r="D140" s="30" t="n">
        <f aca="false">$E$33*(D116-$E$27/$E$29)*(1-$E$30)-((IF(D113=$F$12,0,$E$33*D116*$F$20/365))-(0))</f>
        <v>22.9949071535342</v>
      </c>
      <c r="E140" s="30" t="n">
        <f aca="false">$E$33*(E116-$E$27/$E$29)*(1-$E$30)-((IF(E113=$F$12,0,$E$33*E116*$F$20/365))-(IF(D113=$F$12,0,$E$33*D116*$F$20/365)))</f>
        <v>26.9012054729293</v>
      </c>
      <c r="F140" s="30" t="n">
        <f aca="false">$E$33*(F116-$E$27/$E$29)*(1-$E$30)-((IF(F113=$F$12,0,$E$33*F116*$F$20/365))-(IF(E113=$F$12,0,$E$33*E116*$F$20/365)))</f>
        <v>26.1839992834707</v>
      </c>
      <c r="G140" s="30" t="n">
        <f aca="false">$E$33*(G116-$E$27/$E$29)*(1-$E$30)-((IF(G113=$F$12,0,$E$33*G116*$F$20/365))-(IF(F113=$F$12,0,$E$33*F116*$F$20/365)))</f>
        <v>25.4811372178013</v>
      </c>
      <c r="H140" s="30" t="n">
        <f aca="false">$E$33*(H116-$E$27/$E$29)*(1-$E$30)-((IF(H113=$F$12,0,$E$33*H116*$F$20/365))-(IF(G113=$F$12,0,$E$33*G116*$F$20/365)))</f>
        <v>24.7923323934453</v>
      </c>
      <c r="I140" s="30" t="n">
        <f aca="false">$E$33*(I116-$E$27/$E$29)*(1-$E$30)-((IF(I113=$F$12,0,$E$33*I116*$F$20/365))-(IF(H113=$F$12,0,$E$33*H116*$F$20/365)))</f>
        <v>28.2259658594396</v>
      </c>
      <c r="J140" s="0" t="s">
        <v>959</v>
      </c>
      <c r="K140" s="0" t="s">
        <v>1005</v>
      </c>
    </row>
    <row r="141" customFormat="false" ht="15" hidden="false" customHeight="false" outlineLevel="0" collapsed="false">
      <c r="A141" s="7" t="s">
        <v>1006</v>
      </c>
      <c r="F141" s="42" t="n">
        <f aca="false">C134+NPV($F$16,D134:I134)</f>
        <v>100.403714088996</v>
      </c>
      <c r="J141" s="0" t="s">
        <v>247</v>
      </c>
      <c r="K141" s="0" t="s">
        <v>1007</v>
      </c>
    </row>
    <row r="142" customFormat="false" ht="15" hidden="false" customHeight="false" outlineLevel="0" collapsed="false">
      <c r="A142" s="7" t="s">
        <v>1008</v>
      </c>
      <c r="F142" s="57" t="n">
        <f aca="false">IFERROR(IRR(C134:I134),"n.m.")</f>
        <v>1.0484362285596</v>
      </c>
      <c r="J142" s="0" t="s">
        <v>247</v>
      </c>
      <c r="K142" s="0" t="s">
        <v>1009</v>
      </c>
    </row>
    <row r="143" customFormat="false" ht="15" hidden="false" customHeight="false" outlineLevel="0" collapsed="false">
      <c r="A143" s="7" t="s">
        <v>1010</v>
      </c>
      <c r="F143" s="85" t="n">
        <f aca="false">IF(SUM(D138:I138)=0,"Not within life",SUM(D138:I138))</f>
        <v>1.04229712688821</v>
      </c>
      <c r="J143" s="0" t="s">
        <v>247</v>
      </c>
      <c r="K143" s="0" t="s">
        <v>1011</v>
      </c>
    </row>
    <row r="144" customFormat="false" ht="15" hidden="false" customHeight="false" outlineLevel="0" collapsed="false">
      <c r="A144" s="7" t="s">
        <v>1012</v>
      </c>
      <c r="F144" s="42" t="n">
        <f aca="false">F141-SUMPRODUCT(D139:I139,D135:I135)</f>
        <v>-16.0432492740872</v>
      </c>
      <c r="J144" s="0" t="s">
        <v>247</v>
      </c>
      <c r="K144" s="0" t="s">
        <v>1013</v>
      </c>
    </row>
    <row r="145" customFormat="false" ht="15" hidden="false" customHeight="false" outlineLevel="0" collapsed="false">
      <c r="A145" s="7" t="s">
        <v>1014</v>
      </c>
      <c r="F145" s="42" t="n">
        <f aca="false">SUMPRODUCT(D140:I140,D135:I135)</f>
        <v>114.952319410265</v>
      </c>
      <c r="J145" s="0" t="s">
        <v>247</v>
      </c>
      <c r="K145" s="0" t="s">
        <v>1015</v>
      </c>
    </row>
    <row r="146" customFormat="false" ht="15" hidden="false" customHeight="false" outlineLevel="0" collapsed="false">
      <c r="A146" s="7" t="s">
        <v>1016</v>
      </c>
      <c r="F146" s="57" t="n">
        <f aca="false">IF(F144&gt;=0,0,IFERROR(-F144/F145,"n.m."))</f>
        <v>0.139564380748411</v>
      </c>
      <c r="J146" s="0" t="s">
        <v>247</v>
      </c>
      <c r="K146" s="0" t="s">
        <v>1017</v>
      </c>
    </row>
    <row r="147" customFormat="false" ht="15" hidden="false" customHeight="false" outlineLevel="0" collapsed="false">
      <c r="A147" s="7" t="s">
        <v>1018</v>
      </c>
      <c r="F147" s="57" t="n">
        <f aca="false">IFERROR(SUM(D119:I119)/($E$33*$F$12),0)</f>
        <v>1.0183396484324</v>
      </c>
      <c r="J147" s="0" t="s">
        <v>247</v>
      </c>
      <c r="K147" s="0" t="s">
        <v>1019</v>
      </c>
    </row>
    <row r="149" customFormat="false" ht="15" hidden="false" customHeight="false" outlineLevel="0" collapsed="false">
      <c r="A149" s="16" t="s">
        <v>1022</v>
      </c>
      <c r="B149" s="17"/>
      <c r="C149" s="17"/>
      <c r="D149" s="17"/>
      <c r="E149" s="17"/>
      <c r="F149" s="17"/>
      <c r="G149" s="17"/>
      <c r="H149" s="17"/>
      <c r="I149" s="17"/>
      <c r="J149" s="17"/>
      <c r="K149" s="17"/>
    </row>
    <row r="150" customFormat="false" ht="15" hidden="false" customHeight="false" outlineLevel="0" collapsed="false">
      <c r="A150" s="18" t="s">
        <v>1023</v>
      </c>
      <c r="B150" s="19" t="s">
        <v>1024</v>
      </c>
      <c r="C150" s="19" t="s">
        <v>221</v>
      </c>
      <c r="D150" s="19" t="s">
        <v>216</v>
      </c>
      <c r="E150" s="19" t="s">
        <v>222</v>
      </c>
      <c r="F150" s="19" t="s">
        <v>223</v>
      </c>
      <c r="G150" s="19"/>
      <c r="H150" s="19"/>
      <c r="I150" s="19"/>
      <c r="J150" s="19"/>
      <c r="K150" s="19" t="s">
        <v>1025</v>
      </c>
    </row>
    <row r="151" customFormat="false" ht="15" hidden="false" customHeight="false" outlineLevel="0" collapsed="false">
      <c r="A151" s="8" t="s">
        <v>1026</v>
      </c>
      <c r="C151" s="30" t="n">
        <f aca="false">$F$65</f>
        <v>-15.8546807361994</v>
      </c>
      <c r="D151" s="30" t="n">
        <f aca="false">$F$103</f>
        <v>60.4404177101178</v>
      </c>
      <c r="E151" s="30" t="n">
        <f aca="false">$F$141</f>
        <v>100.403714088996</v>
      </c>
      <c r="F151" s="86" t="n">
        <f aca="false">INDEX(C151:E151,1,Assumptions!$D$6)</f>
        <v>60.4404177101178</v>
      </c>
    </row>
    <row r="152" customFormat="false" ht="15" hidden="false" customHeight="false" outlineLevel="0" collapsed="false">
      <c r="A152" s="8" t="s">
        <v>1008</v>
      </c>
      <c r="C152" s="35" t="n">
        <f aca="false">$F$66</f>
        <v>-0.178040688993039</v>
      </c>
      <c r="D152" s="35" t="n">
        <f aca="false">$F$104</f>
        <v>0.515681923716597</v>
      </c>
      <c r="E152" s="35" t="n">
        <f aca="false">$F$142</f>
        <v>1.0484362285596</v>
      </c>
      <c r="F152" s="24" t="n">
        <f aca="false">INDEX(C152:E152,1,Assumptions!$D$6)</f>
        <v>0.515681923716597</v>
      </c>
    </row>
    <row r="153" customFormat="false" ht="15" hidden="false" customHeight="false" outlineLevel="0" collapsed="false">
      <c r="A153" s="8" t="s">
        <v>1027</v>
      </c>
      <c r="C153" s="54" t="str">
        <f aca="false">$F$67</f>
        <v>Not within life</v>
      </c>
      <c r="D153" s="54" t="n">
        <f aca="false">$F$105</f>
        <v>2.42154596561385</v>
      </c>
      <c r="E153" s="54" t="n">
        <f aca="false">$F$143</f>
        <v>1.04229712688821</v>
      </c>
      <c r="F153" s="87" t="n">
        <f aca="false">INDEX(C153:E153,1,Assumptions!$D$6)</f>
        <v>2.42154596561385</v>
      </c>
    </row>
    <row r="154" customFormat="false" ht="15" hidden="false" customHeight="false" outlineLevel="0" collapsed="false">
      <c r="A154" s="8" t="s">
        <v>1028</v>
      </c>
      <c r="C154" s="35" t="n">
        <f aca="false">$F$70</f>
        <v>0.16197307568578</v>
      </c>
      <c r="D154" s="35" t="n">
        <f aca="false">$F$108</f>
        <v>0.145969176171484</v>
      </c>
      <c r="E154" s="35" t="n">
        <f aca="false">$F$146</f>
        <v>0.139564380748411</v>
      </c>
      <c r="F154" s="24" t="n">
        <f aca="false">INDEX(C154:E154,1,Assumptions!$D$6)</f>
        <v>0.145969176171484</v>
      </c>
    </row>
    <row r="155" customFormat="false" ht="15" hidden="false" customHeight="false" outlineLevel="0" collapsed="false">
      <c r="A155" s="8" t="s">
        <v>1029</v>
      </c>
      <c r="B155" s="25" t="n">
        <f aca="false">$F$16</f>
        <v>0.09</v>
      </c>
      <c r="C155" s="11" t="str">
        <f aca="false">IF($F$65&gt;0,"PASS","FAIL")</f>
        <v>FAIL</v>
      </c>
      <c r="D155" s="11" t="str">
        <f aca="false">IF($F$103&gt;0,"PASS","FAIL")</f>
        <v>PASS</v>
      </c>
      <c r="E155" s="11" t="str">
        <f aca="false">IF($F$141&gt;0,"PASS","FAIL")</f>
        <v>PASS</v>
      </c>
      <c r="F155" s="88" t="str">
        <f aca="false">INDEX(C155:E155,1,Assumptions!$D$6)</f>
        <v>PASS</v>
      </c>
      <c r="K155" s="0" t="s">
        <v>1030</v>
      </c>
    </row>
    <row r="156" customFormat="false" ht="15" hidden="false" customHeight="false" outlineLevel="0" collapsed="false">
      <c r="A156" s="8" t="s">
        <v>1031</v>
      </c>
      <c r="B156" s="25" t="n">
        <f aca="false">$F$17</f>
        <v>0.11</v>
      </c>
      <c r="C156" s="11" t="str">
        <f aca="false">IF(ISNUMBER($F$66),IF($F$66&gt;=$F$17,"PASS","FAIL"),"FAIL")</f>
        <v>FAIL</v>
      </c>
      <c r="D156" s="11" t="str">
        <f aca="false">IF(ISNUMBER($F$104),IF($F$104&gt;=$F$17,"PASS","FAIL"),"FAIL")</f>
        <v>PASS</v>
      </c>
      <c r="E156" s="11" t="str">
        <f aca="false">IF(ISNUMBER($F$142),IF($F$142&gt;=$F$17,"PASS","FAIL"),"FAIL")</f>
        <v>PASS</v>
      </c>
      <c r="F156" s="88" t="str">
        <f aca="false">INDEX(C156:E156,1,Assumptions!$D$6)</f>
        <v>PASS</v>
      </c>
      <c r="K156" s="0" t="s">
        <v>1032</v>
      </c>
    </row>
    <row r="157" customFormat="false" ht="15" hidden="false" customHeight="false" outlineLevel="0" collapsed="false">
      <c r="A157" s="8" t="s">
        <v>1033</v>
      </c>
      <c r="B157" s="41" t="n">
        <f aca="false">$F$18</f>
        <v>4</v>
      </c>
      <c r="C157" s="11" t="str">
        <f aca="false">IF(ISNUMBER($F$67),IF($F$67&lt;=$F$18,"PASS","FAIL"),"FAIL")</f>
        <v>FAIL</v>
      </c>
      <c r="D157" s="11" t="str">
        <f aca="false">IF(ISNUMBER($F$105),IF($F$105&lt;=$F$18,"PASS","FAIL"),"FAIL")</f>
        <v>PASS</v>
      </c>
      <c r="E157" s="11" t="str">
        <f aca="false">IF(ISNUMBER($F$143),IF($F$143&lt;=$F$18,"PASS","FAIL"),"FAIL")</f>
        <v>PASS</v>
      </c>
      <c r="F157" s="88" t="str">
        <f aca="false">INDEX(C157:E157,1,Assumptions!$D$6)</f>
        <v>PASS</v>
      </c>
      <c r="K157" s="0" t="s">
        <v>1034</v>
      </c>
    </row>
    <row r="158" customFormat="false" ht="15" hidden="false" customHeight="false" outlineLevel="0" collapsed="false">
      <c r="A158" s="8" t="s">
        <v>1035</v>
      </c>
      <c r="C158" s="11" t="str">
        <f aca="false">IF(AND(C155="PASS",C156="PASS",C157="PASS"),"YES","NO")</f>
        <v>NO</v>
      </c>
      <c r="D158" s="11" t="str">
        <f aca="false">IF(AND(D155="PASS",D156="PASS",D157="PASS"),"YES","NO")</f>
        <v>YES</v>
      </c>
      <c r="E158" s="11" t="str">
        <f aca="false">IF(AND(E155="PASS",E156="PASS",E157="PASS"),"YES","NO")</f>
        <v>YES</v>
      </c>
      <c r="F158" s="88" t="str">
        <f aca="false">INDEX(C158:E158,1,Assumptions!$D$6)</f>
        <v>YES</v>
      </c>
    </row>
    <row r="160" customFormat="false" ht="15" hidden="false" customHeight="false" outlineLevel="0" collapsed="false">
      <c r="A160" s="21" t="s">
        <v>1036</v>
      </c>
      <c r="C160" s="89" t="str">
        <f aca="false">IF(D158="NO","REJECT - the Base case does not meet the criteria",IF(C158="YES","APPROVE - meets the criteria in all three scenarios","APPROVE WITH A DEMAND CHECKPOINT - meets the criteria in Base"&amp;IF(E158="YES"," and Upside","")&amp;", fails in Downside"))</f>
        <v>APPROVE WITH A DEMAND CHECKPOINT - meets the criteria in Base and Upside, fails in Downside</v>
      </c>
    </row>
    <row r="161" customFormat="false" ht="15" hidden="false" customHeight="false" outlineLevel="0" collapsed="false">
      <c r="C161" s="8" t="str">
        <f aca="false">"Rule: reject if Base fails; approve outright only if Downside also passes; otherwise approve with a checkpoint. Downside NPV "&amp;TEXT(C151,"$#,##0.0")&amp;"m: with Power demand growth of "&amp;TEXT($C$24,"0%")&amp;" a year, demand never exceeds existing capacity, so only yield, scrap and savings benefits remain."</f>
        <v>Rule: reject if Base fails; approve outright only if Downside also passes; otherwise approve with a checkpoint. Downside NPV -$15.9m: with Power demand growth of 2% a year, demand never exceeds existing capacity, so only yield, scrap and savings benefits remain.</v>
      </c>
    </row>
    <row r="162" customFormat="false" ht="15" hidden="false" customHeight="false" outlineLevel="0" collapsed="false">
      <c r="C162" s="8" t="str">
        <f aca="false">"Checkpoint: release the purchase order once trailing Power demand exceeds "&amp;TEXT($D$31/12*0.95,"0.00")&amp;"m good units a month (95% of current good-unit capacity at max utilization)."</f>
        <v>Checkpoint: release the purchase order once trailing Power demand exceeds 71.48m good units a month (95% of current good-unit capacity at max utilization).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00B0F0"/>
    <pageSetUpPr fitToPage="true"/>
  </sheetPr>
  <dimension ref="A1:V25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4296875" defaultRowHeight="15" customHeight="false" zeroHeight="false" outlineLevelRow="0" outlineLevelCol="0"/>
  <cols>
    <col collapsed="false" customWidth="true" hidden="false" outlineLevel="0" max="1" min="1" style="0" width="24"/>
    <col collapsed="false" customWidth="true" hidden="false" outlineLevel="0" max="21" min="2" style="0" width="15"/>
  </cols>
  <sheetData>
    <row r="1" customFormat="false" ht="19.7" hidden="false" customHeight="false" outlineLevel="0" collapsed="false">
      <c r="A1" s="14" t="s">
        <v>1037</v>
      </c>
    </row>
    <row r="2" customFormat="false" ht="15" hidden="false" customHeight="false" outlineLevel="0" collapsed="false">
      <c r="A2" s="4" t="s">
        <v>1038</v>
      </c>
    </row>
    <row r="3" customFormat="false" ht="15" hidden="false" customHeight="false" outlineLevel="0" collapsed="false">
      <c r="A3" s="15" t="s">
        <v>2</v>
      </c>
    </row>
    <row r="5" customFormat="false" ht="15" hidden="false" customHeight="false" outlineLevel="0" collapsed="false">
      <c r="A5" s="21" t="s">
        <v>1039</v>
      </c>
      <c r="C5" s="4" t="s">
        <v>1040</v>
      </c>
    </row>
    <row r="6" customFormat="false" ht="15" hidden="false" customHeight="false" outlineLevel="0" collapsed="false">
      <c r="A6" s="18" t="s">
        <v>1041</v>
      </c>
      <c r="B6" s="19" t="s">
        <v>1042</v>
      </c>
    </row>
    <row r="7" customFormat="false" ht="15" hidden="false" customHeight="false" outlineLevel="0" collapsed="false">
      <c r="A7" s="8" t="s">
        <v>1043</v>
      </c>
      <c r="B7" s="12" t="str">
        <f aca="false">Assumptions!$C$6</f>
        <v>Base</v>
      </c>
    </row>
    <row r="8" customFormat="false" ht="15" hidden="false" customHeight="false" outlineLevel="0" collapsed="false">
      <c r="A8" s="8" t="s">
        <v>1044</v>
      </c>
      <c r="B8" s="12" t="str">
        <f aca="false">Checks!$C$172</f>
        <v>ALL CHECKS PASS</v>
      </c>
    </row>
    <row r="9" customFormat="false" ht="15" hidden="false" customHeight="false" outlineLevel="0" collapsed="false">
      <c r="A9" s="8" t="s">
        <v>1045</v>
      </c>
      <c r="B9" s="8" t="s">
        <v>1046</v>
      </c>
    </row>
    <row r="10" customFormat="false" ht="15" hidden="false" customHeight="false" outlineLevel="0" collapsed="false">
      <c r="A10" s="8" t="s">
        <v>1047</v>
      </c>
      <c r="B10" s="8" t="s">
        <v>2</v>
      </c>
    </row>
    <row r="11" customFormat="false" ht="15" hidden="false" customHeight="false" outlineLevel="0" collapsed="false">
      <c r="A11" s="8" t="s">
        <v>1048</v>
      </c>
      <c r="B11" s="8" t="s">
        <v>1049</v>
      </c>
    </row>
    <row r="12" customFormat="false" ht="15" hidden="false" customHeight="false" outlineLevel="0" collapsed="false">
      <c r="A12" s="8" t="s">
        <v>1050</v>
      </c>
      <c r="B12" s="8" t="s">
        <v>1051</v>
      </c>
    </row>
    <row r="13" customFormat="false" ht="15" hidden="false" customHeight="false" outlineLevel="0" collapsed="false">
      <c r="A13" s="8" t="s">
        <v>1052</v>
      </c>
      <c r="B13" s="8" t="s">
        <v>1053</v>
      </c>
    </row>
    <row r="14" customFormat="false" ht="15" hidden="false" customHeight="false" outlineLevel="0" collapsed="false">
      <c r="A14" s="8" t="s">
        <v>1054</v>
      </c>
      <c r="B14" s="8" t="s">
        <v>1055</v>
      </c>
    </row>
    <row r="15" customFormat="false" ht="15" hidden="false" customHeight="false" outlineLevel="0" collapsed="false">
      <c r="A15" s="8" t="s">
        <v>1056</v>
      </c>
      <c r="B15" s="8" t="s">
        <v>1057</v>
      </c>
    </row>
    <row r="17" customFormat="false" ht="15" hidden="false" customHeight="false" outlineLevel="0" collapsed="false">
      <c r="A17" s="21" t="s">
        <v>1058</v>
      </c>
      <c r="C17" s="4" t="s">
        <v>1059</v>
      </c>
    </row>
    <row r="18" customFormat="false" ht="35.5" hidden="false" customHeight="false" outlineLevel="0" collapsed="false">
      <c r="A18" s="18" t="s">
        <v>1060</v>
      </c>
      <c r="B18" s="19" t="s">
        <v>1061</v>
      </c>
      <c r="C18" s="19" t="s">
        <v>1062</v>
      </c>
      <c r="D18" s="19" t="s">
        <v>1063</v>
      </c>
      <c r="E18" s="19" t="s">
        <v>386</v>
      </c>
      <c r="F18" s="19" t="s">
        <v>1064</v>
      </c>
      <c r="G18" s="19" t="s">
        <v>1065</v>
      </c>
      <c r="H18" s="19" t="s">
        <v>1066</v>
      </c>
      <c r="I18" s="19" t="s">
        <v>1067</v>
      </c>
      <c r="J18" s="19" t="s">
        <v>407</v>
      </c>
      <c r="K18" s="19" t="s">
        <v>1068</v>
      </c>
      <c r="L18" s="19" t="s">
        <v>1069</v>
      </c>
      <c r="M18" s="19" t="s">
        <v>1070</v>
      </c>
      <c r="N18" s="19" t="s">
        <v>1071</v>
      </c>
      <c r="O18" s="19" t="s">
        <v>1072</v>
      </c>
      <c r="P18" s="19" t="s">
        <v>1073</v>
      </c>
      <c r="Q18" s="19" t="s">
        <v>1074</v>
      </c>
      <c r="R18" s="19" t="s">
        <v>1075</v>
      </c>
      <c r="S18" s="19" t="s">
        <v>1076</v>
      </c>
      <c r="T18" s="19" t="s">
        <v>1077</v>
      </c>
      <c r="U18" s="19" t="s">
        <v>1078</v>
      </c>
      <c r="V18" s="19" t="s">
        <v>1079</v>
      </c>
    </row>
    <row r="19" customFormat="false" ht="15" hidden="false" customHeight="false" outlineLevel="0" collapsed="false">
      <c r="A19" s="90" t="n">
        <f aca="false">Ops_Model!C$6</f>
        <v>46023</v>
      </c>
      <c r="B19" s="8" t="s">
        <v>654</v>
      </c>
      <c r="C19" s="8" t="s">
        <v>788</v>
      </c>
      <c r="D19" s="91" t="n">
        <f aca="false">PnL!C$8</f>
        <v>89.7317525294857</v>
      </c>
      <c r="E19" s="91" t="n">
        <f aca="false">PnL!C$12</f>
        <v>51.8348132791156</v>
      </c>
      <c r="F19" s="91" t="n">
        <f aca="false">PnL!C$13</f>
        <v>0.577664113515254</v>
      </c>
      <c r="G19" s="91" t="n">
        <f aca="false">PnL!C$16</f>
        <v>19.0833333333333</v>
      </c>
      <c r="H19" s="91" t="n">
        <f aca="false">PnL!C$17</f>
        <v>32.7514799457822</v>
      </c>
      <c r="I19" s="91" t="n">
        <f aca="false">PnL!C$18</f>
        <v>0.36499320499753</v>
      </c>
      <c r="J19" s="91" t="n">
        <f aca="false">PnL!C$21</f>
        <v>28.4937875528305</v>
      </c>
      <c r="K19" s="91" t="n">
        <f aca="false">PnL!C$26</f>
        <v>37.8264799457822</v>
      </c>
      <c r="L19" s="91" t="n">
        <f aca="false">FCF!C$25</f>
        <v>23.6781643184368</v>
      </c>
      <c r="M19" s="91" t="n">
        <f aca="false">FCF!C$28</f>
        <v>23.6781643184368</v>
      </c>
      <c r="N19" s="91" t="n">
        <f aca="false">FCF!C$8</f>
        <v>4.48658762647429</v>
      </c>
      <c r="O19" s="91" t="n">
        <f aca="false">Budget!C$97</f>
        <v>89.7317525294857</v>
      </c>
      <c r="P19" s="91" t="n">
        <f aca="false">Budget!C$104</f>
        <v>51.8348132791156</v>
      </c>
      <c r="Q19" s="91" t="n">
        <f aca="false">Budget!C$109</f>
        <v>32.7514799457822</v>
      </c>
      <c r="R19" s="91" t="n">
        <f aca="false">Actuals!C$100</f>
        <v>92.5019226822217</v>
      </c>
      <c r="S19" s="91" t="n">
        <f aca="false">Actuals!C$107</f>
        <v>53.3263047181905</v>
      </c>
      <c r="T19" s="91" t="n">
        <f aca="false">Actuals!C$112</f>
        <v>34.1263047181905</v>
      </c>
      <c r="U19" s="91" t="n">
        <f aca="false">Actuals!C$100</f>
        <v>92.5019226822217</v>
      </c>
      <c r="V19" s="91" t="n">
        <f aca="false">Actuals!C$112</f>
        <v>34.1263047181905</v>
      </c>
    </row>
    <row r="20" customFormat="false" ht="15" hidden="false" customHeight="false" outlineLevel="0" collapsed="false">
      <c r="A20" s="90" t="n">
        <f aca="false">Ops_Model!D$6</f>
        <v>46054</v>
      </c>
      <c r="B20" s="8" t="s">
        <v>654</v>
      </c>
      <c r="C20" s="8" t="s">
        <v>788</v>
      </c>
      <c r="D20" s="91" t="n">
        <f aca="false">PnL!D$8</f>
        <v>91.6409387535173</v>
      </c>
      <c r="E20" s="91" t="n">
        <f aca="false">PnL!D$12</f>
        <v>53.2293877763785</v>
      </c>
      <c r="F20" s="91" t="n">
        <f aca="false">PnL!D$13</f>
        <v>0.580847255608623</v>
      </c>
      <c r="G20" s="91" t="n">
        <f aca="false">PnL!D$16</f>
        <v>19.0833333333333</v>
      </c>
      <c r="H20" s="91" t="n">
        <f aca="false">PnL!D$17</f>
        <v>34.1460544430451</v>
      </c>
      <c r="I20" s="91" t="n">
        <f aca="false">PnL!D$18</f>
        <v>0.372606991018351</v>
      </c>
      <c r="J20" s="91" t="n">
        <f aca="false">PnL!D$21</f>
        <v>29.7070673654493</v>
      </c>
      <c r="K20" s="91" t="n">
        <f aca="false">PnL!D$26</f>
        <v>39.2958309034864</v>
      </c>
      <c r="L20" s="91" t="n">
        <f aca="false">FCF!D$25</f>
        <v>26.2375227541309</v>
      </c>
      <c r="M20" s="91" t="n">
        <f aca="false">FCF!D$28</f>
        <v>49.9156870725677</v>
      </c>
      <c r="N20" s="91" t="n">
        <f aca="false">FCF!D$8</f>
        <v>4.58204693767587</v>
      </c>
      <c r="O20" s="91" t="n">
        <f aca="false">Budget!D$97</f>
        <v>91.6409387535173</v>
      </c>
      <c r="P20" s="91" t="n">
        <f aca="false">Budget!D$104</f>
        <v>53.2293877763785</v>
      </c>
      <c r="Q20" s="91" t="n">
        <f aca="false">Budget!D$109</f>
        <v>34.1460544430451</v>
      </c>
      <c r="R20" s="91" t="n">
        <f aca="false">Actuals!D$100</f>
        <v>91.664007646339</v>
      </c>
      <c r="S20" s="91" t="n">
        <f aca="false">Actuals!D$107</f>
        <v>53.011332284176</v>
      </c>
      <c r="T20" s="91" t="n">
        <f aca="false">Actuals!D$112</f>
        <v>33.811332284176</v>
      </c>
      <c r="U20" s="91" t="n">
        <f aca="false">Actuals!D$100</f>
        <v>91.664007646339</v>
      </c>
      <c r="V20" s="91" t="n">
        <f aca="false">Actuals!D$112</f>
        <v>33.811332284176</v>
      </c>
    </row>
    <row r="21" customFormat="false" ht="15" hidden="false" customHeight="false" outlineLevel="0" collapsed="false">
      <c r="A21" s="90" t="n">
        <f aca="false">Ops_Model!E$6</f>
        <v>46082</v>
      </c>
      <c r="B21" s="8" t="s">
        <v>654</v>
      </c>
      <c r="C21" s="8" t="s">
        <v>788</v>
      </c>
      <c r="D21" s="91" t="n">
        <f aca="false">PnL!E$8</f>
        <v>97.3684974256122</v>
      </c>
      <c r="E21" s="91" t="n">
        <f aca="false">PnL!E$12</f>
        <v>56.666862249617</v>
      </c>
      <c r="F21" s="91" t="n">
        <f aca="false">PnL!E$13</f>
        <v>0.581983534180647</v>
      </c>
      <c r="G21" s="91" t="n">
        <f aca="false">PnL!E$16</f>
        <v>19.0833333333333</v>
      </c>
      <c r="H21" s="91" t="n">
        <f aca="false">PnL!E$17</f>
        <v>37.5835289162837</v>
      </c>
      <c r="I21" s="91" t="n">
        <f aca="false">PnL!E$18</f>
        <v>0.385992696919215</v>
      </c>
      <c r="J21" s="91" t="n">
        <f aca="false">PnL!E$21</f>
        <v>32.6976701571668</v>
      </c>
      <c r="K21" s="91" t="n">
        <f aca="false">PnL!E$26</f>
        <v>42.8096728256862</v>
      </c>
      <c r="L21" s="91" t="n">
        <f aca="false">FCF!E$25</f>
        <v>26.2104105095375</v>
      </c>
      <c r="M21" s="91" t="n">
        <f aca="false">FCF!E$28</f>
        <v>76.1260975821052</v>
      </c>
      <c r="N21" s="91" t="n">
        <f aca="false">FCF!E$8</f>
        <v>4.86842487128061</v>
      </c>
      <c r="O21" s="91" t="n">
        <f aca="false">Budget!E$97</f>
        <v>97.3684974256122</v>
      </c>
      <c r="P21" s="91" t="n">
        <f aca="false">Budget!E$104</f>
        <v>56.666862249617</v>
      </c>
      <c r="Q21" s="91" t="n">
        <f aca="false">Budget!E$109</f>
        <v>37.5835289162837</v>
      </c>
      <c r="R21" s="91" t="n">
        <f aca="false">Actuals!E$100</f>
        <v>101.368232945633</v>
      </c>
      <c r="S21" s="91" t="n">
        <f aca="false">Actuals!E$107</f>
        <v>58.6818956096641</v>
      </c>
      <c r="T21" s="91" t="n">
        <f aca="false">Actuals!E$112</f>
        <v>39.4818956096641</v>
      </c>
      <c r="U21" s="91" t="n">
        <f aca="false">Actuals!E$100</f>
        <v>101.368232945633</v>
      </c>
      <c r="V21" s="91" t="n">
        <f aca="false">Actuals!E$112</f>
        <v>39.4818956096641</v>
      </c>
    </row>
    <row r="22" customFormat="false" ht="15" hidden="false" customHeight="false" outlineLevel="0" collapsed="false">
      <c r="A22" s="90" t="n">
        <f aca="false">Ops_Model!F$6</f>
        <v>46113</v>
      </c>
      <c r="B22" s="8" t="s">
        <v>655</v>
      </c>
      <c r="C22" s="8" t="s">
        <v>788</v>
      </c>
      <c r="D22" s="91" t="n">
        <f aca="false">PnL!F$8</f>
        <v>94.5047180895648</v>
      </c>
      <c r="E22" s="91" t="n">
        <f aca="false">PnL!F$12</f>
        <v>55.0024183126815</v>
      </c>
      <c r="F22" s="91" t="n">
        <f aca="false">PnL!F$13</f>
        <v>0.582007114825253</v>
      </c>
      <c r="G22" s="91" t="n">
        <f aca="false">PnL!F$16</f>
        <v>19.0833333333333</v>
      </c>
      <c r="H22" s="91" t="n">
        <f aca="false">PnL!F$17</f>
        <v>35.9190849793482</v>
      </c>
      <c r="I22" s="91" t="n">
        <f aca="false">PnL!F$18</f>
        <v>0.380077161283172</v>
      </c>
      <c r="J22" s="91" t="n">
        <f aca="false">PnL!F$21</f>
        <v>31.2496039320329</v>
      </c>
      <c r="K22" s="91" t="n">
        <f aca="false">PnL!F$26</f>
        <v>41.226369303272</v>
      </c>
      <c r="L22" s="91" t="n">
        <f aca="false">FCF!F$25</f>
        <v>35.0043957806098</v>
      </c>
      <c r="M22" s="91" t="n">
        <f aca="false">FCF!F$28</f>
        <v>111.130493362715</v>
      </c>
      <c r="N22" s="91" t="n">
        <f aca="false">FCF!F$8</f>
        <v>4.72523590447824</v>
      </c>
      <c r="O22" s="91" t="n">
        <f aca="false">Budget!F$97</f>
        <v>94.5047180895648</v>
      </c>
      <c r="P22" s="91" t="n">
        <f aca="false">Budget!F$104</f>
        <v>55.0024183126815</v>
      </c>
      <c r="Q22" s="91" t="n">
        <f aca="false">Budget!F$109</f>
        <v>35.9190849793482</v>
      </c>
      <c r="R22" s="91" t="n">
        <f aca="false">Actuals!F$100</f>
        <v>95.4930844963614</v>
      </c>
      <c r="S22" s="91" t="n">
        <f aca="false">Actuals!F$107</f>
        <v>55.2520757927914</v>
      </c>
      <c r="T22" s="91" t="n">
        <f aca="false">Actuals!F$112</f>
        <v>36.0520757927914</v>
      </c>
      <c r="U22" s="91" t="n">
        <f aca="false">Actuals!F$100</f>
        <v>95.4930844963614</v>
      </c>
      <c r="V22" s="91" t="n">
        <f aca="false">Actuals!F$112</f>
        <v>36.0520757927914</v>
      </c>
    </row>
    <row r="23" customFormat="false" ht="15" hidden="false" customHeight="false" outlineLevel="0" collapsed="false">
      <c r="A23" s="90" t="n">
        <f aca="false">Ops_Model!G$6</f>
        <v>46143</v>
      </c>
      <c r="B23" s="8" t="s">
        <v>655</v>
      </c>
      <c r="C23" s="8" t="s">
        <v>788</v>
      </c>
      <c r="D23" s="91" t="n">
        <f aca="false">PnL!G$8</f>
        <v>95.4593112015806</v>
      </c>
      <c r="E23" s="91" t="n">
        <f aca="false">PnL!G$12</f>
        <v>55.524727855935</v>
      </c>
      <c r="F23" s="91" t="n">
        <f aca="false">PnL!G$13</f>
        <v>0.581658584762716</v>
      </c>
      <c r="G23" s="91" t="n">
        <f aca="false">PnL!G$16</f>
        <v>19.0833333333333</v>
      </c>
      <c r="H23" s="91" t="n">
        <f aca="false">PnL!G$17</f>
        <v>36.4413945226017</v>
      </c>
      <c r="I23" s="91" t="n">
        <f aca="false">PnL!G$18</f>
        <v>0.381747930756055</v>
      </c>
      <c r="J23" s="91" t="n">
        <f aca="false">PnL!G$21</f>
        <v>31.7040132346635</v>
      </c>
      <c r="K23" s="91" t="n">
        <f aca="false">PnL!G$26</f>
        <v>41.8274327782668</v>
      </c>
      <c r="L23" s="91" t="n">
        <f aca="false">FCF!G$25</f>
        <v>30.8219376948394</v>
      </c>
      <c r="M23" s="91" t="n">
        <f aca="false">FCF!G$28</f>
        <v>141.952431057554</v>
      </c>
      <c r="N23" s="91" t="n">
        <f aca="false">FCF!G$8</f>
        <v>4.77296556007903</v>
      </c>
      <c r="O23" s="91" t="n">
        <f aca="false">Budget!G$97</f>
        <v>95.4593112015806</v>
      </c>
      <c r="P23" s="91" t="n">
        <f aca="false">Budget!G$104</f>
        <v>55.524727855935</v>
      </c>
      <c r="Q23" s="91" t="n">
        <f aca="false">Budget!G$109</f>
        <v>36.4413945226017</v>
      </c>
      <c r="R23" s="91" t="n">
        <f aca="false">Actuals!G$100</f>
        <v>97.4319809166018</v>
      </c>
      <c r="S23" s="91" t="n">
        <f aca="false">Actuals!G$107</f>
        <v>56.3321249137482</v>
      </c>
      <c r="T23" s="91" t="n">
        <f aca="false">Actuals!G$112</f>
        <v>37.1321249137482</v>
      </c>
      <c r="U23" s="91" t="n">
        <f aca="false">Actuals!G$100</f>
        <v>97.4319809166018</v>
      </c>
      <c r="V23" s="91" t="n">
        <f aca="false">Actuals!G$112</f>
        <v>37.1321249137482</v>
      </c>
    </row>
    <row r="24" customFormat="false" ht="15" hidden="false" customHeight="false" outlineLevel="0" collapsed="false">
      <c r="A24" s="90" t="n">
        <f aca="false">Ops_Model!H$6</f>
        <v>46174</v>
      </c>
      <c r="B24" s="8" t="s">
        <v>655</v>
      </c>
      <c r="C24" s="8" t="s">
        <v>1080</v>
      </c>
      <c r="D24" s="91" t="n">
        <f aca="false">PnL!H$8</f>
        <v>98.323090537628</v>
      </c>
      <c r="E24" s="91" t="n">
        <f aca="false">PnL!H$12</f>
        <v>57.1422157899406</v>
      </c>
      <c r="F24" s="91" t="n">
        <f aca="false">PnL!H$13</f>
        <v>0.58116781599814</v>
      </c>
      <c r="G24" s="91" t="n">
        <f aca="false">PnL!H$16</f>
        <v>19.0833333333333</v>
      </c>
      <c r="H24" s="91" t="n">
        <f aca="false">PnL!H$17</f>
        <v>38.0588824566073</v>
      </c>
      <c r="I24" s="91" t="n">
        <f aca="false">PnL!H$18</f>
        <v>0.38707980239944</v>
      </c>
      <c r="J24" s="91" t="n">
        <f aca="false">PnL!H$21</f>
        <v>33.1112277372484</v>
      </c>
      <c r="K24" s="91" t="n">
        <f aca="false">PnL!H$26</f>
        <v>43.5244701382738</v>
      </c>
      <c r="L24" s="91" t="n">
        <f aca="false">FCF!H$25</f>
        <v>30.8215439818823</v>
      </c>
      <c r="M24" s="91" t="n">
        <f aca="false">FCF!H$28</f>
        <v>172.773975039437</v>
      </c>
      <c r="N24" s="91" t="n">
        <f aca="false">FCF!H$8</f>
        <v>4.9161545268814</v>
      </c>
      <c r="O24" s="91" t="n">
        <f aca="false">Budget!H$97</f>
        <v>98.323090537628</v>
      </c>
      <c r="P24" s="91" t="n">
        <f aca="false">Budget!H$104</f>
        <v>57.1422157899406</v>
      </c>
      <c r="Q24" s="91" t="n">
        <f aca="false">Budget!H$109</f>
        <v>38.0588824566073</v>
      </c>
      <c r="R24" s="92"/>
      <c r="S24" s="92"/>
      <c r="T24" s="92"/>
      <c r="U24" s="91" t="n">
        <f aca="false">PnL!H$8</f>
        <v>98.323090537628</v>
      </c>
      <c r="V24" s="91" t="n">
        <f aca="false">PnL!H$17</f>
        <v>38.0588824566073</v>
      </c>
    </row>
    <row r="25" customFormat="false" ht="15" hidden="false" customHeight="false" outlineLevel="0" collapsed="false">
      <c r="A25" s="90" t="n">
        <f aca="false">Ops_Model!I$6</f>
        <v>46204</v>
      </c>
      <c r="B25" s="8" t="s">
        <v>656</v>
      </c>
      <c r="C25" s="8" t="s">
        <v>1080</v>
      </c>
      <c r="D25" s="91" t="n">
        <f aca="false">PnL!I$8</f>
        <v>97.3684974256122</v>
      </c>
      <c r="E25" s="91" t="n">
        <f aca="false">PnL!I$12</f>
        <v>56.5127131461018</v>
      </c>
      <c r="F25" s="91" t="n">
        <f aca="false">PnL!I$13</f>
        <v>0.580400382467405</v>
      </c>
      <c r="G25" s="91" t="n">
        <f aca="false">PnL!I$16</f>
        <v>19.0833333333333</v>
      </c>
      <c r="H25" s="91" t="n">
        <f aca="false">PnL!I$17</f>
        <v>37.4293798127685</v>
      </c>
      <c r="I25" s="91" t="n">
        <f aca="false">PnL!I$18</f>
        <v>0.384409545205973</v>
      </c>
      <c r="J25" s="91" t="n">
        <f aca="false">PnL!I$21</f>
        <v>32.5635604371086</v>
      </c>
      <c r="K25" s="91" t="n">
        <f aca="false">PnL!I$26</f>
        <v>42.9769034032163</v>
      </c>
      <c r="L25" s="91" t="n">
        <f aca="false">FCF!I$25</f>
        <v>35.017937170729</v>
      </c>
      <c r="M25" s="91" t="n">
        <f aca="false">FCF!I$28</f>
        <v>207.791912210166</v>
      </c>
      <c r="N25" s="91" t="n">
        <f aca="false">FCF!I$8</f>
        <v>4.86842487128061</v>
      </c>
      <c r="O25" s="91" t="n">
        <f aca="false">Budget!I$97</f>
        <v>97.3684974256122</v>
      </c>
      <c r="P25" s="91" t="n">
        <f aca="false">Budget!I$104</f>
        <v>56.5127131461018</v>
      </c>
      <c r="Q25" s="91" t="n">
        <f aca="false">Budget!I$109</f>
        <v>37.4293798127685</v>
      </c>
      <c r="R25" s="92"/>
      <c r="S25" s="92"/>
      <c r="T25" s="92"/>
      <c r="U25" s="91" t="n">
        <f aca="false">PnL!I$8</f>
        <v>97.3684974256122</v>
      </c>
      <c r="V25" s="91" t="n">
        <f aca="false">PnL!I$17</f>
        <v>37.4293798127685</v>
      </c>
    </row>
    <row r="26" customFormat="false" ht="15" hidden="false" customHeight="false" outlineLevel="0" collapsed="false">
      <c r="A26" s="90" t="n">
        <f aca="false">Ops_Model!J$6</f>
        <v>46235</v>
      </c>
      <c r="B26" s="8" t="s">
        <v>656</v>
      </c>
      <c r="C26" s="8" t="s">
        <v>1080</v>
      </c>
      <c r="D26" s="91" t="n">
        <f aca="false">PnL!J$8</f>
        <v>98.323090537628</v>
      </c>
      <c r="E26" s="91" t="n">
        <f aca="false">PnL!J$12</f>
        <v>56.9958310727311</v>
      </c>
      <c r="F26" s="91" t="n">
        <f aca="false">PnL!J$13</f>
        <v>0.57967900277625</v>
      </c>
      <c r="G26" s="91" t="n">
        <f aca="false">PnL!J$16</f>
        <v>19.0833333333333</v>
      </c>
      <c r="H26" s="91" t="n">
        <f aca="false">PnL!J$17</f>
        <v>37.9124977393977</v>
      </c>
      <c r="I26" s="91" t="n">
        <f aca="false">PnL!J$18</f>
        <v>0.38559098917755</v>
      </c>
      <c r="J26" s="91" t="n">
        <f aca="false">PnL!J$21</f>
        <v>32.983873033276</v>
      </c>
      <c r="K26" s="91" t="n">
        <f aca="false">PnL!J$26</f>
        <v>43.5411617443669</v>
      </c>
      <c r="L26" s="91" t="n">
        <f aca="false">FCF!J$25</f>
        <v>33.3512846459009</v>
      </c>
      <c r="M26" s="91" t="n">
        <f aca="false">FCF!J$28</f>
        <v>241.143196856067</v>
      </c>
      <c r="N26" s="91" t="n">
        <f aca="false">FCF!J$8</f>
        <v>4.9161545268814</v>
      </c>
      <c r="O26" s="91" t="n">
        <f aca="false">Budget!J$97</f>
        <v>98.323090537628</v>
      </c>
      <c r="P26" s="91" t="n">
        <f aca="false">Budget!J$104</f>
        <v>56.9958310727311</v>
      </c>
      <c r="Q26" s="91" t="n">
        <f aca="false">Budget!J$109</f>
        <v>37.9124977393977</v>
      </c>
      <c r="R26" s="92"/>
      <c r="S26" s="92"/>
      <c r="T26" s="92"/>
      <c r="U26" s="91" t="n">
        <f aca="false">PnL!J$8</f>
        <v>98.323090537628</v>
      </c>
      <c r="V26" s="91" t="n">
        <f aca="false">PnL!J$17</f>
        <v>37.9124977393977</v>
      </c>
    </row>
    <row r="27" customFormat="false" ht="15" hidden="false" customHeight="false" outlineLevel="0" collapsed="false">
      <c r="A27" s="90" t="n">
        <f aca="false">Ops_Model!K$6</f>
        <v>46266</v>
      </c>
      <c r="B27" s="8" t="s">
        <v>656</v>
      </c>
      <c r="C27" s="8" t="s">
        <v>1080</v>
      </c>
      <c r="D27" s="91" t="n">
        <f aca="false">PnL!K$8</f>
        <v>100.23227676166</v>
      </c>
      <c r="E27" s="91" t="n">
        <f aca="false">PnL!K$12</f>
        <v>58.0342562599752</v>
      </c>
      <c r="F27" s="91" t="n">
        <f aca="false">PnL!K$13</f>
        <v>0.578997685525729</v>
      </c>
      <c r="G27" s="91" t="n">
        <f aca="false">PnL!K$16</f>
        <v>19.0833333333333</v>
      </c>
      <c r="H27" s="91" t="n">
        <f aca="false">PnL!K$17</f>
        <v>38.9509229266419</v>
      </c>
      <c r="I27" s="91" t="n">
        <f aca="false">PnL!K$18</f>
        <v>0.388606586471766</v>
      </c>
      <c r="J27" s="91" t="n">
        <f aca="false">PnL!K$21</f>
        <v>33.8873029461784</v>
      </c>
      <c r="K27" s="91" t="n">
        <f aca="false">PnL!K$26</f>
        <v>44.6615228403924</v>
      </c>
      <c r="L27" s="91" t="n">
        <f aca="false">FCF!K$25</f>
        <v>33.7746609589985</v>
      </c>
      <c r="M27" s="91" t="n">
        <f aca="false">FCF!K$28</f>
        <v>274.917857815065</v>
      </c>
      <c r="N27" s="91" t="n">
        <f aca="false">FCF!K$8</f>
        <v>5.01161383808298</v>
      </c>
      <c r="O27" s="91" t="n">
        <f aca="false">Budget!K$97</f>
        <v>100.23227676166</v>
      </c>
      <c r="P27" s="91" t="n">
        <f aca="false">Budget!K$104</f>
        <v>58.0342562599752</v>
      </c>
      <c r="Q27" s="91" t="n">
        <f aca="false">Budget!K$109</f>
        <v>38.9509229266419</v>
      </c>
      <c r="R27" s="92"/>
      <c r="S27" s="92"/>
      <c r="T27" s="92"/>
      <c r="U27" s="91" t="n">
        <f aca="false">PnL!K$8</f>
        <v>100.23227676166</v>
      </c>
      <c r="V27" s="91" t="n">
        <f aca="false">PnL!K$17</f>
        <v>38.9509229266419</v>
      </c>
    </row>
    <row r="28" customFormat="false" ht="15" hidden="false" customHeight="false" outlineLevel="0" collapsed="false">
      <c r="A28" s="90" t="n">
        <f aca="false">Ops_Model!L$6</f>
        <v>46296</v>
      </c>
      <c r="B28" s="8" t="s">
        <v>657</v>
      </c>
      <c r="C28" s="8" t="s">
        <v>1080</v>
      </c>
      <c r="D28" s="91" t="n">
        <f aca="false">PnL!L$8</f>
        <v>97.3684974256122</v>
      </c>
      <c r="E28" s="91" t="n">
        <f aca="false">PnL!L$12</f>
        <v>56.2759096386155</v>
      </c>
      <c r="F28" s="91" t="n">
        <f aca="false">PnL!L$13</f>
        <v>0.57796834835219</v>
      </c>
      <c r="G28" s="91" t="n">
        <f aca="false">PnL!L$16</f>
        <v>19.0833333333333</v>
      </c>
      <c r="H28" s="91" t="n">
        <f aca="false">PnL!L$17</f>
        <v>37.1925763052822</v>
      </c>
      <c r="I28" s="91" t="n">
        <f aca="false">PnL!L$18</f>
        <v>0.381977511090757</v>
      </c>
      <c r="J28" s="91" t="n">
        <f aca="false">PnL!L$21</f>
        <v>32.3575413855955</v>
      </c>
      <c r="K28" s="91" t="n">
        <f aca="false">PnL!L$26</f>
        <v>42.9867031163341</v>
      </c>
      <c r="L28" s="91" t="n">
        <f aca="false">FCF!L$25</f>
        <v>37.5594322774835</v>
      </c>
      <c r="M28" s="91" t="n">
        <f aca="false">FCF!L$28</f>
        <v>312.477290092549</v>
      </c>
      <c r="N28" s="91" t="n">
        <f aca="false">FCF!L$8</f>
        <v>4.86842487128061</v>
      </c>
      <c r="O28" s="91" t="n">
        <f aca="false">Budget!L$97</f>
        <v>97.3684974256122</v>
      </c>
      <c r="P28" s="91" t="n">
        <f aca="false">Budget!L$104</f>
        <v>56.2759096386155</v>
      </c>
      <c r="Q28" s="91" t="n">
        <f aca="false">Budget!L$109</f>
        <v>37.1925763052822</v>
      </c>
      <c r="R28" s="92"/>
      <c r="S28" s="92"/>
      <c r="T28" s="92"/>
      <c r="U28" s="91" t="n">
        <f aca="false">PnL!L$8</f>
        <v>97.3684974256122</v>
      </c>
      <c r="V28" s="91" t="n">
        <f aca="false">PnL!L$17</f>
        <v>37.1925763052822</v>
      </c>
    </row>
    <row r="29" customFormat="false" ht="15" hidden="false" customHeight="false" outlineLevel="0" collapsed="false">
      <c r="A29" s="90" t="n">
        <f aca="false">Ops_Model!M$6</f>
        <v>46327</v>
      </c>
      <c r="B29" s="8" t="s">
        <v>657</v>
      </c>
      <c r="C29" s="8" t="s">
        <v>1080</v>
      </c>
      <c r="D29" s="91" t="n">
        <f aca="false">PnL!M$8</f>
        <v>93.550124977549</v>
      </c>
      <c r="E29" s="91" t="n">
        <f aca="false">PnL!M$12</f>
        <v>53.9603985304885</v>
      </c>
      <c r="F29" s="91" t="n">
        <f aca="false">PnL!M$13</f>
        <v>0.576807337707335</v>
      </c>
      <c r="G29" s="91" t="n">
        <f aca="false">PnL!M$16</f>
        <v>19.0833333333333</v>
      </c>
      <c r="H29" s="91" t="n">
        <f aca="false">PnL!M$17</f>
        <v>34.8770651971551</v>
      </c>
      <c r="I29" s="91" t="n">
        <f aca="false">PnL!M$18</f>
        <v>0.372816874435232</v>
      </c>
      <c r="J29" s="91" t="n">
        <f aca="false">PnL!M$21</f>
        <v>30.343046721525</v>
      </c>
      <c r="K29" s="91" t="n">
        <f aca="false">PnL!M$26</f>
        <v>40.7523324227284</v>
      </c>
      <c r="L29" s="91" t="n">
        <f aca="false">FCF!M$25</f>
        <v>35.4883502212706</v>
      </c>
      <c r="M29" s="91" t="n">
        <f aca="false">FCF!M$28</f>
        <v>347.965640313819</v>
      </c>
      <c r="N29" s="91" t="n">
        <f aca="false">FCF!M$8</f>
        <v>4.67750624887745</v>
      </c>
      <c r="O29" s="91" t="n">
        <f aca="false">Budget!M$97</f>
        <v>93.550124977549</v>
      </c>
      <c r="P29" s="91" t="n">
        <f aca="false">Budget!M$104</f>
        <v>53.9603985304885</v>
      </c>
      <c r="Q29" s="91" t="n">
        <f aca="false">Budget!M$109</f>
        <v>34.8770651971551</v>
      </c>
      <c r="R29" s="92"/>
      <c r="S29" s="92"/>
      <c r="T29" s="92"/>
      <c r="U29" s="91" t="n">
        <f aca="false">PnL!M$8</f>
        <v>93.550124977549</v>
      </c>
      <c r="V29" s="91" t="n">
        <f aca="false">PnL!M$17</f>
        <v>34.8770651971551</v>
      </c>
    </row>
    <row r="30" customFormat="false" ht="15" hidden="false" customHeight="false" outlineLevel="0" collapsed="false">
      <c r="A30" s="90" t="n">
        <f aca="false">Ops_Model!N$6</f>
        <v>46357</v>
      </c>
      <c r="B30" s="8" t="s">
        <v>657</v>
      </c>
      <c r="C30" s="8" t="s">
        <v>1080</v>
      </c>
      <c r="D30" s="91" t="n">
        <f aca="false">PnL!N$8</f>
        <v>91.6409387535173</v>
      </c>
      <c r="E30" s="91" t="n">
        <f aca="false">PnL!N$12</f>
        <v>52.765253242989</v>
      </c>
      <c r="F30" s="91" t="n">
        <f aca="false">PnL!N$13</f>
        <v>0.575782548287828</v>
      </c>
      <c r="G30" s="91" t="n">
        <f aca="false">PnL!N$16</f>
        <v>19.0833333333333</v>
      </c>
      <c r="H30" s="91" t="n">
        <f aca="false">PnL!N$17</f>
        <v>33.6819199096556</v>
      </c>
      <c r="I30" s="91" t="n">
        <f aca="false">PnL!N$18</f>
        <v>0.367542283697556</v>
      </c>
      <c r="J30" s="91" t="n">
        <f aca="false">PnL!N$21</f>
        <v>29.3032703214004</v>
      </c>
      <c r="K30" s="91" t="n">
        <f aca="false">PnL!N$26</f>
        <v>39.6351455727102</v>
      </c>
      <c r="L30" s="91" t="n">
        <f aca="false">FCF!N$25</f>
        <v>31.3192815450342</v>
      </c>
      <c r="M30" s="91" t="n">
        <f aca="false">FCF!N$28</f>
        <v>379.284921858853</v>
      </c>
      <c r="N30" s="91" t="n">
        <f aca="false">FCF!N$8</f>
        <v>4.58204693767587</v>
      </c>
      <c r="O30" s="91" t="n">
        <f aca="false">Budget!N$97</f>
        <v>91.6409387535173</v>
      </c>
      <c r="P30" s="91" t="n">
        <f aca="false">Budget!N$104</f>
        <v>52.765253242989</v>
      </c>
      <c r="Q30" s="91" t="n">
        <f aca="false">Budget!N$109</f>
        <v>33.6819199096556</v>
      </c>
      <c r="R30" s="92"/>
      <c r="S30" s="92"/>
      <c r="T30" s="92"/>
      <c r="U30" s="91" t="n">
        <f aca="false">PnL!N$8</f>
        <v>91.6409387535173</v>
      </c>
      <c r="V30" s="91" t="n">
        <f aca="false">PnL!N$17</f>
        <v>33.6819199096556</v>
      </c>
    </row>
    <row r="32" customFormat="false" ht="15" hidden="false" customHeight="false" outlineLevel="0" collapsed="false">
      <c r="A32" s="21" t="s">
        <v>1081</v>
      </c>
      <c r="C32" s="4" t="s">
        <v>1082</v>
      </c>
    </row>
    <row r="33" customFormat="false" ht="24.05" hidden="false" customHeight="false" outlineLevel="0" collapsed="false">
      <c r="A33" s="18" t="s">
        <v>1060</v>
      </c>
      <c r="B33" s="19" t="s">
        <v>1083</v>
      </c>
      <c r="C33" s="19" t="s">
        <v>1084</v>
      </c>
      <c r="D33" s="19" t="s">
        <v>1085</v>
      </c>
      <c r="E33" s="19" t="s">
        <v>1086</v>
      </c>
      <c r="F33" s="19" t="s">
        <v>1087</v>
      </c>
      <c r="G33" s="19" t="s">
        <v>1088</v>
      </c>
      <c r="H33" s="19" t="s">
        <v>1089</v>
      </c>
      <c r="I33" s="19" t="s">
        <v>1063</v>
      </c>
      <c r="J33" s="19" t="s">
        <v>1090</v>
      </c>
      <c r="K33" s="19" t="s">
        <v>386</v>
      </c>
      <c r="L33" s="19" t="s">
        <v>1064</v>
      </c>
      <c r="M33" s="19" t="s">
        <v>1091</v>
      </c>
      <c r="N33" s="19" t="s">
        <v>1092</v>
      </c>
      <c r="O33" s="19" t="s">
        <v>1093</v>
      </c>
      <c r="P33" s="19" t="s">
        <v>1094</v>
      </c>
    </row>
    <row r="34" customFormat="false" ht="15" hidden="false" customHeight="false" outlineLevel="0" collapsed="false">
      <c r="A34" s="90" t="n">
        <f aca="false">Ops_Model!C$6</f>
        <v>46023</v>
      </c>
      <c r="B34" s="8" t="s">
        <v>1095</v>
      </c>
      <c r="C34" s="8" t="s">
        <v>660</v>
      </c>
      <c r="D34" s="91" t="n">
        <f aca="false">Ops_Model!C$9</f>
        <v>64.0428815182901</v>
      </c>
      <c r="E34" s="91" t="n">
        <f aca="false">Ops_Model!C$10*Ops_Model!C$13</f>
        <v>83.6</v>
      </c>
      <c r="F34" s="91" t="n">
        <f aca="false">Ops_Model!C$20</f>
        <v>0.766063176056102</v>
      </c>
      <c r="G34" s="91" t="n">
        <f aca="false">Ops_Model!C$17</f>
        <v>64.0428815182901</v>
      </c>
      <c r="H34" s="91" t="n">
        <f aca="false">Ops_Model!C$19</f>
        <v>0</v>
      </c>
      <c r="I34" s="91" t="n">
        <f aca="false">Ops_Model!C$22</f>
        <v>38.0414716218643</v>
      </c>
      <c r="J34" s="91" t="n">
        <f aca="false">Ops_Model!C$21</f>
        <v>0.594</v>
      </c>
      <c r="K34" s="91" t="n">
        <f aca="false">Ops_Model!C$34</f>
        <v>22.4356861492927</v>
      </c>
      <c r="L34" s="91" t="n">
        <f aca="false">Ops_Model!C$35</f>
        <v>0.589769143851885</v>
      </c>
      <c r="M34" s="91" t="n">
        <f aca="false">Ops_Model!C$13</f>
        <v>0.95</v>
      </c>
      <c r="N34" s="91" t="n">
        <f aca="false">Ops_Model!C$11</f>
        <v>0.78</v>
      </c>
      <c r="O34" s="91" t="n">
        <f aca="false">Ops_Model!C$27</f>
        <v>0.240735615261931</v>
      </c>
      <c r="P34" s="91" t="n">
        <f aca="false">Ops_Model!C$18</f>
        <v>59.3965073872292</v>
      </c>
    </row>
    <row r="35" customFormat="false" ht="15" hidden="false" customHeight="false" outlineLevel="0" collapsed="false">
      <c r="A35" s="90" t="n">
        <f aca="false">Ops_Model!D$6</f>
        <v>46054</v>
      </c>
      <c r="B35" s="8" t="s">
        <v>1095</v>
      </c>
      <c r="C35" s="8" t="s">
        <v>660</v>
      </c>
      <c r="D35" s="91" t="n">
        <f aca="false">Ops_Model!D$9</f>
        <v>65.4054960186793</v>
      </c>
      <c r="E35" s="91" t="n">
        <f aca="false">Ops_Model!D$10*Ops_Model!D$13</f>
        <v>83.6</v>
      </c>
      <c r="F35" s="91" t="n">
        <f aca="false">Ops_Model!D$20</f>
        <v>0.782362392567934</v>
      </c>
      <c r="G35" s="91" t="n">
        <f aca="false">Ops_Model!D$17</f>
        <v>65.4054960186793</v>
      </c>
      <c r="H35" s="91" t="n">
        <f aca="false">Ops_Model!D$19</f>
        <v>0</v>
      </c>
      <c r="I35" s="91" t="n">
        <f aca="false">Ops_Model!D$22</f>
        <v>38.8508646350955</v>
      </c>
      <c r="J35" s="91" t="n">
        <f aca="false">Ops_Model!D$21</f>
        <v>0.594</v>
      </c>
      <c r="K35" s="91" t="n">
        <f aca="false">Ops_Model!D$34</f>
        <v>23.013723255358</v>
      </c>
      <c r="L35" s="91" t="n">
        <f aca="false">Ops_Model!D$35</f>
        <v>0.592360645548384</v>
      </c>
      <c r="M35" s="91" t="n">
        <f aca="false">Ops_Model!D$13</f>
        <v>0.95</v>
      </c>
      <c r="N35" s="91" t="n">
        <f aca="false">Ops_Model!D$11</f>
        <v>0.78</v>
      </c>
      <c r="O35" s="91" t="n">
        <f aca="false">Ops_Model!D$27</f>
        <v>0.240735615261931</v>
      </c>
      <c r="P35" s="91" t="n">
        <f aca="false">Ops_Model!D$18</f>
        <v>59.1990113685499</v>
      </c>
    </row>
    <row r="36" customFormat="false" ht="15" hidden="false" customHeight="false" outlineLevel="0" collapsed="false">
      <c r="A36" s="90" t="n">
        <f aca="false">Ops_Model!E$6</f>
        <v>46082</v>
      </c>
      <c r="B36" s="8" t="s">
        <v>1095</v>
      </c>
      <c r="C36" s="8" t="s">
        <v>660</v>
      </c>
      <c r="D36" s="91" t="n">
        <f aca="false">Ops_Model!E$9</f>
        <v>69.4933395198467</v>
      </c>
      <c r="E36" s="91" t="n">
        <f aca="false">Ops_Model!E$10*Ops_Model!E$13</f>
        <v>83.6</v>
      </c>
      <c r="F36" s="91" t="n">
        <f aca="false">Ops_Model!E$20</f>
        <v>0.83126004210343</v>
      </c>
      <c r="G36" s="91" t="n">
        <f aca="false">Ops_Model!E$17</f>
        <v>69.4933395198467</v>
      </c>
      <c r="H36" s="91" t="n">
        <f aca="false">Ops_Model!E$19</f>
        <v>0</v>
      </c>
      <c r="I36" s="91" t="n">
        <f aca="false">Ops_Model!E$22</f>
        <v>41.279043674789</v>
      </c>
      <c r="J36" s="91" t="n">
        <f aca="false">Ops_Model!E$21</f>
        <v>0.594</v>
      </c>
      <c r="K36" s="91" t="n">
        <f aca="false">Ops_Model!E$34</f>
        <v>24.5031546417608</v>
      </c>
      <c r="L36" s="91" t="n">
        <f aca="false">Ops_Model!E$35</f>
        <v>0.593597924283455</v>
      </c>
      <c r="M36" s="91" t="n">
        <f aca="false">Ops_Model!E$13</f>
        <v>0.95</v>
      </c>
      <c r="N36" s="91" t="n">
        <f aca="false">Ops_Model!E$11</f>
        <v>0.78</v>
      </c>
      <c r="O36" s="91" t="n">
        <f aca="false">Ops_Model!E$27</f>
        <v>0.240735615261931</v>
      </c>
      <c r="P36" s="91" t="n">
        <f aca="false">Ops_Model!E$18</f>
        <v>54.9136718487032</v>
      </c>
    </row>
    <row r="37" customFormat="false" ht="15" hidden="false" customHeight="false" outlineLevel="0" collapsed="false">
      <c r="A37" s="90" t="n">
        <f aca="false">Ops_Model!F$6</f>
        <v>46113</v>
      </c>
      <c r="B37" s="8" t="s">
        <v>1095</v>
      </c>
      <c r="C37" s="8" t="s">
        <v>660</v>
      </c>
      <c r="D37" s="91" t="n">
        <f aca="false">Ops_Model!F$9</f>
        <v>67.449417769263</v>
      </c>
      <c r="E37" s="91" t="n">
        <f aca="false">Ops_Model!F$10*Ops_Model!F$13</f>
        <v>83.6</v>
      </c>
      <c r="F37" s="91" t="n">
        <f aca="false">Ops_Model!F$20</f>
        <v>0.806811217335682</v>
      </c>
      <c r="G37" s="91" t="n">
        <f aca="false">Ops_Model!F$17</f>
        <v>67.449417769263</v>
      </c>
      <c r="H37" s="91" t="n">
        <f aca="false">Ops_Model!F$19</f>
        <v>0</v>
      </c>
      <c r="I37" s="91" t="n">
        <f aca="false">Ops_Model!F$22</f>
        <v>40.0649541549422</v>
      </c>
      <c r="J37" s="91" t="n">
        <f aca="false">Ops_Model!F$21</f>
        <v>0.594</v>
      </c>
      <c r="K37" s="91" t="n">
        <f aca="false">Ops_Model!F$34</f>
        <v>23.8069037251484</v>
      </c>
      <c r="L37" s="91" t="n">
        <f aca="false">Ops_Model!F$35</f>
        <v>0.594207686675006</v>
      </c>
      <c r="M37" s="91" t="n">
        <f aca="false">Ops_Model!F$13</f>
        <v>0.95</v>
      </c>
      <c r="N37" s="91" t="n">
        <f aca="false">Ops_Model!F$11</f>
        <v>0.78</v>
      </c>
      <c r="O37" s="91" t="n">
        <f aca="false">Ops_Model!F$27</f>
        <v>0.240735615261931</v>
      </c>
      <c r="P37" s="91" t="n">
        <f aca="false">Ops_Model!F$18</f>
        <v>52.6722540794402</v>
      </c>
    </row>
    <row r="38" customFormat="false" ht="15" hidden="false" customHeight="false" outlineLevel="0" collapsed="false">
      <c r="A38" s="90" t="n">
        <f aca="false">Ops_Model!G$6</f>
        <v>46143</v>
      </c>
      <c r="B38" s="8" t="s">
        <v>1095</v>
      </c>
      <c r="C38" s="8" t="s">
        <v>660</v>
      </c>
      <c r="D38" s="91" t="n">
        <f aca="false">Ops_Model!G$9</f>
        <v>68.1307250194576</v>
      </c>
      <c r="E38" s="91" t="n">
        <f aca="false">Ops_Model!G$10*Ops_Model!G$13</f>
        <v>83.6</v>
      </c>
      <c r="F38" s="91" t="n">
        <f aca="false">Ops_Model!G$20</f>
        <v>0.814960825591598</v>
      </c>
      <c r="G38" s="91" t="n">
        <f aca="false">Ops_Model!G$17</f>
        <v>68.1307250194576</v>
      </c>
      <c r="H38" s="91" t="n">
        <f aca="false">Ops_Model!G$19</f>
        <v>0</v>
      </c>
      <c r="I38" s="91" t="n">
        <f aca="false">Ops_Model!G$22</f>
        <v>40.4696506615578</v>
      </c>
      <c r="J38" s="91" t="n">
        <f aca="false">Ops_Model!G$21</f>
        <v>0.594</v>
      </c>
      <c r="K38" s="91" t="n">
        <f aca="false">Ops_Model!G$34</f>
        <v>24.0588730437032</v>
      </c>
      <c r="L38" s="91" t="n">
        <f aca="false">Ops_Model!G$35</f>
        <v>0.594491740116669</v>
      </c>
      <c r="M38" s="91" t="n">
        <f aca="false">Ops_Model!G$13</f>
        <v>0.95</v>
      </c>
      <c r="N38" s="91" t="n">
        <f aca="false">Ops_Model!G$11</f>
        <v>0.78</v>
      </c>
      <c r="O38" s="91" t="n">
        <f aca="false">Ops_Model!G$27</f>
        <v>0.240735615261931</v>
      </c>
      <c r="P38" s="91" t="n">
        <f aca="false">Ops_Model!G$18</f>
        <v>49.7495290599826</v>
      </c>
    </row>
    <row r="39" customFormat="false" ht="15" hidden="false" customHeight="false" outlineLevel="0" collapsed="false">
      <c r="A39" s="90" t="n">
        <f aca="false">Ops_Model!H$6</f>
        <v>46174</v>
      </c>
      <c r="B39" s="8" t="s">
        <v>1095</v>
      </c>
      <c r="C39" s="8" t="s">
        <v>660</v>
      </c>
      <c r="D39" s="91" t="n">
        <f aca="false">Ops_Model!H$9</f>
        <v>70.1746467700413</v>
      </c>
      <c r="E39" s="91" t="n">
        <f aca="false">Ops_Model!H$10*Ops_Model!H$13</f>
        <v>83.6</v>
      </c>
      <c r="F39" s="91" t="n">
        <f aca="false">Ops_Model!H$20</f>
        <v>0.839409650359346</v>
      </c>
      <c r="G39" s="91" t="n">
        <f aca="false">Ops_Model!H$17</f>
        <v>70.1746467700413</v>
      </c>
      <c r="H39" s="91" t="n">
        <f aca="false">Ops_Model!H$19</f>
        <v>0</v>
      </c>
      <c r="I39" s="91" t="n">
        <f aca="false">Ops_Model!H$22</f>
        <v>41.6837401814045</v>
      </c>
      <c r="J39" s="91" t="n">
        <f aca="false">Ops_Model!H$21</f>
        <v>0.594</v>
      </c>
      <c r="K39" s="91" t="n">
        <f aca="false">Ops_Model!H$34</f>
        <v>24.7860643783837</v>
      </c>
      <c r="L39" s="91" t="n">
        <f aca="false">Ops_Model!H$35</f>
        <v>0.594621890226659</v>
      </c>
      <c r="M39" s="91" t="n">
        <f aca="false">Ops_Model!H$13</f>
        <v>0.95</v>
      </c>
      <c r="N39" s="91" t="n">
        <f aca="false">Ops_Model!H$11</f>
        <v>0.78</v>
      </c>
      <c r="O39" s="91" t="n">
        <f aca="false">Ops_Model!H$27</f>
        <v>0.240735615261931</v>
      </c>
      <c r="P39" s="91" t="n">
        <f aca="false">Ops_Model!H$18</f>
        <v>44.7828822899413</v>
      </c>
    </row>
    <row r="40" customFormat="false" ht="15" hidden="false" customHeight="false" outlineLevel="0" collapsed="false">
      <c r="A40" s="90" t="n">
        <f aca="false">Ops_Model!I$6</f>
        <v>46204</v>
      </c>
      <c r="B40" s="8" t="s">
        <v>1095</v>
      </c>
      <c r="C40" s="8" t="s">
        <v>660</v>
      </c>
      <c r="D40" s="91" t="n">
        <f aca="false">Ops_Model!I$9</f>
        <v>69.4933395198467</v>
      </c>
      <c r="E40" s="91" t="n">
        <f aca="false">Ops_Model!I$10*Ops_Model!I$13</f>
        <v>83.6</v>
      </c>
      <c r="F40" s="91" t="n">
        <f aca="false">Ops_Model!I$20</f>
        <v>0.83126004210343</v>
      </c>
      <c r="G40" s="91" t="n">
        <f aca="false">Ops_Model!I$17</f>
        <v>69.4933395198467</v>
      </c>
      <c r="H40" s="91" t="n">
        <f aca="false">Ops_Model!I$19</f>
        <v>0</v>
      </c>
      <c r="I40" s="91" t="n">
        <f aca="false">Ops_Model!I$22</f>
        <v>41.279043674789</v>
      </c>
      <c r="J40" s="91" t="n">
        <f aca="false">Ops_Model!I$21</f>
        <v>0.594</v>
      </c>
      <c r="K40" s="91" t="n">
        <f aca="false">Ops_Model!I$34</f>
        <v>24.5478529776668</v>
      </c>
      <c r="L40" s="91" t="n">
        <f aca="false">Ops_Model!I$35</f>
        <v>0.594680757894091</v>
      </c>
      <c r="M40" s="91" t="n">
        <f aca="false">Ops_Model!I$13</f>
        <v>0.95</v>
      </c>
      <c r="N40" s="91" t="n">
        <f aca="false">Ops_Model!I$11</f>
        <v>0.78</v>
      </c>
      <c r="O40" s="91" t="n">
        <f aca="false">Ops_Model!I$27</f>
        <v>0.240735615261931</v>
      </c>
      <c r="P40" s="91" t="n">
        <f aca="false">Ops_Model!I$18</f>
        <v>40.4975427700945</v>
      </c>
    </row>
    <row r="41" customFormat="false" ht="15" hidden="false" customHeight="false" outlineLevel="0" collapsed="false">
      <c r="A41" s="90" t="n">
        <f aca="false">Ops_Model!J$6</f>
        <v>46235</v>
      </c>
      <c r="B41" s="8" t="s">
        <v>1095</v>
      </c>
      <c r="C41" s="8" t="s">
        <v>660</v>
      </c>
      <c r="D41" s="91" t="n">
        <f aca="false">Ops_Model!J$9</f>
        <v>70.1746467700413</v>
      </c>
      <c r="E41" s="91" t="n">
        <f aca="false">Ops_Model!J$10*Ops_Model!J$13</f>
        <v>83.6</v>
      </c>
      <c r="F41" s="91" t="n">
        <f aca="false">Ops_Model!J$20</f>
        <v>0.839409650359346</v>
      </c>
      <c r="G41" s="91" t="n">
        <f aca="false">Ops_Model!J$17</f>
        <v>70.1746467700413</v>
      </c>
      <c r="H41" s="91" t="n">
        <f aca="false">Ops_Model!J$19</f>
        <v>0</v>
      </c>
      <c r="I41" s="91" t="n">
        <f aca="false">Ops_Model!J$22</f>
        <v>41.6837401814045</v>
      </c>
      <c r="J41" s="91" t="n">
        <f aca="false">Ops_Model!J$21</f>
        <v>0.594</v>
      </c>
      <c r="K41" s="91" t="n">
        <f aca="false">Ops_Model!J$34</f>
        <v>24.7895577826355</v>
      </c>
      <c r="L41" s="91" t="n">
        <f aca="false">Ops_Model!J$35</f>
        <v>0.594705697587433</v>
      </c>
      <c r="M41" s="91" t="n">
        <f aca="false">Ops_Model!J$13</f>
        <v>0.95</v>
      </c>
      <c r="N41" s="91" t="n">
        <f aca="false">Ops_Model!J$11</f>
        <v>0.78</v>
      </c>
      <c r="O41" s="91" t="n">
        <f aca="false">Ops_Model!J$27</f>
        <v>0.240735615261931</v>
      </c>
      <c r="P41" s="91" t="n">
        <f aca="false">Ops_Model!J$18</f>
        <v>35.5308960000532</v>
      </c>
    </row>
    <row r="42" customFormat="false" ht="15" hidden="false" customHeight="false" outlineLevel="0" collapsed="false">
      <c r="A42" s="90" t="n">
        <f aca="false">Ops_Model!K$6</f>
        <v>46266</v>
      </c>
      <c r="B42" s="8" t="s">
        <v>1095</v>
      </c>
      <c r="C42" s="8" t="s">
        <v>660</v>
      </c>
      <c r="D42" s="91" t="n">
        <f aca="false">Ops_Model!K$9</f>
        <v>71.5372612704305</v>
      </c>
      <c r="E42" s="91" t="n">
        <f aca="false">Ops_Model!K$10*Ops_Model!K$13</f>
        <v>83.6</v>
      </c>
      <c r="F42" s="91" t="n">
        <f aca="false">Ops_Model!K$20</f>
        <v>0.855708866871178</v>
      </c>
      <c r="G42" s="91" t="n">
        <f aca="false">Ops_Model!K$17</f>
        <v>71.5372612704305</v>
      </c>
      <c r="H42" s="91" t="n">
        <f aca="false">Ops_Model!K$19</f>
        <v>0</v>
      </c>
      <c r="I42" s="91" t="n">
        <f aca="false">Ops_Model!K$22</f>
        <v>42.4931331946357</v>
      </c>
      <c r="J42" s="91" t="n">
        <f aca="false">Ops_Model!K$21</f>
        <v>0.594</v>
      </c>
      <c r="K42" s="91" t="n">
        <f aca="false">Ops_Model!K$34</f>
        <v>25.2713344503365</v>
      </c>
      <c r="L42" s="91" t="n">
        <f aca="false">Ops_Model!K$35</f>
        <v>0.594715723469569</v>
      </c>
      <c r="M42" s="91" t="n">
        <f aca="false">Ops_Model!K$13</f>
        <v>0.95</v>
      </c>
      <c r="N42" s="91" t="n">
        <f aca="false">Ops_Model!K$11</f>
        <v>0.78</v>
      </c>
      <c r="O42" s="91" t="n">
        <f aca="false">Ops_Model!K$27</f>
        <v>0.240735615261931</v>
      </c>
      <c r="P42" s="91" t="n">
        <f aca="false">Ops_Model!K$18</f>
        <v>29.2016347296228</v>
      </c>
    </row>
    <row r="43" customFormat="false" ht="15" hidden="false" customHeight="false" outlineLevel="0" collapsed="false">
      <c r="A43" s="90" t="n">
        <f aca="false">Ops_Model!L$6</f>
        <v>46296</v>
      </c>
      <c r="B43" s="8" t="s">
        <v>1095</v>
      </c>
      <c r="C43" s="8" t="s">
        <v>660</v>
      </c>
      <c r="D43" s="91" t="n">
        <f aca="false">Ops_Model!L$9</f>
        <v>69.4933395198467</v>
      </c>
      <c r="E43" s="91" t="n">
        <f aca="false">Ops_Model!L$10*Ops_Model!L$13</f>
        <v>83.6</v>
      </c>
      <c r="F43" s="91" t="n">
        <f aca="false">Ops_Model!L$20</f>
        <v>0.83126004210343</v>
      </c>
      <c r="G43" s="91" t="n">
        <f aca="false">Ops_Model!L$17</f>
        <v>69.4933395198467</v>
      </c>
      <c r="H43" s="91" t="n">
        <f aca="false">Ops_Model!L$19</f>
        <v>0</v>
      </c>
      <c r="I43" s="91" t="n">
        <f aca="false">Ops_Model!L$22</f>
        <v>41.279043674789</v>
      </c>
      <c r="J43" s="91" t="n">
        <f aca="false">Ops_Model!L$21</f>
        <v>0.594</v>
      </c>
      <c r="K43" s="91" t="n">
        <f aca="false">Ops_Model!L$34</f>
        <v>24.5494520782081</v>
      </c>
      <c r="L43" s="91" t="n">
        <f aca="false">Ops_Model!L$35</f>
        <v>0.594719496692254</v>
      </c>
      <c r="M43" s="91" t="n">
        <f aca="false">Ops_Model!L$13</f>
        <v>0.95</v>
      </c>
      <c r="N43" s="91" t="n">
        <f aca="false">Ops_Model!L$11</f>
        <v>0.78</v>
      </c>
      <c r="O43" s="91" t="n">
        <f aca="false">Ops_Model!L$27</f>
        <v>0.240735615261931</v>
      </c>
      <c r="P43" s="91" t="n">
        <f aca="false">Ops_Model!L$18</f>
        <v>24.916295209776</v>
      </c>
    </row>
    <row r="44" customFormat="false" ht="15" hidden="false" customHeight="false" outlineLevel="0" collapsed="false">
      <c r="A44" s="90" t="n">
        <f aca="false">Ops_Model!M$6</f>
        <v>46327</v>
      </c>
      <c r="B44" s="8" t="s">
        <v>1095</v>
      </c>
      <c r="C44" s="8" t="s">
        <v>660</v>
      </c>
      <c r="D44" s="91" t="n">
        <f aca="false">Ops_Model!M$9</f>
        <v>66.7681105190684</v>
      </c>
      <c r="E44" s="91" t="n">
        <f aca="false">Ops_Model!M$10*Ops_Model!M$13</f>
        <v>83.6</v>
      </c>
      <c r="F44" s="91" t="n">
        <f aca="false">Ops_Model!M$20</f>
        <v>0.798661609079766</v>
      </c>
      <c r="G44" s="91" t="n">
        <f aca="false">Ops_Model!M$17</f>
        <v>66.7681105190684</v>
      </c>
      <c r="H44" s="91" t="n">
        <f aca="false">Ops_Model!M$19</f>
        <v>0</v>
      </c>
      <c r="I44" s="91" t="n">
        <f aca="false">Ops_Model!M$22</f>
        <v>39.6602576483266</v>
      </c>
      <c r="J44" s="91" t="n">
        <f aca="false">Ops_Model!M$21</f>
        <v>0.594</v>
      </c>
      <c r="K44" s="91" t="n">
        <f aca="false">Ops_Model!M$34</f>
        <v>23.586776955184</v>
      </c>
      <c r="L44" s="91" t="n">
        <f aca="false">Ops_Model!M$35</f>
        <v>0.594720719273472</v>
      </c>
      <c r="M44" s="91" t="n">
        <f aca="false">Ops_Model!M$13</f>
        <v>0.95</v>
      </c>
      <c r="N44" s="91" t="n">
        <f aca="false">Ops_Model!M$11</f>
        <v>0.78</v>
      </c>
      <c r="O44" s="91" t="n">
        <f aca="false">Ops_Model!M$27</f>
        <v>0.240735615261931</v>
      </c>
      <c r="P44" s="91" t="n">
        <f aca="false">Ops_Model!M$18</f>
        <v>23.3561846907076</v>
      </c>
    </row>
    <row r="45" customFormat="false" ht="15" hidden="false" customHeight="false" outlineLevel="0" collapsed="false">
      <c r="A45" s="90" t="n">
        <f aca="false">Ops_Model!N$6</f>
        <v>46357</v>
      </c>
      <c r="B45" s="8" t="s">
        <v>1095</v>
      </c>
      <c r="C45" s="8" t="s">
        <v>660</v>
      </c>
      <c r="D45" s="91" t="n">
        <f aca="false">Ops_Model!N$9</f>
        <v>65.4054960186793</v>
      </c>
      <c r="E45" s="91" t="n">
        <f aca="false">Ops_Model!N$10*Ops_Model!N$13</f>
        <v>83.6</v>
      </c>
      <c r="F45" s="91" t="n">
        <f aca="false">Ops_Model!N$20</f>
        <v>0.782362392567934</v>
      </c>
      <c r="G45" s="91" t="n">
        <f aca="false">Ops_Model!N$17</f>
        <v>65.4054960186793</v>
      </c>
      <c r="H45" s="91" t="n">
        <f aca="false">Ops_Model!N$19</f>
        <v>0</v>
      </c>
      <c r="I45" s="91" t="n">
        <f aca="false">Ops_Model!N$22</f>
        <v>38.8508646350955</v>
      </c>
      <c r="J45" s="91" t="n">
        <f aca="false">Ops_Model!N$21</f>
        <v>0.594</v>
      </c>
      <c r="K45" s="91" t="n">
        <f aca="false">Ops_Model!N$34</f>
        <v>23.1054275231735</v>
      </c>
      <c r="L45" s="91" t="n">
        <f aca="false">Ops_Model!N$35</f>
        <v>0.594721063229606</v>
      </c>
      <c r="M45" s="91" t="n">
        <f aca="false">Ops_Model!N$13</f>
        <v>0.95</v>
      </c>
      <c r="N45" s="91" t="n">
        <f aca="false">Ops_Model!N$11</f>
        <v>0.78</v>
      </c>
      <c r="O45" s="91" t="n">
        <f aca="false">Ops_Model!N$27</f>
        <v>0.240735615261931</v>
      </c>
      <c r="P45" s="91" t="n">
        <f aca="false">Ops_Model!N$18</f>
        <v>23.1586886720283</v>
      </c>
    </row>
    <row r="46" customFormat="false" ht="15" hidden="false" customHeight="false" outlineLevel="0" collapsed="false">
      <c r="A46" s="90" t="n">
        <f aca="false">Ops_Model!C$6</f>
        <v>46023</v>
      </c>
      <c r="B46" s="8" t="s">
        <v>1096</v>
      </c>
      <c r="C46" s="8" t="s">
        <v>664</v>
      </c>
      <c r="D46" s="91" t="n">
        <f aca="false">Ops_Model!C$39</f>
        <v>40.4481356957622</v>
      </c>
      <c r="E46" s="91" t="n">
        <f aca="false">Ops_Model!C$40*Ops_Model!C$43</f>
        <v>55.8</v>
      </c>
      <c r="F46" s="91" t="n">
        <f aca="false">Ops_Model!C$50</f>
        <v>0.724876983795021</v>
      </c>
      <c r="G46" s="91" t="n">
        <f aca="false">Ops_Model!C$47</f>
        <v>40.4481356957622</v>
      </c>
      <c r="H46" s="91" t="n">
        <f aca="false">Ops_Model!C$49</f>
        <v>0</v>
      </c>
      <c r="I46" s="91" t="n">
        <f aca="false">Ops_Model!C$52</f>
        <v>38.0414716218643</v>
      </c>
      <c r="J46" s="91" t="n">
        <f aca="false">Ops_Model!C$51</f>
        <v>0.9405</v>
      </c>
      <c r="K46" s="91" t="n">
        <f aca="false">Ops_Model!C$64</f>
        <v>22.5136054743614</v>
      </c>
      <c r="L46" s="91" t="n">
        <f aca="false">Ops_Model!C$65</f>
        <v>0.59181741700607</v>
      </c>
      <c r="M46" s="91" t="n">
        <f aca="false">Ops_Model!C$43</f>
        <v>0.93</v>
      </c>
      <c r="N46" s="91" t="n">
        <f aca="false">Ops_Model!C$41</f>
        <v>0.78</v>
      </c>
      <c r="O46" s="91" t="n">
        <f aca="false">Ops_Model!C$57</f>
        <v>0.375030787611433</v>
      </c>
      <c r="P46" s="91" t="n">
        <f aca="false">Ops_Model!C$48</f>
        <v>39.8535836129869</v>
      </c>
    </row>
    <row r="47" customFormat="false" ht="15" hidden="false" customHeight="false" outlineLevel="0" collapsed="false">
      <c r="A47" s="90" t="n">
        <f aca="false">Ops_Model!D$6</f>
        <v>46054</v>
      </c>
      <c r="B47" s="8" t="s">
        <v>1096</v>
      </c>
      <c r="C47" s="8" t="s">
        <v>664</v>
      </c>
      <c r="D47" s="91" t="n">
        <f aca="false">Ops_Model!D$39</f>
        <v>41.3087343275869</v>
      </c>
      <c r="E47" s="91" t="n">
        <f aca="false">Ops_Model!D$40*Ops_Model!D$43</f>
        <v>55.8</v>
      </c>
      <c r="F47" s="91" t="n">
        <f aca="false">Ops_Model!D$50</f>
        <v>0.740299898343852</v>
      </c>
      <c r="G47" s="91" t="n">
        <f aca="false">Ops_Model!D$47</f>
        <v>41.3087343275869</v>
      </c>
      <c r="H47" s="91" t="n">
        <f aca="false">Ops_Model!D$49</f>
        <v>0</v>
      </c>
      <c r="I47" s="91" t="n">
        <f aca="false">Ops_Model!D$52</f>
        <v>38.8508646350955</v>
      </c>
      <c r="J47" s="91" t="n">
        <f aca="false">Ops_Model!D$51</f>
        <v>0.9405</v>
      </c>
      <c r="K47" s="91" t="n">
        <f aca="false">Ops_Model!D$64</f>
        <v>23.1837782500705</v>
      </c>
      <c r="L47" s="91" t="n">
        <f aca="false">Ops_Model!D$65</f>
        <v>0.596737768073448</v>
      </c>
      <c r="M47" s="91" t="n">
        <f aca="false">Ops_Model!D$43</f>
        <v>0.93</v>
      </c>
      <c r="N47" s="91" t="n">
        <f aca="false">Ops_Model!D$41</f>
        <v>0.78</v>
      </c>
      <c r="O47" s="91" t="n">
        <f aca="false">Ops_Model!D$57</f>
        <v>0.375030787611433</v>
      </c>
      <c r="P47" s="91" t="n">
        <f aca="false">Ops_Model!D$48</f>
        <v>42.0688492854</v>
      </c>
    </row>
    <row r="48" customFormat="false" ht="15" hidden="false" customHeight="false" outlineLevel="0" collapsed="false">
      <c r="A48" s="90" t="n">
        <f aca="false">Ops_Model!E$6</f>
        <v>46082</v>
      </c>
      <c r="B48" s="8" t="s">
        <v>1096</v>
      </c>
      <c r="C48" s="8" t="s">
        <v>664</v>
      </c>
      <c r="D48" s="91" t="n">
        <f aca="false">Ops_Model!E$39</f>
        <v>43.8905302230611</v>
      </c>
      <c r="E48" s="91" t="n">
        <f aca="false">Ops_Model!E$40*Ops_Model!E$43</f>
        <v>55.8</v>
      </c>
      <c r="F48" s="91" t="n">
        <f aca="false">Ops_Model!E$50</f>
        <v>0.786568641990342</v>
      </c>
      <c r="G48" s="91" t="n">
        <f aca="false">Ops_Model!E$47</f>
        <v>43.8905302230611</v>
      </c>
      <c r="H48" s="91" t="n">
        <f aca="false">Ops_Model!E$49</f>
        <v>0</v>
      </c>
      <c r="I48" s="91" t="n">
        <f aca="false">Ops_Model!E$52</f>
        <v>41.279043674789</v>
      </c>
      <c r="J48" s="91" t="n">
        <f aca="false">Ops_Model!E$51</f>
        <v>0.9405</v>
      </c>
      <c r="K48" s="91" t="n">
        <f aca="false">Ops_Model!E$64</f>
        <v>24.7273348750579</v>
      </c>
      <c r="L48" s="91" t="n">
        <f aca="false">Ops_Model!E$65</f>
        <v>0.599028772804639</v>
      </c>
      <c r="M48" s="91" t="n">
        <f aca="false">Ops_Model!E$43</f>
        <v>0.93</v>
      </c>
      <c r="N48" s="91" t="n">
        <f aca="false">Ops_Model!E$41</f>
        <v>0.78</v>
      </c>
      <c r="O48" s="91" t="n">
        <f aca="false">Ops_Model!E$57</f>
        <v>0.375030787611433</v>
      </c>
      <c r="P48" s="91" t="n">
        <f aca="false">Ops_Model!E$48</f>
        <v>41.7023190623389</v>
      </c>
    </row>
    <row r="49" customFormat="false" ht="15" hidden="false" customHeight="false" outlineLevel="0" collapsed="false">
      <c r="A49" s="90" t="n">
        <f aca="false">Ops_Model!F$6</f>
        <v>46113</v>
      </c>
      <c r="B49" s="8" t="s">
        <v>1096</v>
      </c>
      <c r="C49" s="8" t="s">
        <v>664</v>
      </c>
      <c r="D49" s="91" t="n">
        <f aca="false">Ops_Model!F$39</f>
        <v>42.599632275324</v>
      </c>
      <c r="E49" s="91" t="n">
        <f aca="false">Ops_Model!F$40*Ops_Model!F$43</f>
        <v>55.8</v>
      </c>
      <c r="F49" s="91" t="n">
        <f aca="false">Ops_Model!F$50</f>
        <v>0.763434270167097</v>
      </c>
      <c r="G49" s="91" t="n">
        <f aca="false">Ops_Model!F$47</f>
        <v>42.599632275324</v>
      </c>
      <c r="H49" s="91" t="n">
        <f aca="false">Ops_Model!F$49</f>
        <v>0</v>
      </c>
      <c r="I49" s="91" t="n">
        <f aca="false">Ops_Model!F$52</f>
        <v>40.0649541549422</v>
      </c>
      <c r="J49" s="91" t="n">
        <f aca="false">Ops_Model!F$51</f>
        <v>0.9405</v>
      </c>
      <c r="K49" s="91" t="n">
        <f aca="false">Ops_Model!F$64</f>
        <v>24.0453685959149</v>
      </c>
      <c r="L49" s="91" t="n">
        <f aca="false">Ops_Model!F$65</f>
        <v>0.600159643336289</v>
      </c>
      <c r="M49" s="91" t="n">
        <f aca="false">Ops_Model!F$43</f>
        <v>0.93</v>
      </c>
      <c r="N49" s="91" t="n">
        <f aca="false">Ops_Model!F$41</f>
        <v>0.78</v>
      </c>
      <c r="O49" s="91" t="n">
        <f aca="false">Ops_Model!F$57</f>
        <v>0.375030787611433</v>
      </c>
      <c r="P49" s="91" t="n">
        <f aca="false">Ops_Model!F$48</f>
        <v>42.6266867870149</v>
      </c>
    </row>
    <row r="50" customFormat="false" ht="15" hidden="false" customHeight="false" outlineLevel="0" collapsed="false">
      <c r="A50" s="90" t="n">
        <f aca="false">Ops_Model!G$6</f>
        <v>46143</v>
      </c>
      <c r="B50" s="8" t="s">
        <v>1096</v>
      </c>
      <c r="C50" s="8" t="s">
        <v>664</v>
      </c>
      <c r="D50" s="91" t="n">
        <f aca="false">Ops_Model!G$39</f>
        <v>43.0299315912364</v>
      </c>
      <c r="E50" s="91" t="n">
        <f aca="false">Ops_Model!G$40*Ops_Model!G$43</f>
        <v>55.8</v>
      </c>
      <c r="F50" s="91" t="n">
        <f aca="false">Ops_Model!G$50</f>
        <v>0.771145727441512</v>
      </c>
      <c r="G50" s="91" t="n">
        <f aca="false">Ops_Model!G$47</f>
        <v>43.0299315912364</v>
      </c>
      <c r="H50" s="91" t="n">
        <f aca="false">Ops_Model!G$49</f>
        <v>0</v>
      </c>
      <c r="I50" s="91" t="n">
        <f aca="false">Ops_Model!G$52</f>
        <v>40.4696506615578</v>
      </c>
      <c r="J50" s="91" t="n">
        <f aca="false">Ops_Model!G$51</f>
        <v>0.9405</v>
      </c>
      <c r="K50" s="91" t="n">
        <f aca="false">Ops_Model!G$64</f>
        <v>24.3104046812593</v>
      </c>
      <c r="L50" s="91" t="n">
        <f aca="false">Ops_Model!G$65</f>
        <v>0.600707055382413</v>
      </c>
      <c r="M50" s="91" t="n">
        <f aca="false">Ops_Model!G$43</f>
        <v>0.93</v>
      </c>
      <c r="N50" s="91" t="n">
        <f aca="false">Ops_Model!G$41</f>
        <v>0.78</v>
      </c>
      <c r="O50" s="91" t="n">
        <f aca="false">Ops_Model!G$57</f>
        <v>0.375030787611433</v>
      </c>
      <c r="P50" s="91" t="n">
        <f aca="false">Ops_Model!G$48</f>
        <v>43.1207551957785</v>
      </c>
    </row>
    <row r="51" customFormat="false" ht="15" hidden="false" customHeight="false" outlineLevel="0" collapsed="false">
      <c r="A51" s="90" t="n">
        <f aca="false">Ops_Model!H$6</f>
        <v>46174</v>
      </c>
      <c r="B51" s="8" t="s">
        <v>1096</v>
      </c>
      <c r="C51" s="8" t="s">
        <v>664</v>
      </c>
      <c r="D51" s="91" t="n">
        <f aca="false">Ops_Model!H$39</f>
        <v>44.3208295389735</v>
      </c>
      <c r="E51" s="91" t="n">
        <f aca="false">Ops_Model!H$40*Ops_Model!H$43</f>
        <v>55.8</v>
      </c>
      <c r="F51" s="91" t="n">
        <f aca="false">Ops_Model!H$50</f>
        <v>0.794280099264757</v>
      </c>
      <c r="G51" s="91" t="n">
        <f aca="false">Ops_Model!H$47</f>
        <v>44.3208295389735</v>
      </c>
      <c r="H51" s="91" t="n">
        <f aca="false">Ops_Model!H$49</f>
        <v>0</v>
      </c>
      <c r="I51" s="91" t="n">
        <f aca="false">Ops_Model!H$52</f>
        <v>41.6837401814045</v>
      </c>
      <c r="J51" s="91" t="n">
        <f aca="false">Ops_Model!H$51</f>
        <v>0.9405</v>
      </c>
      <c r="K51" s="91" t="n">
        <f aca="false">Ops_Model!H$64</f>
        <v>25.0509426999834</v>
      </c>
      <c r="L51" s="91" t="n">
        <f aca="false">Ops_Model!H$65</f>
        <v>0.600976366107348</v>
      </c>
      <c r="M51" s="91" t="n">
        <f aca="false">Ops_Model!H$43</f>
        <v>0.93</v>
      </c>
      <c r="N51" s="91" t="n">
        <f aca="false">Ops_Model!H$41</f>
        <v>0.78</v>
      </c>
      <c r="O51" s="91" t="n">
        <f aca="false">Ops_Model!H$57</f>
        <v>0.375030787611433</v>
      </c>
      <c r="P51" s="91" t="n">
        <f aca="false">Ops_Model!H$48</f>
        <v>42.3239256568051</v>
      </c>
    </row>
    <row r="52" customFormat="false" ht="15" hidden="false" customHeight="false" outlineLevel="0" collapsed="false">
      <c r="A52" s="90" t="n">
        <f aca="false">Ops_Model!I$6</f>
        <v>46204</v>
      </c>
      <c r="B52" s="8" t="s">
        <v>1096</v>
      </c>
      <c r="C52" s="8" t="s">
        <v>664</v>
      </c>
      <c r="D52" s="91" t="n">
        <f aca="false">Ops_Model!I$39</f>
        <v>43.8905302230611</v>
      </c>
      <c r="E52" s="91" t="n">
        <f aca="false">Ops_Model!I$40*Ops_Model!I$43</f>
        <v>55.8</v>
      </c>
      <c r="F52" s="91" t="n">
        <f aca="false">Ops_Model!I$50</f>
        <v>0.786568641990342</v>
      </c>
      <c r="G52" s="91" t="n">
        <f aca="false">Ops_Model!I$47</f>
        <v>43.8905302230611</v>
      </c>
      <c r="H52" s="91" t="n">
        <f aca="false">Ops_Model!I$49</f>
        <v>0</v>
      </c>
      <c r="I52" s="91" t="n">
        <f aca="false">Ops_Model!I$52</f>
        <v>41.279043674789</v>
      </c>
      <c r="J52" s="91" t="n">
        <f aca="false">Ops_Model!I$51</f>
        <v>0.9405</v>
      </c>
      <c r="K52" s="91" t="n">
        <f aca="false">Ops_Model!I$64</f>
        <v>24.8133135923047</v>
      </c>
      <c r="L52" s="91" t="n">
        <f aca="false">Ops_Model!I$65</f>
        <v>0.601111638820726</v>
      </c>
      <c r="M52" s="91" t="n">
        <f aca="false">Ops_Model!I$43</f>
        <v>0.93</v>
      </c>
      <c r="N52" s="91" t="n">
        <f aca="false">Ops_Model!I$41</f>
        <v>0.78</v>
      </c>
      <c r="O52" s="91" t="n">
        <f aca="false">Ops_Model!I$57</f>
        <v>0.375030787611433</v>
      </c>
      <c r="P52" s="91" t="n">
        <f aca="false">Ops_Model!I$48</f>
        <v>41.957395433744</v>
      </c>
    </row>
    <row r="53" customFormat="false" ht="15" hidden="false" customHeight="false" outlineLevel="0" collapsed="false">
      <c r="A53" s="90" t="n">
        <f aca="false">Ops_Model!J$6</f>
        <v>46235</v>
      </c>
      <c r="B53" s="8" t="s">
        <v>1096</v>
      </c>
      <c r="C53" s="8" t="s">
        <v>664</v>
      </c>
      <c r="D53" s="91" t="n">
        <f aca="false">Ops_Model!J$39</f>
        <v>44.3208295389735</v>
      </c>
      <c r="E53" s="91" t="n">
        <f aca="false">Ops_Model!J$40*Ops_Model!J$43</f>
        <v>55.8</v>
      </c>
      <c r="F53" s="91" t="n">
        <f aca="false">Ops_Model!J$50</f>
        <v>0.794280099264757</v>
      </c>
      <c r="G53" s="91" t="n">
        <f aca="false">Ops_Model!J$47</f>
        <v>44.3208295389735</v>
      </c>
      <c r="H53" s="91" t="n">
        <f aca="false">Ops_Model!J$49</f>
        <v>0</v>
      </c>
      <c r="I53" s="91" t="n">
        <f aca="false">Ops_Model!J$52</f>
        <v>41.6837401814045</v>
      </c>
      <c r="J53" s="91" t="n">
        <f aca="false">Ops_Model!J$51</f>
        <v>0.9405</v>
      </c>
      <c r="K53" s="91" t="n">
        <f aca="false">Ops_Model!J$64</f>
        <v>25.0593732170962</v>
      </c>
      <c r="L53" s="91" t="n">
        <f aca="false">Ops_Model!J$65</f>
        <v>0.601178615643407</v>
      </c>
      <c r="M53" s="91" t="n">
        <f aca="false">Ops_Model!J$43</f>
        <v>0.93</v>
      </c>
      <c r="N53" s="91" t="n">
        <f aca="false">Ops_Model!J$41</f>
        <v>0.78</v>
      </c>
      <c r="O53" s="91" t="n">
        <f aca="false">Ops_Model!J$57</f>
        <v>0.375030787611433</v>
      </c>
      <c r="P53" s="91" t="n">
        <f aca="false">Ops_Model!J$48</f>
        <v>41.1605658947705</v>
      </c>
    </row>
    <row r="54" customFormat="false" ht="15" hidden="false" customHeight="false" outlineLevel="0" collapsed="false">
      <c r="A54" s="90" t="n">
        <f aca="false">Ops_Model!K$6</f>
        <v>46266</v>
      </c>
      <c r="B54" s="8" t="s">
        <v>1096</v>
      </c>
      <c r="C54" s="8" t="s">
        <v>664</v>
      </c>
      <c r="D54" s="91" t="n">
        <f aca="false">Ops_Model!K$39</f>
        <v>45.1814281707982</v>
      </c>
      <c r="E54" s="91" t="n">
        <f aca="false">Ops_Model!K$40*Ops_Model!K$43</f>
        <v>55.8</v>
      </c>
      <c r="F54" s="91" t="n">
        <f aca="false">Ops_Model!K$50</f>
        <v>0.809703013813588</v>
      </c>
      <c r="G54" s="91" t="n">
        <f aca="false">Ops_Model!K$47</f>
        <v>45.1814281707982</v>
      </c>
      <c r="H54" s="91" t="n">
        <f aca="false">Ops_Model!K$49</f>
        <v>0</v>
      </c>
      <c r="I54" s="91" t="n">
        <f aca="false">Ops_Model!K$52</f>
        <v>42.4931331946357</v>
      </c>
      <c r="J54" s="91" t="n">
        <f aca="false">Ops_Model!K$51</f>
        <v>0.9405</v>
      </c>
      <c r="K54" s="91" t="n">
        <f aca="false">Ops_Model!K$64</f>
        <v>25.5473730806343</v>
      </c>
      <c r="L54" s="91" t="n">
        <f aca="false">Ops_Model!K$65</f>
        <v>0.601211799648123</v>
      </c>
      <c r="M54" s="91" t="n">
        <f aca="false">Ops_Model!K$43</f>
        <v>0.93</v>
      </c>
      <c r="N54" s="91" t="n">
        <f aca="false">Ops_Model!K$41</f>
        <v>0.78</v>
      </c>
      <c r="O54" s="91" t="n">
        <f aca="false">Ops_Model!K$57</f>
        <v>0.375030787611433</v>
      </c>
      <c r="P54" s="91" t="n">
        <f aca="false">Ops_Model!K$48</f>
        <v>39.5031377239723</v>
      </c>
    </row>
    <row r="55" customFormat="false" ht="15" hidden="false" customHeight="false" outlineLevel="0" collapsed="false">
      <c r="A55" s="90" t="n">
        <f aca="false">Ops_Model!L$6</f>
        <v>46296</v>
      </c>
      <c r="B55" s="8" t="s">
        <v>1096</v>
      </c>
      <c r="C55" s="8" t="s">
        <v>664</v>
      </c>
      <c r="D55" s="91" t="n">
        <f aca="false">Ops_Model!L$39</f>
        <v>43.8905302230611</v>
      </c>
      <c r="E55" s="91" t="n">
        <f aca="false">Ops_Model!L$40*Ops_Model!L$43</f>
        <v>55.8</v>
      </c>
      <c r="F55" s="91" t="n">
        <f aca="false">Ops_Model!L$50</f>
        <v>0.786568641990342</v>
      </c>
      <c r="G55" s="91" t="n">
        <f aca="false">Ops_Model!L$47</f>
        <v>43.8905302230611</v>
      </c>
      <c r="H55" s="91" t="n">
        <f aca="false">Ops_Model!L$49</f>
        <v>0</v>
      </c>
      <c r="I55" s="91" t="n">
        <f aca="false">Ops_Model!L$52</f>
        <v>41.279043674789</v>
      </c>
      <c r="J55" s="91" t="n">
        <f aca="false">Ops_Model!L$51</f>
        <v>0.9405</v>
      </c>
      <c r="K55" s="91" t="n">
        <f aca="false">Ops_Model!L$64</f>
        <v>24.8181272135258</v>
      </c>
      <c r="L55" s="91" t="n">
        <f aca="false">Ops_Model!L$65</f>
        <v>0.601228250563453</v>
      </c>
      <c r="M55" s="91" t="n">
        <f aca="false">Ops_Model!L$43</f>
        <v>0.93</v>
      </c>
      <c r="N55" s="91" t="n">
        <f aca="false">Ops_Model!L$41</f>
        <v>0.78</v>
      </c>
      <c r="O55" s="91" t="n">
        <f aca="false">Ops_Model!L$57</f>
        <v>0.375030787611433</v>
      </c>
      <c r="P55" s="91" t="n">
        <f aca="false">Ops_Model!L$48</f>
        <v>39.1366075009112</v>
      </c>
    </row>
    <row r="56" customFormat="false" ht="15" hidden="false" customHeight="false" outlineLevel="0" collapsed="false">
      <c r="A56" s="90" t="n">
        <f aca="false">Ops_Model!M$6</f>
        <v>46327</v>
      </c>
      <c r="B56" s="8" t="s">
        <v>1096</v>
      </c>
      <c r="C56" s="8" t="s">
        <v>664</v>
      </c>
      <c r="D56" s="91" t="n">
        <f aca="false">Ops_Model!M$39</f>
        <v>42.1693329594116</v>
      </c>
      <c r="E56" s="91" t="n">
        <f aca="false">Ops_Model!M$40*Ops_Model!M$43</f>
        <v>55.8</v>
      </c>
      <c r="F56" s="91" t="n">
        <f aca="false">Ops_Model!M$50</f>
        <v>0.755722812892682</v>
      </c>
      <c r="G56" s="91" t="n">
        <f aca="false">Ops_Model!M$47</f>
        <v>42.1693329594116</v>
      </c>
      <c r="H56" s="91" t="n">
        <f aca="false">Ops_Model!M$49</f>
        <v>0</v>
      </c>
      <c r="I56" s="91" t="n">
        <f aca="false">Ops_Model!M$52</f>
        <v>39.6602576483267</v>
      </c>
      <c r="J56" s="91" t="n">
        <f aca="false">Ops_Model!M$51</f>
        <v>0.9405</v>
      </c>
      <c r="K56" s="91" t="n">
        <f aca="false">Ops_Model!M$64</f>
        <v>23.8451791245853</v>
      </c>
      <c r="L56" s="91" t="n">
        <f aca="false">Ops_Model!M$65</f>
        <v>0.60123611238293</v>
      </c>
      <c r="M56" s="91" t="n">
        <f aca="false">Ops_Model!M$43</f>
        <v>0.93</v>
      </c>
      <c r="N56" s="91" t="n">
        <f aca="false">Ops_Model!M$41</f>
        <v>0.78</v>
      </c>
      <c r="O56" s="91" t="n">
        <f aca="false">Ops_Model!M$57</f>
        <v>0.375030787611433</v>
      </c>
      <c r="P56" s="91" t="n">
        <f aca="false">Ops_Model!M$48</f>
        <v>40.4912745414996</v>
      </c>
    </row>
    <row r="57" customFormat="false" ht="15" hidden="false" customHeight="false" outlineLevel="0" collapsed="false">
      <c r="A57" s="90" t="n">
        <f aca="false">Ops_Model!N$6</f>
        <v>46357</v>
      </c>
      <c r="B57" s="8" t="s">
        <v>1096</v>
      </c>
      <c r="C57" s="8" t="s">
        <v>664</v>
      </c>
      <c r="D57" s="91" t="n">
        <f aca="false">Ops_Model!N$39</f>
        <v>41.3087343275869</v>
      </c>
      <c r="E57" s="91" t="n">
        <f aca="false">Ops_Model!N$40*Ops_Model!N$43</f>
        <v>55.8</v>
      </c>
      <c r="F57" s="91" t="n">
        <f aca="false">Ops_Model!N$50</f>
        <v>0.740299898343852</v>
      </c>
      <c r="G57" s="91" t="n">
        <f aca="false">Ops_Model!N$47</f>
        <v>41.3087343275869</v>
      </c>
      <c r="H57" s="91" t="n">
        <f aca="false">Ops_Model!N$49</f>
        <v>0</v>
      </c>
      <c r="I57" s="91" t="n">
        <f aca="false">Ops_Model!N$52</f>
        <v>38.8508646350955</v>
      </c>
      <c r="J57" s="91" t="n">
        <f aca="false">Ops_Model!N$51</f>
        <v>0.9405</v>
      </c>
      <c r="K57" s="91" t="n">
        <f aca="false">Ops_Model!N$64</f>
        <v>23.3586850975011</v>
      </c>
      <c r="L57" s="91" t="n">
        <f aca="false">Ops_Model!N$65</f>
        <v>0.601239774632976</v>
      </c>
      <c r="M57" s="91" t="n">
        <f aca="false">Ops_Model!N$43</f>
        <v>0.93</v>
      </c>
      <c r="N57" s="91" t="n">
        <f aca="false">Ops_Model!N$41</f>
        <v>0.78</v>
      </c>
      <c r="O57" s="91" t="n">
        <f aca="false">Ops_Model!N$57</f>
        <v>0.375030787611433</v>
      </c>
      <c r="P57" s="91" t="n">
        <f aca="false">Ops_Model!N$48</f>
        <v>42.7065402139127</v>
      </c>
    </row>
    <row r="58" customFormat="false" ht="15" hidden="false" customHeight="false" outlineLevel="0" collapsed="false">
      <c r="A58" s="90" t="n">
        <f aca="false">Ops_Model!C$6</f>
        <v>46023</v>
      </c>
      <c r="B58" s="8" t="s">
        <v>1097</v>
      </c>
      <c r="C58" s="8" t="s">
        <v>270</v>
      </c>
      <c r="D58" s="91" t="n">
        <f aca="false">Ops_Model!C$69</f>
        <v>4.05490471947625</v>
      </c>
      <c r="E58" s="91" t="n">
        <f aca="false">Ops_Model!C$70*Ops_Model!C$73</f>
        <v>6.16</v>
      </c>
      <c r="F58" s="91" t="n">
        <f aca="false">Ops_Model!C$80</f>
        <v>0.658263753161729</v>
      </c>
      <c r="G58" s="91" t="n">
        <f aca="false">Ops_Model!C$77</f>
        <v>4.05490471947625</v>
      </c>
      <c r="H58" s="91" t="n">
        <f aca="false">Ops_Model!C$79</f>
        <v>0</v>
      </c>
      <c r="I58" s="91" t="n">
        <f aca="false">Ops_Model!C$82</f>
        <v>13.6488092857571</v>
      </c>
      <c r="J58" s="91" t="n">
        <f aca="false">Ops_Model!C$81</f>
        <v>3.366</v>
      </c>
      <c r="K58" s="91" t="n">
        <f aca="false">Ops_Model!C$94</f>
        <v>6.88552165546139</v>
      </c>
      <c r="L58" s="91" t="n">
        <f aca="false">Ops_Model!C$95</f>
        <v>0.504477827428261</v>
      </c>
      <c r="M58" s="91" t="n">
        <f aca="false">Ops_Model!C$73</f>
        <v>0.88</v>
      </c>
      <c r="N58" s="91" t="n">
        <f aca="false">Ops_Model!C$71</f>
        <v>0.78</v>
      </c>
      <c r="O58" s="91" t="n">
        <f aca="false">Ops_Model!C$87</f>
        <v>1.63224483849484</v>
      </c>
      <c r="P58" s="91" t="n">
        <f aca="false">Ops_Model!C$78</f>
        <v>4.70744429426204</v>
      </c>
    </row>
    <row r="59" customFormat="false" ht="15" hidden="false" customHeight="false" outlineLevel="0" collapsed="false">
      <c r="A59" s="90" t="n">
        <f aca="false">Ops_Model!D$6</f>
        <v>46054</v>
      </c>
      <c r="B59" s="8" t="s">
        <v>1097</v>
      </c>
      <c r="C59" s="8" t="s">
        <v>270</v>
      </c>
      <c r="D59" s="91" t="n">
        <f aca="false">Ops_Model!D$69</f>
        <v>4.14117928797574</v>
      </c>
      <c r="E59" s="91" t="n">
        <f aca="false">Ops_Model!D$70*Ops_Model!D$73</f>
        <v>6.16</v>
      </c>
      <c r="F59" s="91" t="n">
        <f aca="false">Ops_Model!D$80</f>
        <v>0.672269364931127</v>
      </c>
      <c r="G59" s="91" t="n">
        <f aca="false">Ops_Model!D$77</f>
        <v>4.14117928797574</v>
      </c>
      <c r="H59" s="91" t="n">
        <f aca="false">Ops_Model!D$79</f>
        <v>0</v>
      </c>
      <c r="I59" s="91" t="n">
        <f aca="false">Ops_Model!D$82</f>
        <v>13.9392094833264</v>
      </c>
      <c r="J59" s="91" t="n">
        <f aca="false">Ops_Model!D$81</f>
        <v>3.366</v>
      </c>
      <c r="K59" s="91" t="n">
        <f aca="false">Ops_Model!D$94</f>
        <v>7.10666273139113</v>
      </c>
      <c r="L59" s="91" t="n">
        <f aca="false">Ops_Model!D$95</f>
        <v>0.509832551113598</v>
      </c>
      <c r="M59" s="91" t="n">
        <f aca="false">Ops_Model!D$73</f>
        <v>0.88</v>
      </c>
      <c r="N59" s="91" t="n">
        <f aca="false">Ops_Model!D$71</f>
        <v>0.78</v>
      </c>
      <c r="O59" s="91" t="n">
        <f aca="false">Ops_Model!D$87</f>
        <v>1.63224483849484</v>
      </c>
      <c r="P59" s="91" t="n">
        <f aca="false">Ops_Model!D$78</f>
        <v>5.3710650062863</v>
      </c>
    </row>
    <row r="60" customFormat="false" ht="15" hidden="false" customHeight="false" outlineLevel="0" collapsed="false">
      <c r="A60" s="90" t="n">
        <f aca="false">Ops_Model!E$6</f>
        <v>46082</v>
      </c>
      <c r="B60" s="8" t="s">
        <v>1097</v>
      </c>
      <c r="C60" s="8" t="s">
        <v>270</v>
      </c>
      <c r="D60" s="91" t="n">
        <f aca="false">Ops_Model!E$69</f>
        <v>4.40000299347423</v>
      </c>
      <c r="E60" s="91" t="n">
        <f aca="false">Ops_Model!E$70*Ops_Model!E$73</f>
        <v>6.16</v>
      </c>
      <c r="F60" s="91" t="n">
        <f aca="false">Ops_Model!E$80</f>
        <v>0.714286200239323</v>
      </c>
      <c r="G60" s="91" t="n">
        <f aca="false">Ops_Model!E$77</f>
        <v>4.40000299347423</v>
      </c>
      <c r="H60" s="91" t="n">
        <f aca="false">Ops_Model!E$79</f>
        <v>0</v>
      </c>
      <c r="I60" s="91" t="n">
        <f aca="false">Ops_Model!E$82</f>
        <v>14.8104100760342</v>
      </c>
      <c r="J60" s="91" t="n">
        <f aca="false">Ops_Model!E$81</f>
        <v>3.366</v>
      </c>
      <c r="K60" s="91" t="n">
        <f aca="false">Ops_Model!E$94</f>
        <v>7.58751664220077</v>
      </c>
      <c r="L60" s="91" t="n">
        <f aca="false">Ops_Model!E$95</f>
        <v>0.512309693198749</v>
      </c>
      <c r="M60" s="91" t="n">
        <f aca="false">Ops_Model!E$73</f>
        <v>0.88</v>
      </c>
      <c r="N60" s="91" t="n">
        <f aca="false">Ops_Model!E$71</f>
        <v>0.78</v>
      </c>
      <c r="O60" s="91" t="n">
        <f aca="false">Ops_Model!E$87</f>
        <v>1.63224483849484</v>
      </c>
      <c r="P60" s="91" t="n">
        <f aca="false">Ops_Model!E$78</f>
        <v>5.77586201281207</v>
      </c>
    </row>
    <row r="61" customFormat="false" ht="15" hidden="false" customHeight="false" outlineLevel="0" collapsed="false">
      <c r="A61" s="90" t="n">
        <f aca="false">Ops_Model!F$6</f>
        <v>46113</v>
      </c>
      <c r="B61" s="8" t="s">
        <v>1097</v>
      </c>
      <c r="C61" s="8" t="s">
        <v>270</v>
      </c>
      <c r="D61" s="91" t="n">
        <f aca="false">Ops_Model!F$69</f>
        <v>4.27059114072498</v>
      </c>
      <c r="E61" s="91" t="n">
        <f aca="false">Ops_Model!F$70*Ops_Model!F$73</f>
        <v>6.16</v>
      </c>
      <c r="F61" s="91" t="n">
        <f aca="false">Ops_Model!F$80</f>
        <v>0.693277782585225</v>
      </c>
      <c r="G61" s="91" t="n">
        <f aca="false">Ops_Model!F$77</f>
        <v>4.27059114072498</v>
      </c>
      <c r="H61" s="91" t="n">
        <f aca="false">Ops_Model!F$79</f>
        <v>0</v>
      </c>
      <c r="I61" s="91" t="n">
        <f aca="false">Ops_Model!F$82</f>
        <v>14.3748097796803</v>
      </c>
      <c r="J61" s="91" t="n">
        <f aca="false">Ops_Model!F$81</f>
        <v>3.366</v>
      </c>
      <c r="K61" s="91" t="n">
        <f aca="false">Ops_Model!F$94</f>
        <v>7.38243031554205</v>
      </c>
      <c r="L61" s="91" t="n">
        <f aca="false">Ops_Model!F$95</f>
        <v>0.513567165666261</v>
      </c>
      <c r="M61" s="91" t="n">
        <f aca="false">Ops_Model!F$73</f>
        <v>0.88</v>
      </c>
      <c r="N61" s="91" t="n">
        <f aca="false">Ops_Model!F$71</f>
        <v>0.78</v>
      </c>
      <c r="O61" s="91" t="n">
        <f aca="false">Ops_Model!F$87</f>
        <v>1.63224483849484</v>
      </c>
      <c r="P61" s="91" t="n">
        <f aca="false">Ops_Model!F$78</f>
        <v>6.31007087208709</v>
      </c>
    </row>
    <row r="62" customFormat="false" ht="15" hidden="false" customHeight="false" outlineLevel="0" collapsed="false">
      <c r="A62" s="90" t="n">
        <f aca="false">Ops_Model!G$6</f>
        <v>46143</v>
      </c>
      <c r="B62" s="8" t="s">
        <v>1097</v>
      </c>
      <c r="C62" s="8" t="s">
        <v>270</v>
      </c>
      <c r="D62" s="91" t="n">
        <f aca="false">Ops_Model!G$69</f>
        <v>4.31372842497473</v>
      </c>
      <c r="E62" s="91" t="n">
        <f aca="false">Ops_Model!G$70*Ops_Model!G$73</f>
        <v>6.16</v>
      </c>
      <c r="F62" s="91" t="n">
        <f aca="false">Ops_Model!G$80</f>
        <v>0.700280588469924</v>
      </c>
      <c r="G62" s="91" t="n">
        <f aca="false">Ops_Model!G$77</f>
        <v>4.31372842497473</v>
      </c>
      <c r="H62" s="91" t="n">
        <f aca="false">Ops_Model!G$79</f>
        <v>0</v>
      </c>
      <c r="I62" s="91" t="n">
        <f aca="false">Ops_Model!G$82</f>
        <v>14.5200098784649</v>
      </c>
      <c r="J62" s="91" t="n">
        <f aca="false">Ops_Model!G$81</f>
        <v>3.366</v>
      </c>
      <c r="K62" s="91" t="n">
        <f aca="false">Ops_Model!G$94</f>
        <v>7.46648838663766</v>
      </c>
      <c r="L62" s="91" t="n">
        <f aca="false">Ops_Model!G$95</f>
        <v>0.514220613424749</v>
      </c>
      <c r="M62" s="91" t="n">
        <f aca="false">Ops_Model!G$73</f>
        <v>0.88</v>
      </c>
      <c r="N62" s="91" t="n">
        <f aca="false">Ops_Model!G$71</f>
        <v>0.78</v>
      </c>
      <c r="O62" s="91" t="n">
        <f aca="false">Ops_Model!G$87</f>
        <v>1.63224483849484</v>
      </c>
      <c r="P62" s="91" t="n">
        <f aca="false">Ops_Model!G$78</f>
        <v>6.80114244711235</v>
      </c>
    </row>
    <row r="63" customFormat="false" ht="15" hidden="false" customHeight="false" outlineLevel="0" collapsed="false">
      <c r="A63" s="90" t="n">
        <f aca="false">Ops_Model!H$6</f>
        <v>46174</v>
      </c>
      <c r="B63" s="8" t="s">
        <v>1097</v>
      </c>
      <c r="C63" s="8" t="s">
        <v>270</v>
      </c>
      <c r="D63" s="91" t="n">
        <f aca="false">Ops_Model!H$69</f>
        <v>4.44314027772397</v>
      </c>
      <c r="E63" s="91" t="n">
        <f aca="false">Ops_Model!H$70*Ops_Model!H$73</f>
        <v>6.16</v>
      </c>
      <c r="F63" s="91" t="n">
        <f aca="false">Ops_Model!H$80</f>
        <v>0.721289006124022</v>
      </c>
      <c r="G63" s="91" t="n">
        <f aca="false">Ops_Model!H$77</f>
        <v>4.44314027772397</v>
      </c>
      <c r="H63" s="91" t="n">
        <f aca="false">Ops_Model!H$79</f>
        <v>0</v>
      </c>
      <c r="I63" s="91" t="n">
        <f aca="false">Ops_Model!H$82</f>
        <v>14.9556101748189</v>
      </c>
      <c r="J63" s="91" t="n">
        <f aca="false">Ops_Model!H$81</f>
        <v>3.366</v>
      </c>
      <c r="K63" s="91" t="n">
        <f aca="false">Ops_Model!H$94</f>
        <v>7.69579639324005</v>
      </c>
      <c r="L63" s="91" t="n">
        <f aca="false">Ops_Model!H$95</f>
        <v>0.514575888464761</v>
      </c>
      <c r="M63" s="91" t="n">
        <f aca="false">Ops_Model!H$73</f>
        <v>0.88</v>
      </c>
      <c r="N63" s="91" t="n">
        <f aca="false">Ops_Model!H$71</f>
        <v>0.78</v>
      </c>
      <c r="O63" s="91" t="n">
        <f aca="false">Ops_Model!H$87</f>
        <v>1.63224483849484</v>
      </c>
      <c r="P63" s="91" t="n">
        <f aca="false">Ops_Model!H$78</f>
        <v>7.16280216938838</v>
      </c>
    </row>
    <row r="64" customFormat="false" ht="15" hidden="false" customHeight="false" outlineLevel="0" collapsed="false">
      <c r="A64" s="90" t="n">
        <f aca="false">Ops_Model!I$6</f>
        <v>46204</v>
      </c>
      <c r="B64" s="8" t="s">
        <v>1097</v>
      </c>
      <c r="C64" s="8" t="s">
        <v>270</v>
      </c>
      <c r="D64" s="91" t="n">
        <f aca="false">Ops_Model!I$69</f>
        <v>4.40000299347423</v>
      </c>
      <c r="E64" s="91" t="n">
        <f aca="false">Ops_Model!I$70*Ops_Model!I$73</f>
        <v>6.16</v>
      </c>
      <c r="F64" s="91" t="n">
        <f aca="false">Ops_Model!I$80</f>
        <v>0.714286200239323</v>
      </c>
      <c r="G64" s="91" t="n">
        <f aca="false">Ops_Model!I$77</f>
        <v>4.40000299347423</v>
      </c>
      <c r="H64" s="91" t="n">
        <f aca="false">Ops_Model!I$79</f>
        <v>0</v>
      </c>
      <c r="I64" s="91" t="n">
        <f aca="false">Ops_Model!I$82</f>
        <v>14.8104100760342</v>
      </c>
      <c r="J64" s="91" t="n">
        <f aca="false">Ops_Model!I$81</f>
        <v>3.366</v>
      </c>
      <c r="K64" s="91" t="n">
        <f aca="false">Ops_Model!I$94</f>
        <v>7.62407016657816</v>
      </c>
      <c r="L64" s="91" t="n">
        <f aca="false">Ops_Model!I$95</f>
        <v>0.51477778990841</v>
      </c>
      <c r="M64" s="91" t="n">
        <f aca="false">Ops_Model!I$73</f>
        <v>0.88</v>
      </c>
      <c r="N64" s="91" t="n">
        <f aca="false">Ops_Model!I$71</f>
        <v>0.78</v>
      </c>
      <c r="O64" s="91" t="n">
        <f aca="false">Ops_Model!I$87</f>
        <v>1.63224483849484</v>
      </c>
      <c r="P64" s="91" t="n">
        <f aca="false">Ops_Model!I$78</f>
        <v>7.56759917591415</v>
      </c>
    </row>
    <row r="65" customFormat="false" ht="15" hidden="false" customHeight="false" outlineLevel="0" collapsed="false">
      <c r="A65" s="90" t="n">
        <f aca="false">Ops_Model!J$6</f>
        <v>46235</v>
      </c>
      <c r="B65" s="8" t="s">
        <v>1097</v>
      </c>
      <c r="C65" s="8" t="s">
        <v>270</v>
      </c>
      <c r="D65" s="91" t="n">
        <f aca="false">Ops_Model!J$69</f>
        <v>4.44314027772397</v>
      </c>
      <c r="E65" s="91" t="n">
        <f aca="false">Ops_Model!J$70*Ops_Model!J$73</f>
        <v>6.16</v>
      </c>
      <c r="F65" s="91" t="n">
        <f aca="false">Ops_Model!J$80</f>
        <v>0.721289006124022</v>
      </c>
      <c r="G65" s="91" t="n">
        <f aca="false">Ops_Model!J$77</f>
        <v>4.44314027772397</v>
      </c>
      <c r="H65" s="91" t="n">
        <f aca="false">Ops_Model!J$79</f>
        <v>0</v>
      </c>
      <c r="I65" s="91" t="n">
        <f aca="false">Ops_Model!J$82</f>
        <v>14.9556101748189</v>
      </c>
      <c r="J65" s="91" t="n">
        <f aca="false">Ops_Model!J$81</f>
        <v>3.366</v>
      </c>
      <c r="K65" s="91" t="n">
        <f aca="false">Ops_Model!J$94</f>
        <v>7.70056407796853</v>
      </c>
      <c r="L65" s="91" t="n">
        <f aca="false">Ops_Model!J$95</f>
        <v>0.514894677512667</v>
      </c>
      <c r="M65" s="91" t="n">
        <f aca="false">Ops_Model!J$73</f>
        <v>0.88</v>
      </c>
      <c r="N65" s="91" t="n">
        <f aca="false">Ops_Model!J$71</f>
        <v>0.78</v>
      </c>
      <c r="O65" s="91" t="n">
        <f aca="false">Ops_Model!J$87</f>
        <v>1.63224483849484</v>
      </c>
      <c r="P65" s="91" t="n">
        <f aca="false">Ops_Model!J$78</f>
        <v>7.92925889819018</v>
      </c>
    </row>
    <row r="66" customFormat="false" ht="15" hidden="false" customHeight="false" outlineLevel="0" collapsed="false">
      <c r="A66" s="90" t="n">
        <f aca="false">Ops_Model!K$6</f>
        <v>46266</v>
      </c>
      <c r="B66" s="8" t="s">
        <v>1097</v>
      </c>
      <c r="C66" s="8" t="s">
        <v>270</v>
      </c>
      <c r="D66" s="91" t="n">
        <f aca="false">Ops_Model!K$69</f>
        <v>4.52941484622347</v>
      </c>
      <c r="E66" s="91" t="n">
        <f aca="false">Ops_Model!K$70*Ops_Model!K$73</f>
        <v>6.16</v>
      </c>
      <c r="F66" s="91" t="n">
        <f aca="false">Ops_Model!K$80</f>
        <v>0.73529461789342</v>
      </c>
      <c r="G66" s="91" t="n">
        <f aca="false">Ops_Model!K$77</f>
        <v>4.52941484622347</v>
      </c>
      <c r="H66" s="91" t="n">
        <f aca="false">Ops_Model!K$79</f>
        <v>0</v>
      </c>
      <c r="I66" s="91" t="n">
        <f aca="false">Ops_Model!K$82</f>
        <v>15.2460103723882</v>
      </c>
      <c r="J66" s="91" t="n">
        <f aca="false">Ops_Model!K$81</f>
        <v>3.366</v>
      </c>
      <c r="K66" s="91" t="n">
        <f aca="false">Ops_Model!K$94</f>
        <v>7.85114864275486</v>
      </c>
      <c r="L66" s="91" t="n">
        <f aca="false">Ops_Model!K$95</f>
        <v>0.514964141502485</v>
      </c>
      <c r="M66" s="91" t="n">
        <f aca="false">Ops_Model!K$73</f>
        <v>0.88</v>
      </c>
      <c r="N66" s="91" t="n">
        <f aca="false">Ops_Model!K$71</f>
        <v>0.78</v>
      </c>
      <c r="O66" s="91" t="n">
        <f aca="false">Ops_Model!K$87</f>
        <v>1.63224483849484</v>
      </c>
      <c r="P66" s="91" t="n">
        <f aca="false">Ops_Model!K$78</f>
        <v>8.20464405196671</v>
      </c>
    </row>
    <row r="67" customFormat="false" ht="15" hidden="false" customHeight="false" outlineLevel="0" collapsed="false">
      <c r="A67" s="90" t="n">
        <f aca="false">Ops_Model!L$6</f>
        <v>46296</v>
      </c>
      <c r="B67" s="8" t="s">
        <v>1097</v>
      </c>
      <c r="C67" s="8" t="s">
        <v>270</v>
      </c>
      <c r="D67" s="91" t="n">
        <f aca="false">Ops_Model!L$69</f>
        <v>4.40000299347423</v>
      </c>
      <c r="E67" s="91" t="n">
        <f aca="false">Ops_Model!L$70*Ops_Model!L$73</f>
        <v>6.16</v>
      </c>
      <c r="F67" s="91" t="n">
        <f aca="false">Ops_Model!L$80</f>
        <v>0.714286200239323</v>
      </c>
      <c r="G67" s="91" t="n">
        <f aca="false">Ops_Model!L$77</f>
        <v>4.40000299347423</v>
      </c>
      <c r="H67" s="91" t="n">
        <f aca="false">Ops_Model!L$79</f>
        <v>0</v>
      </c>
      <c r="I67" s="91" t="n">
        <f aca="false">Ops_Model!L$82</f>
        <v>14.8104100760342</v>
      </c>
      <c r="J67" s="91" t="n">
        <f aca="false">Ops_Model!L$81</f>
        <v>3.366</v>
      </c>
      <c r="K67" s="91" t="n">
        <f aca="false">Ops_Model!L$94</f>
        <v>7.62745715793357</v>
      </c>
      <c r="L67" s="91" t="n">
        <f aca="false">Ops_Model!L$95</f>
        <v>0.515006479818954</v>
      </c>
      <c r="M67" s="91" t="n">
        <f aca="false">Ops_Model!L$73</f>
        <v>0.88</v>
      </c>
      <c r="N67" s="91" t="n">
        <f aca="false">Ops_Model!L$71</f>
        <v>0.78</v>
      </c>
      <c r="O67" s="91" t="n">
        <f aca="false">Ops_Model!L$87</f>
        <v>1.63224483849484</v>
      </c>
      <c r="P67" s="91" t="n">
        <f aca="false">Ops_Model!L$78</f>
        <v>8.60944105849248</v>
      </c>
    </row>
    <row r="68" customFormat="false" ht="15" hidden="false" customHeight="false" outlineLevel="0" collapsed="false">
      <c r="A68" s="90" t="n">
        <f aca="false">Ops_Model!M$6</f>
        <v>46327</v>
      </c>
      <c r="B68" s="8" t="s">
        <v>1097</v>
      </c>
      <c r="C68" s="8" t="s">
        <v>270</v>
      </c>
      <c r="D68" s="91" t="n">
        <f aca="false">Ops_Model!M$69</f>
        <v>4.22745385647524</v>
      </c>
      <c r="E68" s="91" t="n">
        <f aca="false">Ops_Model!M$70*Ops_Model!M$73</f>
        <v>6.16</v>
      </c>
      <c r="F68" s="91" t="n">
        <f aca="false">Ops_Model!M$80</f>
        <v>0.686274976700526</v>
      </c>
      <c r="G68" s="91" t="n">
        <f aca="false">Ops_Model!M$77</f>
        <v>4.22745385647524</v>
      </c>
      <c r="H68" s="91" t="n">
        <f aca="false">Ops_Model!M$79</f>
        <v>0</v>
      </c>
      <c r="I68" s="91" t="n">
        <f aca="false">Ops_Model!M$82</f>
        <v>14.2296096808957</v>
      </c>
      <c r="J68" s="91" t="n">
        <f aca="false">Ops_Model!M$81</f>
        <v>3.366</v>
      </c>
      <c r="K68" s="91" t="n">
        <f aca="false">Ops_Model!M$94</f>
        <v>7.32870967629239</v>
      </c>
      <c r="L68" s="91" t="n">
        <f aca="false">Ops_Model!M$95</f>
        <v>0.515032375493177</v>
      </c>
      <c r="M68" s="91" t="n">
        <f aca="false">Ops_Model!M$73</f>
        <v>0.88</v>
      </c>
      <c r="N68" s="91" t="n">
        <f aca="false">Ops_Model!M$71</f>
        <v>0.78</v>
      </c>
      <c r="O68" s="91" t="n">
        <f aca="false">Ops_Model!M$87</f>
        <v>1.63224483849484</v>
      </c>
      <c r="P68" s="91" t="n">
        <f aca="false">Ops_Model!M$78</f>
        <v>9.18678720201725</v>
      </c>
    </row>
    <row r="69" customFormat="false" ht="15" hidden="false" customHeight="false" outlineLevel="0" collapsed="false">
      <c r="A69" s="90" t="n">
        <f aca="false">Ops_Model!N$6</f>
        <v>46357</v>
      </c>
      <c r="B69" s="8" t="s">
        <v>1097</v>
      </c>
      <c r="C69" s="8" t="s">
        <v>270</v>
      </c>
      <c r="D69" s="91" t="n">
        <f aca="false">Ops_Model!N$69</f>
        <v>4.14117928797574</v>
      </c>
      <c r="E69" s="91" t="n">
        <f aca="false">Ops_Model!N$70*Ops_Model!N$73</f>
        <v>6.16</v>
      </c>
      <c r="F69" s="91" t="n">
        <f aca="false">Ops_Model!N$80</f>
        <v>0.672269364931127</v>
      </c>
      <c r="G69" s="91" t="n">
        <f aca="false">Ops_Model!N$77</f>
        <v>4.14117928797574</v>
      </c>
      <c r="H69" s="91" t="n">
        <f aca="false">Ops_Model!N$79</f>
        <v>0</v>
      </c>
      <c r="I69" s="91" t="n">
        <f aca="false">Ops_Model!N$82</f>
        <v>13.9392094833264</v>
      </c>
      <c r="J69" s="91" t="n">
        <f aca="false">Ops_Model!N$81</f>
        <v>3.366</v>
      </c>
      <c r="K69" s="91" t="n">
        <f aca="false">Ops_Model!N$94</f>
        <v>7.17936628536895</v>
      </c>
      <c r="L69" s="91" t="n">
        <f aca="false">Ops_Model!N$95</f>
        <v>0.51504830987415</v>
      </c>
      <c r="M69" s="91" t="n">
        <f aca="false">Ops_Model!N$73</f>
        <v>0.88</v>
      </c>
      <c r="N69" s="91" t="n">
        <f aca="false">Ops_Model!N$71</f>
        <v>0.78</v>
      </c>
      <c r="O69" s="91" t="n">
        <f aca="false">Ops_Model!N$87</f>
        <v>1.63224483849484</v>
      </c>
      <c r="P69" s="91" t="n">
        <f aca="false">Ops_Model!N$78</f>
        <v>9.8504079140415</v>
      </c>
    </row>
    <row r="71" customFormat="false" ht="15" hidden="false" customHeight="false" outlineLevel="0" collapsed="false">
      <c r="A71" s="21" t="s">
        <v>1098</v>
      </c>
      <c r="C71" s="4" t="s">
        <v>1099</v>
      </c>
    </row>
    <row r="72" customFormat="false" ht="24.05" hidden="false" customHeight="false" outlineLevel="0" collapsed="false">
      <c r="A72" s="18" t="s">
        <v>1083</v>
      </c>
      <c r="B72" s="19" t="s">
        <v>1084</v>
      </c>
      <c r="C72" s="19" t="s">
        <v>1063</v>
      </c>
      <c r="D72" s="19" t="s">
        <v>1100</v>
      </c>
      <c r="E72" s="19" t="s">
        <v>1088</v>
      </c>
      <c r="F72" s="19" t="s">
        <v>1090</v>
      </c>
      <c r="G72" s="19" t="s">
        <v>386</v>
      </c>
      <c r="H72" s="19" t="s">
        <v>1064</v>
      </c>
      <c r="I72" s="19" t="s">
        <v>1101</v>
      </c>
      <c r="J72" s="19" t="s">
        <v>1102</v>
      </c>
      <c r="K72" s="19" t="s">
        <v>1091</v>
      </c>
      <c r="L72" s="19" t="s">
        <v>1092</v>
      </c>
      <c r="M72" s="19" t="s">
        <v>1093</v>
      </c>
      <c r="N72" s="19" t="s">
        <v>1103</v>
      </c>
      <c r="O72" s="19" t="s">
        <v>1089</v>
      </c>
      <c r="P72" s="19" t="s">
        <v>1104</v>
      </c>
    </row>
    <row r="73" customFormat="false" ht="15" hidden="false" customHeight="false" outlineLevel="0" collapsed="false">
      <c r="A73" s="8" t="s">
        <v>1095</v>
      </c>
      <c r="B73" s="8" t="s">
        <v>660</v>
      </c>
      <c r="C73" s="91" t="n">
        <f aca="false">Ops_Model!$O$22</f>
        <v>485.635807938694</v>
      </c>
      <c r="D73" s="91" t="n">
        <f aca="false">Ops_Model!$O$22/Ops_Model!$O$98</f>
        <v>0.423946602506888</v>
      </c>
      <c r="E73" s="91" t="n">
        <f aca="false">Ops_Model!$O$17</f>
        <v>817.568700233491</v>
      </c>
      <c r="F73" s="91" t="n">
        <f aca="false">Ops_Model!$O$21</f>
        <v>0.594</v>
      </c>
      <c r="G73" s="91" t="n">
        <f aca="false">Ops_Model!$O$34</f>
        <v>288.454806960851</v>
      </c>
      <c r="H73" s="91" t="n">
        <f aca="false">Ops_Model!$O$35</f>
        <v>0.593973513166611</v>
      </c>
      <c r="I73" s="91" t="n">
        <f aca="false">Ops_Model!$O$32</f>
        <v>361.537485229568</v>
      </c>
      <c r="J73" s="91" t="n">
        <f aca="false">Ops_Model!$O$33</f>
        <v>0.744462165514797</v>
      </c>
      <c r="K73" s="91" t="n">
        <f aca="false">Ops_Model!$O$13</f>
        <v>0.95</v>
      </c>
      <c r="L73" s="91" t="n">
        <f aca="false">Ops_Model!$O$11</f>
        <v>0.78</v>
      </c>
      <c r="M73" s="91" t="n">
        <f aca="false">Ops_Model!$O$27</f>
        <v>0.240735615261931</v>
      </c>
      <c r="N73" s="91" t="n">
        <f aca="false">MAX(Ops_Model!$C$20:$N$20)</f>
        <v>0.855708866871178</v>
      </c>
      <c r="O73" s="91" t="n">
        <f aca="false">Ops_Model!$O$19</f>
        <v>0</v>
      </c>
      <c r="P73" s="91" t="n">
        <f aca="false">Assumptions!C$42</f>
        <v>419.266000119739</v>
      </c>
    </row>
    <row r="74" customFormat="false" ht="15" hidden="false" customHeight="false" outlineLevel="0" collapsed="false">
      <c r="A74" s="8" t="s">
        <v>1096</v>
      </c>
      <c r="B74" s="8" t="s">
        <v>664</v>
      </c>
      <c r="C74" s="91" t="n">
        <f aca="false">Ops_Model!$O$52</f>
        <v>485.635807938694</v>
      </c>
      <c r="D74" s="91" t="n">
        <f aca="false">Ops_Model!$O$52/Ops_Model!$O$98</f>
        <v>0.423946602506888</v>
      </c>
      <c r="E74" s="91" t="n">
        <f aca="false">Ops_Model!$O$47</f>
        <v>516.359179094837</v>
      </c>
      <c r="F74" s="91" t="n">
        <f aca="false">Ops_Model!$O$51</f>
        <v>0.9405</v>
      </c>
      <c r="G74" s="91" t="n">
        <f aca="false">Ops_Model!$O$64</f>
        <v>291.273485902295</v>
      </c>
      <c r="H74" s="91" t="n">
        <f aca="false">Ops_Model!$O$65</f>
        <v>0.599777613472574</v>
      </c>
      <c r="I74" s="91" t="n">
        <f aca="false">Ops_Model!$O$62</f>
        <v>365.540656929862</v>
      </c>
      <c r="J74" s="91" t="n">
        <f aca="false">Ops_Model!$O$63</f>
        <v>0.752705321465933</v>
      </c>
      <c r="K74" s="91" t="n">
        <f aca="false">Ops_Model!$O$43</f>
        <v>0.93</v>
      </c>
      <c r="L74" s="91" t="n">
        <f aca="false">Ops_Model!$O$41</f>
        <v>0.78</v>
      </c>
      <c r="M74" s="91" t="n">
        <f aca="false">Ops_Model!$O$57</f>
        <v>0.375030787611433</v>
      </c>
      <c r="N74" s="91" t="n">
        <f aca="false">MAX(Ops_Model!$C$50:$N$50)</f>
        <v>0.809703013813588</v>
      </c>
      <c r="O74" s="91" t="n">
        <f aca="false">Ops_Model!$O$49</f>
        <v>0</v>
      </c>
      <c r="P74" s="91" t="n">
        <f aca="false">Assumptions!D$42</f>
        <v>419.266000119739</v>
      </c>
    </row>
    <row r="75" customFormat="false" ht="15" hidden="false" customHeight="false" outlineLevel="0" collapsed="false">
      <c r="A75" s="8" t="s">
        <v>1097</v>
      </c>
      <c r="B75" s="8" t="s">
        <v>270</v>
      </c>
      <c r="C75" s="91" t="n">
        <f aca="false">Ops_Model!$O$82</f>
        <v>174.240118541579</v>
      </c>
      <c r="D75" s="91" t="n">
        <f aca="false">Ops_Model!$O$82/Ops_Model!$O$98</f>
        <v>0.152106794986224</v>
      </c>
      <c r="E75" s="91" t="n">
        <f aca="false">Ops_Model!$O$77</f>
        <v>51.7647410996968</v>
      </c>
      <c r="F75" s="91" t="n">
        <f aca="false">Ops_Model!$O$81</f>
        <v>3.366</v>
      </c>
      <c r="G75" s="91" t="n">
        <f aca="false">Ops_Model!$O$94</f>
        <v>89.4357321313695</v>
      </c>
      <c r="H75" s="91" t="n">
        <f aca="false">Ops_Model!$O$95</f>
        <v>0.513290124455621</v>
      </c>
      <c r="I75" s="91" t="n">
        <f aca="false">Ops_Model!$O$92</f>
        <v>116.681255852882</v>
      </c>
      <c r="J75" s="91" t="n">
        <f aca="false">Ops_Model!$O$93</f>
        <v>0.669657808026792</v>
      </c>
      <c r="K75" s="91" t="n">
        <f aca="false">Ops_Model!$O$73</f>
        <v>0.88</v>
      </c>
      <c r="L75" s="91" t="n">
        <f aca="false">Ops_Model!$O$71</f>
        <v>0.78</v>
      </c>
      <c r="M75" s="91" t="n">
        <f aca="false">Ops_Model!$O$87</f>
        <v>1.63224483849484</v>
      </c>
      <c r="N75" s="91" t="n">
        <f aca="false">MAX(Ops_Model!$C$80:$N$80)</f>
        <v>0.73529461789342</v>
      </c>
      <c r="O75" s="91" t="n">
        <f aca="false">Ops_Model!$O$79</f>
        <v>0</v>
      </c>
      <c r="P75" s="91" t="n">
        <f aca="false">Assumptions!E$42</f>
        <v>161.467999760522</v>
      </c>
    </row>
    <row r="77" customFormat="false" ht="15" hidden="false" customHeight="false" outlineLevel="0" collapsed="false">
      <c r="A77" s="21" t="s">
        <v>1105</v>
      </c>
      <c r="C77" s="4" t="s">
        <v>1106</v>
      </c>
    </row>
    <row r="78" customFormat="false" ht="15" hidden="false" customHeight="false" outlineLevel="0" collapsed="false">
      <c r="A78" s="18" t="s">
        <v>1107</v>
      </c>
      <c r="B78" s="19" t="s">
        <v>1108</v>
      </c>
      <c r="C78" s="19" t="s">
        <v>1042</v>
      </c>
      <c r="D78" s="19" t="s">
        <v>1109</v>
      </c>
      <c r="E78" s="19" t="s">
        <v>1110</v>
      </c>
    </row>
    <row r="79" customFormat="false" ht="15" hidden="false" customHeight="false" outlineLevel="0" collapsed="false">
      <c r="A79" s="8" t="s">
        <v>1063</v>
      </c>
      <c r="B79" s="8" t="s">
        <v>1111</v>
      </c>
      <c r="C79" s="91" t="n">
        <f aca="false">PnL!$O$8</f>
        <v>1145.51173441897</v>
      </c>
      <c r="D79" s="8" t="s">
        <v>259</v>
      </c>
      <c r="E79" s="8" t="s">
        <v>1112</v>
      </c>
    </row>
    <row r="80" customFormat="false" ht="15" hidden="false" customHeight="false" outlineLevel="0" collapsed="false">
      <c r="A80" s="8" t="s">
        <v>1113</v>
      </c>
      <c r="B80" s="8" t="s">
        <v>1114</v>
      </c>
      <c r="C80" s="91" t="n">
        <f aca="false">PnL!$U$8</f>
        <v>0.145511734418967</v>
      </c>
      <c r="D80" s="8" t="s">
        <v>226</v>
      </c>
      <c r="E80" s="8" t="s">
        <v>1080</v>
      </c>
    </row>
    <row r="81" customFormat="false" ht="15" hidden="false" customHeight="false" outlineLevel="0" collapsed="false">
      <c r="A81" s="8" t="s">
        <v>386</v>
      </c>
      <c r="B81" s="8" t="s">
        <v>1115</v>
      </c>
      <c r="C81" s="91" t="n">
        <f aca="false">PnL!$O$12</f>
        <v>663.944787154569</v>
      </c>
      <c r="D81" s="8" t="s">
        <v>259</v>
      </c>
      <c r="E81" s="8" t="s">
        <v>1080</v>
      </c>
    </row>
    <row r="82" customFormat="false" ht="15" hidden="false" customHeight="false" outlineLevel="0" collapsed="false">
      <c r="A82" s="8" t="s">
        <v>1064</v>
      </c>
      <c r="B82" s="8" t="s">
        <v>1116</v>
      </c>
      <c r="C82" s="91" t="n">
        <f aca="false">PnL!$O$13</f>
        <v>0.579605400106477</v>
      </c>
      <c r="D82" s="8" t="s">
        <v>226</v>
      </c>
      <c r="E82" s="8" t="s">
        <v>1080</v>
      </c>
    </row>
    <row r="83" customFormat="false" ht="15" hidden="false" customHeight="false" outlineLevel="0" collapsed="false">
      <c r="A83" s="8" t="s">
        <v>1066</v>
      </c>
      <c r="B83" s="8" t="s">
        <v>1117</v>
      </c>
      <c r="C83" s="91" t="n">
        <f aca="false">PnL!$O$17</f>
        <v>434.944787154569</v>
      </c>
      <c r="D83" s="8" t="s">
        <v>259</v>
      </c>
      <c r="E83" s="8" t="s">
        <v>1080</v>
      </c>
    </row>
    <row r="84" customFormat="false" ht="15" hidden="false" customHeight="false" outlineLevel="0" collapsed="false">
      <c r="A84" s="8" t="s">
        <v>1067</v>
      </c>
      <c r="B84" s="8" t="s">
        <v>1118</v>
      </c>
      <c r="C84" s="91" t="n">
        <f aca="false">PnL!$O$18</f>
        <v>0.379694746099816</v>
      </c>
      <c r="D84" s="8" t="s">
        <v>226</v>
      </c>
      <c r="E84" s="8" t="s">
        <v>1080</v>
      </c>
    </row>
    <row r="85" customFormat="false" ht="15" hidden="false" customHeight="false" outlineLevel="0" collapsed="false">
      <c r="A85" s="8" t="s">
        <v>407</v>
      </c>
      <c r="B85" s="8" t="s">
        <v>1119</v>
      </c>
      <c r="C85" s="91" t="n">
        <f aca="false">PnL!$O$21</f>
        <v>378.401964824475</v>
      </c>
      <c r="D85" s="8" t="s">
        <v>259</v>
      </c>
      <c r="E85" s="8" t="s">
        <v>1080</v>
      </c>
    </row>
    <row r="86" customFormat="false" ht="15" hidden="false" customHeight="false" outlineLevel="0" collapsed="false">
      <c r="A86" s="8" t="s">
        <v>1068</v>
      </c>
      <c r="B86" s="8" t="s">
        <v>1120</v>
      </c>
      <c r="C86" s="91" t="n">
        <f aca="false">PnL!$O$26</f>
        <v>501.064024994516</v>
      </c>
      <c r="D86" s="8" t="s">
        <v>259</v>
      </c>
      <c r="E86" s="8" t="s">
        <v>1080</v>
      </c>
    </row>
    <row r="87" customFormat="false" ht="15" hidden="false" customHeight="false" outlineLevel="0" collapsed="false">
      <c r="A87" s="8" t="s">
        <v>1069</v>
      </c>
      <c r="B87" s="8" t="s">
        <v>1121</v>
      </c>
      <c r="C87" s="91" t="n">
        <f aca="false">FCF!$O$25</f>
        <v>379.284921858853</v>
      </c>
      <c r="D87" s="8" t="s">
        <v>259</v>
      </c>
      <c r="E87" s="8" t="s">
        <v>1080</v>
      </c>
    </row>
    <row r="88" customFormat="false" ht="15" hidden="false" customHeight="false" outlineLevel="0" collapsed="false">
      <c r="A88" s="8" t="s">
        <v>1122</v>
      </c>
      <c r="B88" s="8" t="s">
        <v>1123</v>
      </c>
      <c r="C88" s="91" t="n">
        <f aca="false">FCF!$O$26</f>
        <v>0.331105226129557</v>
      </c>
      <c r="D88" s="8" t="s">
        <v>226</v>
      </c>
      <c r="E88" s="8" t="s">
        <v>1080</v>
      </c>
    </row>
    <row r="89" customFormat="false" ht="15" hidden="false" customHeight="false" outlineLevel="0" collapsed="false">
      <c r="A89" s="8" t="s">
        <v>1071</v>
      </c>
      <c r="B89" s="8" t="s">
        <v>1124</v>
      </c>
      <c r="C89" s="91" t="n">
        <f aca="false">FCF!$O$8</f>
        <v>57.2755867209483</v>
      </c>
      <c r="D89" s="8" t="s">
        <v>259</v>
      </c>
      <c r="E89" s="8" t="s">
        <v>1080</v>
      </c>
    </row>
    <row r="90" customFormat="false" ht="15" hidden="false" customHeight="false" outlineLevel="0" collapsed="false">
      <c r="A90" s="8" t="s">
        <v>1125</v>
      </c>
      <c r="B90" s="8" t="s">
        <v>1126</v>
      </c>
      <c r="C90" s="91" t="n">
        <f aca="false">(Ops_Model!$O$14+Ops_Model!$O$44+Ops_Model!$O$74)/(Ops_Model!$O$12+Ops_Model!$O$42+Ops_Model!$O$72)</f>
        <v>0.939096774193549</v>
      </c>
      <c r="D90" s="8" t="s">
        <v>226</v>
      </c>
      <c r="E90" s="8" t="s">
        <v>1080</v>
      </c>
    </row>
    <row r="91" customFormat="false" ht="15" hidden="false" customHeight="false" outlineLevel="0" collapsed="false">
      <c r="A91" s="8" t="s">
        <v>1092</v>
      </c>
      <c r="B91" s="8" t="s">
        <v>607</v>
      </c>
      <c r="C91" s="91" t="n">
        <f aca="false">Assumptions!$F$13</f>
        <v>0.78</v>
      </c>
      <c r="D91" s="8" t="s">
        <v>226</v>
      </c>
      <c r="E91" s="8" t="s">
        <v>1080</v>
      </c>
    </row>
    <row r="92" customFormat="false" ht="15" hidden="false" customHeight="false" outlineLevel="0" collapsed="false">
      <c r="A92" s="8" t="s">
        <v>1127</v>
      </c>
      <c r="B92" s="8" t="s">
        <v>341</v>
      </c>
      <c r="C92" s="91" t="n">
        <f aca="false">Ops_Model!$O$108</f>
        <v>0</v>
      </c>
      <c r="D92" s="8" t="s">
        <v>259</v>
      </c>
      <c r="E92" s="8" t="s">
        <v>1080</v>
      </c>
    </row>
    <row r="93" customFormat="false" ht="15" hidden="false" customHeight="false" outlineLevel="0" collapsed="false">
      <c r="A93" s="8" t="s">
        <v>1128</v>
      </c>
      <c r="B93" s="8" t="s">
        <v>1129</v>
      </c>
      <c r="C93" s="91" t="n">
        <f aca="false">Budget!$O$97</f>
        <v>1145.51173441897</v>
      </c>
      <c r="D93" s="8" t="s">
        <v>259</v>
      </c>
      <c r="E93" s="8" t="s">
        <v>1130</v>
      </c>
    </row>
    <row r="94" customFormat="false" ht="15" hidden="false" customHeight="false" outlineLevel="0" collapsed="false">
      <c r="A94" s="8" t="s">
        <v>1131</v>
      </c>
      <c r="B94" s="8" t="s">
        <v>1132</v>
      </c>
      <c r="C94" s="91" t="n">
        <f aca="false">Budget!$O$109</f>
        <v>434.944787154569</v>
      </c>
      <c r="D94" s="8" t="s">
        <v>259</v>
      </c>
      <c r="E94" s="8" t="s">
        <v>1130</v>
      </c>
    </row>
    <row r="95" customFormat="false" ht="15" hidden="false" customHeight="false" outlineLevel="0" collapsed="false">
      <c r="A95" s="8" t="s">
        <v>1133</v>
      </c>
      <c r="B95" s="8" t="s">
        <v>1134</v>
      </c>
      <c r="C95" s="91" t="n">
        <f aca="false">Variance!$C$10</f>
        <v>468.705217999761</v>
      </c>
      <c r="D95" s="8" t="s">
        <v>259</v>
      </c>
      <c r="E95" s="8" t="s">
        <v>1130</v>
      </c>
    </row>
    <row r="96" customFormat="false" ht="15" hidden="false" customHeight="false" outlineLevel="0" collapsed="false">
      <c r="A96" s="8" t="s">
        <v>1135</v>
      </c>
      <c r="B96" s="8" t="s">
        <v>1136</v>
      </c>
      <c r="C96" s="91" t="n">
        <f aca="false">Variance!$D$10</f>
        <v>478.459228687156</v>
      </c>
      <c r="D96" s="8" t="s">
        <v>259</v>
      </c>
      <c r="E96" s="8" t="s">
        <v>1137</v>
      </c>
    </row>
    <row r="97" customFormat="false" ht="15" hidden="false" customHeight="false" outlineLevel="0" collapsed="false">
      <c r="A97" s="8" t="s">
        <v>1138</v>
      </c>
      <c r="B97" s="8" t="s">
        <v>1139</v>
      </c>
      <c r="C97" s="91" t="n">
        <f aca="false">Variance!$E$10</f>
        <v>9.75401068739592</v>
      </c>
      <c r="D97" s="8" t="s">
        <v>259</v>
      </c>
      <c r="E97" s="8" t="s">
        <v>32</v>
      </c>
    </row>
    <row r="98" customFormat="false" ht="15" hidden="false" customHeight="false" outlineLevel="0" collapsed="false">
      <c r="A98" s="8" t="s">
        <v>1140</v>
      </c>
      <c r="B98" s="8" t="s">
        <v>1141</v>
      </c>
      <c r="C98" s="91" t="n">
        <f aca="false">Variance!$C$17</f>
        <v>176.841542807061</v>
      </c>
      <c r="D98" s="8" t="s">
        <v>259</v>
      </c>
      <c r="E98" s="8" t="s">
        <v>1130</v>
      </c>
    </row>
    <row r="99" customFormat="false" ht="15" hidden="false" customHeight="false" outlineLevel="0" collapsed="false">
      <c r="A99" s="8" t="s">
        <v>1142</v>
      </c>
      <c r="B99" s="8" t="s">
        <v>1143</v>
      </c>
      <c r="C99" s="91" t="n">
        <f aca="false">Variance!$D$17</f>
        <v>180.60373331857</v>
      </c>
      <c r="D99" s="8" t="s">
        <v>259</v>
      </c>
      <c r="E99" s="8" t="s">
        <v>1137</v>
      </c>
    </row>
    <row r="100" customFormat="false" ht="15" hidden="false" customHeight="false" outlineLevel="0" collapsed="false">
      <c r="A100" s="8" t="s">
        <v>1144</v>
      </c>
      <c r="B100" s="8" t="s">
        <v>1145</v>
      </c>
      <c r="C100" s="91" t="n">
        <f aca="false">Variance!$E$17</f>
        <v>3.76219051150923</v>
      </c>
      <c r="D100" s="8" t="s">
        <v>259</v>
      </c>
      <c r="E100" s="8" t="s">
        <v>32</v>
      </c>
    </row>
    <row r="101" customFormat="false" ht="15" hidden="false" customHeight="false" outlineLevel="0" collapsed="false">
      <c r="A101" s="8" t="s">
        <v>1078</v>
      </c>
      <c r="B101" s="8" t="s">
        <v>1146</v>
      </c>
      <c r="C101" s="91" t="n">
        <f aca="false">SUM(Dash_Export!$U$19:$U$30)</f>
        <v>1155.26574510636</v>
      </c>
      <c r="D101" s="8" t="s">
        <v>259</v>
      </c>
      <c r="E101" s="8" t="s">
        <v>1147</v>
      </c>
    </row>
    <row r="102" customFormat="false" ht="15" hidden="false" customHeight="false" outlineLevel="0" collapsed="false">
      <c r="A102" s="8" t="s">
        <v>1148</v>
      </c>
      <c r="B102" s="8" t="s">
        <v>1149</v>
      </c>
      <c r="C102" s="91" t="n">
        <f aca="false">SUM(Dash_Export!$V$19:$V$30)</f>
        <v>438.706977666078</v>
      </c>
      <c r="D102" s="8" t="s">
        <v>259</v>
      </c>
      <c r="E102" s="8" t="s">
        <v>1147</v>
      </c>
    </row>
    <row r="103" customFormat="false" ht="15" hidden="false" customHeight="false" outlineLevel="0" collapsed="false">
      <c r="A103" s="8" t="s">
        <v>1150</v>
      </c>
      <c r="B103" s="8" t="s">
        <v>1151</v>
      </c>
      <c r="C103" s="91" t="n">
        <f aca="false">SUM(Dash_Export!$V$19:$V$30)-Budget!$O$109</f>
        <v>3.76219051150923</v>
      </c>
      <c r="D103" s="8" t="s">
        <v>259</v>
      </c>
      <c r="E103" s="8" t="s">
        <v>1147</v>
      </c>
    </row>
    <row r="105" customFormat="false" ht="15" hidden="false" customHeight="false" outlineLevel="0" collapsed="false">
      <c r="A105" s="21" t="s">
        <v>1152</v>
      </c>
      <c r="C105" s="4" t="s">
        <v>1153</v>
      </c>
    </row>
    <row r="106" customFormat="false" ht="15" hidden="false" customHeight="false" outlineLevel="0" collapsed="false">
      <c r="A106" s="18" t="s">
        <v>379</v>
      </c>
      <c r="B106" s="19" t="s">
        <v>1108</v>
      </c>
      <c r="C106" s="19" t="s">
        <v>1154</v>
      </c>
      <c r="D106" s="19" t="s">
        <v>1155</v>
      </c>
      <c r="E106" s="19" t="s">
        <v>1156</v>
      </c>
      <c r="F106" s="19" t="s">
        <v>1109</v>
      </c>
      <c r="G106" s="19" t="s">
        <v>1157</v>
      </c>
    </row>
    <row r="107" customFormat="false" ht="15" hidden="false" customHeight="false" outlineLevel="0" collapsed="false">
      <c r="A107" s="8" t="s">
        <v>1158</v>
      </c>
      <c r="B107" s="8" t="s">
        <v>1159</v>
      </c>
      <c r="C107" s="91" t="n">
        <f aca="false">Variance!$C$7</f>
        <v>198.705984748249</v>
      </c>
      <c r="D107" s="91" t="n">
        <f aca="false">Variance!$D$7</f>
        <v>207.617135092135</v>
      </c>
      <c r="E107" s="91" t="n">
        <f aca="false">Variance!$E$7</f>
        <v>8.91115034388659</v>
      </c>
      <c r="F107" s="8" t="s">
        <v>259</v>
      </c>
      <c r="G107" s="12" t="str">
        <f aca="false">Variance!$G$7</f>
        <v>Favorable</v>
      </c>
    </row>
    <row r="108" customFormat="false" ht="15" hidden="false" customHeight="false" outlineLevel="0" collapsed="false">
      <c r="A108" s="8" t="s">
        <v>1160</v>
      </c>
      <c r="B108" s="8" t="s">
        <v>1161</v>
      </c>
      <c r="C108" s="91" t="n">
        <f aca="false">Variance!$C$8</f>
        <v>198.705984748249</v>
      </c>
      <c r="D108" s="91" t="n">
        <f aca="false">Variance!$D$8</f>
        <v>201.735402379349</v>
      </c>
      <c r="E108" s="91" t="n">
        <f aca="false">Variance!$E$8</f>
        <v>3.0294176310999</v>
      </c>
      <c r="F108" s="8" t="s">
        <v>259</v>
      </c>
      <c r="G108" s="12" t="str">
        <f aca="false">Variance!$G$8</f>
        <v>Favorable</v>
      </c>
    </row>
    <row r="109" customFormat="false" ht="15" hidden="false" customHeight="false" outlineLevel="0" collapsed="false">
      <c r="A109" s="8" t="s">
        <v>1162</v>
      </c>
      <c r="B109" s="8" t="s">
        <v>1163</v>
      </c>
      <c r="C109" s="91" t="n">
        <f aca="false">Variance!$C$9</f>
        <v>71.2932485032629</v>
      </c>
      <c r="D109" s="91" t="n">
        <f aca="false">Variance!$D$9</f>
        <v>69.1066912156723</v>
      </c>
      <c r="E109" s="91" t="n">
        <f aca="false">Variance!$E$9</f>
        <v>-2.18655728759057</v>
      </c>
      <c r="F109" s="8" t="s">
        <v>259</v>
      </c>
      <c r="G109" s="12" t="str">
        <f aca="false">Variance!$G$9</f>
        <v>Unfavorable</v>
      </c>
    </row>
    <row r="110" customFormat="false" ht="15" hidden="false" customHeight="false" outlineLevel="0" collapsed="false">
      <c r="A110" s="8" t="s">
        <v>1164</v>
      </c>
      <c r="B110" s="8" t="s">
        <v>796</v>
      </c>
      <c r="C110" s="91" t="n">
        <f aca="false">Variance!$C$10</f>
        <v>468.705217999761</v>
      </c>
      <c r="D110" s="91" t="n">
        <f aca="false">Variance!$D$10</f>
        <v>478.459228687156</v>
      </c>
      <c r="E110" s="91" t="n">
        <f aca="false">Variance!$E$10</f>
        <v>9.75401068739592</v>
      </c>
      <c r="F110" s="8" t="s">
        <v>259</v>
      </c>
      <c r="G110" s="12" t="str">
        <f aca="false">Variance!$G$10</f>
        <v>Favorable</v>
      </c>
    </row>
    <row r="111" customFormat="false" ht="15" hidden="false" customHeight="false" outlineLevel="0" collapsed="false">
      <c r="A111" s="8" t="s">
        <v>1165</v>
      </c>
      <c r="B111" s="8" t="s">
        <v>310</v>
      </c>
      <c r="C111" s="91" t="n">
        <f aca="false">Variance!$C$11</f>
        <v>196.447008526033</v>
      </c>
      <c r="D111" s="91" t="n">
        <f aca="false">Variance!$D$11</f>
        <v>201.855495368586</v>
      </c>
      <c r="E111" s="91" t="n">
        <f aca="false">Variance!$E$11</f>
        <v>-5.40848684255334</v>
      </c>
      <c r="F111" s="8" t="s">
        <v>259</v>
      </c>
      <c r="G111" s="12" t="str">
        <f aca="false">Variance!$G$11</f>
        <v>Unfavorable</v>
      </c>
    </row>
    <row r="112" customFormat="false" ht="15" hidden="false" customHeight="false" outlineLevel="0" collapsed="false">
      <c r="A112" s="8" t="s">
        <v>1166</v>
      </c>
      <c r="B112" s="8" t="s">
        <v>312</v>
      </c>
      <c r="C112" s="91" t="n">
        <f aca="false">Variance!$C$12</f>
        <v>272.258209473728</v>
      </c>
      <c r="D112" s="91" t="n">
        <f aca="false">Variance!$D$12</f>
        <v>276.60373331857</v>
      </c>
      <c r="E112" s="91" t="n">
        <f aca="false">Variance!$E$12</f>
        <v>4.34552384484255</v>
      </c>
      <c r="F112" s="8" t="s">
        <v>259</v>
      </c>
      <c r="G112" s="12" t="str">
        <f aca="false">Variance!$G$12</f>
        <v>Favorable</v>
      </c>
    </row>
    <row r="113" customFormat="false" ht="15" hidden="false" customHeight="false" outlineLevel="0" collapsed="false">
      <c r="A113" s="8" t="s">
        <v>1167</v>
      </c>
      <c r="B113" s="8" t="s">
        <v>314</v>
      </c>
      <c r="C113" s="91" t="n">
        <f aca="false">Variance!$C$13</f>
        <v>0.580873007208268</v>
      </c>
      <c r="D113" s="91" t="n">
        <f aca="false">Variance!$D$13</f>
        <v>0.578113487490967</v>
      </c>
      <c r="E113" s="91" t="n">
        <f aca="false">Variance!$E$13</f>
        <v>-0.00275951971730071</v>
      </c>
      <c r="F113" s="8" t="s">
        <v>226</v>
      </c>
      <c r="G113" s="8"/>
    </row>
    <row r="114" customFormat="false" ht="15" hidden="false" customHeight="false" outlineLevel="0" collapsed="false">
      <c r="A114" s="8" t="s">
        <v>388</v>
      </c>
      <c r="B114" s="8" t="s">
        <v>871</v>
      </c>
      <c r="C114" s="91" t="n">
        <f aca="false">Variance!$C$14</f>
        <v>52.5</v>
      </c>
      <c r="D114" s="91" t="n">
        <f aca="false">Variance!$D$14</f>
        <v>54</v>
      </c>
      <c r="E114" s="91" t="n">
        <f aca="false">Variance!$E$14</f>
        <v>-1.5</v>
      </c>
      <c r="F114" s="8" t="s">
        <v>259</v>
      </c>
      <c r="G114" s="12" t="str">
        <f aca="false">Variance!$G$14</f>
        <v>Unfavorable</v>
      </c>
    </row>
    <row r="115" customFormat="false" ht="15" hidden="false" customHeight="false" outlineLevel="0" collapsed="false">
      <c r="A115" s="8" t="s">
        <v>390</v>
      </c>
      <c r="B115" s="8" t="s">
        <v>873</v>
      </c>
      <c r="C115" s="91" t="n">
        <f aca="false">Variance!$C$15</f>
        <v>42.9166666666667</v>
      </c>
      <c r="D115" s="91" t="n">
        <f aca="false">Variance!$D$15</f>
        <v>42</v>
      </c>
      <c r="E115" s="91" t="n">
        <f aca="false">Variance!$E$15</f>
        <v>0.916666666666671</v>
      </c>
      <c r="F115" s="8" t="s">
        <v>259</v>
      </c>
      <c r="G115" s="12" t="str">
        <f aca="false">Variance!$G$15</f>
        <v>Favorable</v>
      </c>
    </row>
    <row r="116" customFormat="false" ht="15" hidden="false" customHeight="false" outlineLevel="0" collapsed="false">
      <c r="A116" s="8" t="s">
        <v>1065</v>
      </c>
      <c r="B116" s="8" t="s">
        <v>685</v>
      </c>
      <c r="C116" s="91" t="n">
        <f aca="false">Variance!$C$16</f>
        <v>95.4166666666667</v>
      </c>
      <c r="D116" s="91" t="n">
        <f aca="false">Variance!$D$16</f>
        <v>96</v>
      </c>
      <c r="E116" s="91" t="n">
        <f aca="false">Variance!$E$16</f>
        <v>-0.583333333333329</v>
      </c>
      <c r="F116" s="8" t="s">
        <v>259</v>
      </c>
      <c r="G116" s="12" t="str">
        <f aca="false">Variance!$G$16</f>
        <v>Unfavorable</v>
      </c>
    </row>
    <row r="117" customFormat="false" ht="15" hidden="false" customHeight="false" outlineLevel="0" collapsed="false">
      <c r="A117" s="8" t="s">
        <v>1168</v>
      </c>
      <c r="B117" s="8" t="s">
        <v>364</v>
      </c>
      <c r="C117" s="91" t="n">
        <f aca="false">Variance!$C$17</f>
        <v>176.841542807061</v>
      </c>
      <c r="D117" s="91" t="n">
        <f aca="false">Variance!$D$17</f>
        <v>180.60373331857</v>
      </c>
      <c r="E117" s="91" t="n">
        <f aca="false">Variance!$E$17</f>
        <v>3.76219051150923</v>
      </c>
      <c r="F117" s="8" t="s">
        <v>259</v>
      </c>
      <c r="G117" s="12" t="str">
        <f aca="false">Variance!$G$17</f>
        <v>Favorable</v>
      </c>
    </row>
    <row r="118" customFormat="false" ht="15" hidden="false" customHeight="false" outlineLevel="0" collapsed="false">
      <c r="A118" s="8" t="s">
        <v>1169</v>
      </c>
      <c r="B118" s="8" t="s">
        <v>365</v>
      </c>
      <c r="C118" s="91" t="n">
        <f aca="false">Variance!$C$18</f>
        <v>0.377298003128165</v>
      </c>
      <c r="D118" s="91" t="n">
        <f aca="false">Variance!$D$18</f>
        <v>0.377469432064522</v>
      </c>
      <c r="E118" s="91" t="n">
        <f aca="false">Variance!$E$18</f>
        <v>0.00017142893635691</v>
      </c>
      <c r="F118" s="8" t="s">
        <v>226</v>
      </c>
      <c r="G118" s="8"/>
    </row>
    <row r="120" customFormat="false" ht="15" hidden="false" customHeight="false" outlineLevel="0" collapsed="false">
      <c r="A120" s="21" t="s">
        <v>1170</v>
      </c>
      <c r="C120" s="4" t="s">
        <v>1171</v>
      </c>
    </row>
    <row r="121" customFormat="false" ht="15" hidden="false" customHeight="false" outlineLevel="0" collapsed="false">
      <c r="A121" s="18" t="s">
        <v>1172</v>
      </c>
      <c r="B121" s="19" t="s">
        <v>1108</v>
      </c>
      <c r="C121" s="19" t="s">
        <v>1095</v>
      </c>
      <c r="D121" s="19" t="s">
        <v>1096</v>
      </c>
      <c r="E121" s="19" t="s">
        <v>1097</v>
      </c>
      <c r="F121" s="19" t="s">
        <v>1173</v>
      </c>
    </row>
    <row r="122" customFormat="false" ht="15" hidden="false" customHeight="false" outlineLevel="0" collapsed="false">
      <c r="A122" s="8" t="s">
        <v>1174</v>
      </c>
      <c r="B122" s="8" t="s">
        <v>857</v>
      </c>
      <c r="C122" s="91" t="n">
        <f aca="false">Variance!C$65</f>
        <v>-1.05389408676215</v>
      </c>
      <c r="D122" s="91" t="n">
        <f aca="false">Variance!D$65</f>
        <v>1.01374574059968</v>
      </c>
      <c r="E122" s="91" t="n">
        <f aca="false">Variance!E$65</f>
        <v>1.36844933100339</v>
      </c>
      <c r="F122" s="91" t="n">
        <f aca="false">Variance!$F$65</f>
        <v>1.32830098484092</v>
      </c>
    </row>
    <row r="123" customFormat="false" ht="15" hidden="false" customHeight="false" outlineLevel="0" collapsed="false">
      <c r="A123" s="8" t="s">
        <v>1175</v>
      </c>
      <c r="B123" s="8" t="s">
        <v>1176</v>
      </c>
      <c r="C123" s="91" t="n">
        <f aca="false">Variance!C$66</f>
        <v>6.26041727734904</v>
      </c>
      <c r="D123" s="91" t="n">
        <f aca="false">Variance!D$66</f>
        <v>6.26041727734904</v>
      </c>
      <c r="E123" s="91" t="n">
        <f aca="false">Variance!E$66</f>
        <v>2.24616025155779</v>
      </c>
      <c r="F123" s="91" t="n">
        <f aca="false">Variance!$F$66</f>
        <v>14.7669948062559</v>
      </c>
    </row>
    <row r="124" customFormat="false" ht="15" hidden="false" customHeight="false" outlineLevel="0" collapsed="false">
      <c r="A124" s="8" t="s">
        <v>1177</v>
      </c>
      <c r="B124" s="8" t="s">
        <v>861</v>
      </c>
      <c r="C124" s="91" t="n">
        <f aca="false">Variance!C$67</f>
        <v>3.7046271532997</v>
      </c>
      <c r="D124" s="91" t="n">
        <f aca="false">Variance!D$67</f>
        <v>-4.24474538684883</v>
      </c>
      <c r="E124" s="91" t="n">
        <f aca="false">Variance!E$67</f>
        <v>-5.80116687015176</v>
      </c>
      <c r="F124" s="91" t="n">
        <f aca="false">Variance!$F$67</f>
        <v>-6.34128510370089</v>
      </c>
    </row>
    <row r="125" customFormat="false" ht="15" hidden="false" customHeight="false" outlineLevel="0" collapsed="false">
      <c r="A125" s="8" t="s">
        <v>1178</v>
      </c>
      <c r="B125" s="8" t="s">
        <v>879</v>
      </c>
      <c r="C125" s="91" t="n">
        <f aca="false">Variance!C$69</f>
        <v>8.91115034388659</v>
      </c>
      <c r="D125" s="91" t="n">
        <f aca="false">Variance!D$69</f>
        <v>3.0294176310999</v>
      </c>
      <c r="E125" s="91" t="n">
        <f aca="false">Variance!E$69</f>
        <v>-2.18655728759057</v>
      </c>
      <c r="F125" s="91" t="n">
        <f aca="false">Variance!$F$69</f>
        <v>9.75401068739592</v>
      </c>
    </row>
    <row r="127" customFormat="false" ht="15" hidden="false" customHeight="false" outlineLevel="0" collapsed="false">
      <c r="A127" s="21" t="s">
        <v>1179</v>
      </c>
      <c r="C127" s="4" t="s">
        <v>1180</v>
      </c>
    </row>
    <row r="128" customFormat="false" ht="15" hidden="false" customHeight="false" outlineLevel="0" collapsed="false">
      <c r="A128" s="18" t="s">
        <v>1181</v>
      </c>
      <c r="B128" s="19" t="s">
        <v>1182</v>
      </c>
      <c r="C128" s="19" t="s">
        <v>1108</v>
      </c>
      <c r="D128" s="19" t="s">
        <v>1042</v>
      </c>
      <c r="E128" s="19" t="s">
        <v>1183</v>
      </c>
    </row>
    <row r="129" customFormat="false" ht="15" hidden="false" customHeight="false" outlineLevel="0" collapsed="false">
      <c r="A129" s="93" t="n">
        <v>0</v>
      </c>
      <c r="B129" s="8" t="s">
        <v>1184</v>
      </c>
      <c r="C129" s="8" t="s">
        <v>1185</v>
      </c>
      <c r="D129" s="91" t="n">
        <f aca="false">Variance!$F$75</f>
        <v>176.841542807061</v>
      </c>
      <c r="E129" s="8" t="s">
        <v>1184</v>
      </c>
    </row>
    <row r="130" customFormat="false" ht="15" hidden="false" customHeight="false" outlineLevel="0" collapsed="false">
      <c r="A130" s="93" t="n">
        <v>1</v>
      </c>
      <c r="B130" s="8" t="s">
        <v>1186</v>
      </c>
      <c r="C130" s="8" t="s">
        <v>857</v>
      </c>
      <c r="D130" s="91" t="n">
        <f aca="false">Variance!$F$76</f>
        <v>1.32830098484092</v>
      </c>
      <c r="E130" s="8" t="s">
        <v>1187</v>
      </c>
    </row>
    <row r="131" customFormat="false" ht="15" hidden="false" customHeight="false" outlineLevel="0" collapsed="false">
      <c r="A131" s="93" t="n">
        <v>2</v>
      </c>
      <c r="B131" s="8" t="s">
        <v>1188</v>
      </c>
      <c r="C131" s="8" t="s">
        <v>859</v>
      </c>
      <c r="D131" s="91" t="n">
        <f aca="false">Variance!$F$77</f>
        <v>8.60198439672618</v>
      </c>
      <c r="E131" s="8" t="s">
        <v>1187</v>
      </c>
    </row>
    <row r="132" customFormat="false" ht="15" hidden="false" customHeight="false" outlineLevel="0" collapsed="false">
      <c r="A132" s="93" t="n">
        <v>3</v>
      </c>
      <c r="B132" s="8" t="s">
        <v>1189</v>
      </c>
      <c r="C132" s="8" t="s">
        <v>861</v>
      </c>
      <c r="D132" s="91" t="n">
        <f aca="false">Variance!$F$78</f>
        <v>-3.30501942775447</v>
      </c>
      <c r="E132" s="8" t="s">
        <v>1187</v>
      </c>
    </row>
    <row r="133" customFormat="false" ht="15" hidden="false" customHeight="false" outlineLevel="0" collapsed="false">
      <c r="A133" s="93" t="n">
        <v>4</v>
      </c>
      <c r="B133" s="8" t="s">
        <v>1190</v>
      </c>
      <c r="C133" s="8" t="s">
        <v>863</v>
      </c>
      <c r="D133" s="91" t="n">
        <f aca="false">Variance!$F$79</f>
        <v>-1.25496</v>
      </c>
      <c r="E133" s="8" t="s">
        <v>1187</v>
      </c>
    </row>
    <row r="134" customFormat="false" ht="15" hidden="false" customHeight="false" outlineLevel="0" collapsed="false">
      <c r="A134" s="93" t="n">
        <v>5</v>
      </c>
      <c r="B134" s="8" t="s">
        <v>1191</v>
      </c>
      <c r="C134" s="8" t="s">
        <v>865</v>
      </c>
      <c r="D134" s="91" t="n">
        <f aca="false">Variance!$F$80</f>
        <v>-0.840920583732064</v>
      </c>
      <c r="E134" s="8" t="s">
        <v>1187</v>
      </c>
    </row>
    <row r="135" customFormat="false" ht="15" hidden="false" customHeight="false" outlineLevel="0" collapsed="false">
      <c r="A135" s="93" t="n">
        <v>6</v>
      </c>
      <c r="B135" s="8" t="s">
        <v>1192</v>
      </c>
      <c r="C135" s="8" t="s">
        <v>1193</v>
      </c>
      <c r="D135" s="91" t="n">
        <f aca="false">Variance!$F$81</f>
        <v>-0.938178998608911</v>
      </c>
      <c r="E135" s="8" t="s">
        <v>1187</v>
      </c>
    </row>
    <row r="136" customFormat="false" ht="15" hidden="false" customHeight="false" outlineLevel="0" collapsed="false">
      <c r="A136" s="93" t="n">
        <v>7</v>
      </c>
      <c r="B136" s="8" t="s">
        <v>1194</v>
      </c>
      <c r="C136" s="8" t="s">
        <v>1195</v>
      </c>
      <c r="D136" s="91" t="n">
        <f aca="false">Variance!$F$82</f>
        <v>0.754317473370928</v>
      </c>
      <c r="E136" s="8" t="s">
        <v>1187</v>
      </c>
    </row>
    <row r="137" customFormat="false" ht="15" hidden="false" customHeight="false" outlineLevel="0" collapsed="false">
      <c r="A137" s="93" t="n">
        <v>8</v>
      </c>
      <c r="B137" s="8" t="s">
        <v>1196</v>
      </c>
      <c r="C137" s="8" t="s">
        <v>871</v>
      </c>
      <c r="D137" s="91" t="n">
        <f aca="false">Variance!$F$83</f>
        <v>-1.5</v>
      </c>
      <c r="E137" s="8" t="s">
        <v>1187</v>
      </c>
    </row>
    <row r="138" customFormat="false" ht="15" hidden="false" customHeight="false" outlineLevel="0" collapsed="false">
      <c r="A138" s="93" t="n">
        <v>9</v>
      </c>
      <c r="B138" s="8" t="s">
        <v>1197</v>
      </c>
      <c r="C138" s="8" t="s">
        <v>873</v>
      </c>
      <c r="D138" s="91" t="n">
        <f aca="false">Variance!$F$84</f>
        <v>0.916666666666671</v>
      </c>
      <c r="E138" s="8" t="s">
        <v>1187</v>
      </c>
    </row>
    <row r="139" customFormat="false" ht="15" hidden="false" customHeight="false" outlineLevel="0" collapsed="false">
      <c r="A139" s="93" t="n">
        <v>10</v>
      </c>
      <c r="B139" s="8" t="s">
        <v>1198</v>
      </c>
      <c r="C139" s="8" t="s">
        <v>1199</v>
      </c>
      <c r="D139" s="91" t="n">
        <f aca="false">Variance!$F$86</f>
        <v>180.60373331857</v>
      </c>
      <c r="E139" s="8" t="s">
        <v>1198</v>
      </c>
    </row>
    <row r="141" customFormat="false" ht="15" hidden="false" customHeight="false" outlineLevel="0" collapsed="false">
      <c r="A141" s="21" t="s">
        <v>1200</v>
      </c>
      <c r="C141" s="4" t="s">
        <v>1201</v>
      </c>
    </row>
    <row r="142" customFormat="false" ht="15" hidden="false" customHeight="false" outlineLevel="0" collapsed="false">
      <c r="A142" s="18" t="s">
        <v>1202</v>
      </c>
      <c r="B142" s="19" t="s">
        <v>1108</v>
      </c>
      <c r="C142" s="19" t="s">
        <v>1042</v>
      </c>
      <c r="D142" s="19" t="s">
        <v>1157</v>
      </c>
    </row>
    <row r="143" customFormat="false" ht="15" hidden="false" customHeight="false" outlineLevel="0" collapsed="false">
      <c r="A143" s="8" t="s">
        <v>1203</v>
      </c>
      <c r="B143" s="8" t="s">
        <v>879</v>
      </c>
      <c r="C143" s="91" t="n">
        <f aca="false">Variance!$F$90</f>
        <v>9.75401068739592</v>
      </c>
      <c r="D143" s="12" t="str">
        <f aca="false">Variance!$G$90</f>
        <v>Favorable</v>
      </c>
    </row>
    <row r="144" customFormat="false" ht="15" hidden="false" customHeight="false" outlineLevel="0" collapsed="false">
      <c r="A144" s="8" t="s">
        <v>1204</v>
      </c>
      <c r="B144" s="8" t="s">
        <v>843</v>
      </c>
      <c r="C144" s="91" t="n">
        <f aca="false">Variance!$F$91</f>
        <v>1.32830098484092</v>
      </c>
      <c r="D144" s="12" t="str">
        <f aca="false">Variance!$G$91</f>
        <v>Favorable</v>
      </c>
    </row>
    <row r="145" customFormat="false" ht="15" hidden="false" customHeight="false" outlineLevel="0" collapsed="false">
      <c r="A145" s="8" t="s">
        <v>1205</v>
      </c>
      <c r="B145" s="8" t="s">
        <v>845</v>
      </c>
      <c r="C145" s="91" t="n">
        <f aca="false">Variance!$F$92</f>
        <v>14.7669948062559</v>
      </c>
      <c r="D145" s="12" t="str">
        <f aca="false">Variance!$G$92</f>
        <v>Favorable</v>
      </c>
    </row>
    <row r="146" customFormat="false" ht="15" hidden="false" customHeight="false" outlineLevel="0" collapsed="false">
      <c r="A146" s="8" t="s">
        <v>1206</v>
      </c>
      <c r="B146" s="8" t="s">
        <v>847</v>
      </c>
      <c r="C146" s="91" t="n">
        <f aca="false">Variance!$F$93</f>
        <v>-6.34128510370089</v>
      </c>
      <c r="D146" s="12" t="str">
        <f aca="false">Variance!$G$93</f>
        <v>Unfavorable</v>
      </c>
    </row>
    <row r="147" customFormat="false" ht="15" hidden="false" customHeight="false" outlineLevel="0" collapsed="false">
      <c r="A147" s="8" t="s">
        <v>1207</v>
      </c>
      <c r="B147" s="8" t="s">
        <v>882</v>
      </c>
      <c r="C147" s="91" t="n">
        <f aca="false">Variance!$F$94</f>
        <v>-1.25496</v>
      </c>
      <c r="D147" s="12" t="str">
        <f aca="false">Variance!$G$94</f>
        <v>Unfavorable</v>
      </c>
    </row>
    <row r="148" customFormat="false" ht="15" hidden="false" customHeight="false" outlineLevel="0" collapsed="false">
      <c r="A148" s="8" t="s">
        <v>1208</v>
      </c>
      <c r="B148" s="8" t="s">
        <v>883</v>
      </c>
      <c r="C148" s="91" t="n">
        <f aca="false">Variance!$F$95</f>
        <v>-0.840920583732064</v>
      </c>
      <c r="D148" s="12" t="str">
        <f aca="false">Variance!$G$95</f>
        <v>Unfavorable</v>
      </c>
    </row>
    <row r="149" customFormat="false" ht="15" hidden="false" customHeight="false" outlineLevel="0" collapsed="false">
      <c r="A149" s="8" t="s">
        <v>1209</v>
      </c>
      <c r="B149" s="8" t="s">
        <v>884</v>
      </c>
      <c r="C149" s="91" t="n">
        <f aca="false">Variance!$F$96</f>
        <v>-0.583333333333329</v>
      </c>
      <c r="D149" s="12" t="str">
        <f aca="false">Variance!$G$96</f>
        <v>Unfavorable</v>
      </c>
    </row>
    <row r="150" customFormat="false" ht="15" hidden="false" customHeight="false" outlineLevel="0" collapsed="false">
      <c r="A150" s="8" t="s">
        <v>1210</v>
      </c>
      <c r="B150" s="8" t="s">
        <v>885</v>
      </c>
      <c r="C150" s="91" t="n">
        <f aca="false">Variance!$F$97</f>
        <v>3.76219051150923</v>
      </c>
      <c r="D150" s="12" t="str">
        <f aca="false">Variance!$G$97</f>
        <v>Favorable</v>
      </c>
    </row>
    <row r="151" customFormat="false" ht="15" hidden="false" customHeight="false" outlineLevel="0" collapsed="false">
      <c r="A151" s="8" t="s">
        <v>1211</v>
      </c>
      <c r="B151" s="8" t="s">
        <v>1212</v>
      </c>
      <c r="C151" s="91" t="n">
        <f aca="false">Variance!$F$70</f>
        <v>0</v>
      </c>
      <c r="D151" s="12" t="str">
        <f aca="false">Variance!$G$70</f>
        <v>Reconciled</v>
      </c>
    </row>
    <row r="152" customFormat="false" ht="15" hidden="false" customHeight="false" outlineLevel="0" collapsed="false">
      <c r="A152" s="8" t="s">
        <v>1213</v>
      </c>
      <c r="B152" s="8" t="s">
        <v>1214</v>
      </c>
      <c r="C152" s="91" t="n">
        <f aca="false">Variance!$F$87</f>
        <v>0</v>
      </c>
      <c r="D152" s="12" t="str">
        <f aca="false">Variance!$G$87</f>
        <v>Reconciled</v>
      </c>
    </row>
    <row r="154" customFormat="false" ht="15" hidden="false" customHeight="false" outlineLevel="0" collapsed="false">
      <c r="A154" s="21" t="s">
        <v>1215</v>
      </c>
      <c r="C154" s="4" t="s">
        <v>1216</v>
      </c>
    </row>
    <row r="155" customFormat="false" ht="15" hidden="false" customHeight="false" outlineLevel="0" collapsed="false">
      <c r="A155" s="18" t="s">
        <v>1083</v>
      </c>
      <c r="B155" s="19" t="s">
        <v>1217</v>
      </c>
      <c r="C155" s="19" t="s">
        <v>1108</v>
      </c>
      <c r="D155" s="19" t="s">
        <v>1154</v>
      </c>
      <c r="E155" s="19" t="s">
        <v>1155</v>
      </c>
    </row>
    <row r="156" customFormat="false" ht="15" hidden="false" customHeight="false" outlineLevel="0" collapsed="false">
      <c r="A156" s="8" t="s">
        <v>1095</v>
      </c>
      <c r="B156" s="8" t="s">
        <v>1218</v>
      </c>
      <c r="C156" s="8" t="s">
        <v>299</v>
      </c>
      <c r="D156" s="91" t="n">
        <f aca="false">Variance!$C$22</f>
        <v>334.521859845537</v>
      </c>
      <c r="E156" s="91" t="n">
        <f aca="false">Variance!$D$22</f>
        <v>351.298028920703</v>
      </c>
    </row>
    <row r="157" customFormat="false" ht="15" hidden="false" customHeight="false" outlineLevel="0" collapsed="false">
      <c r="A157" s="8" t="s">
        <v>1096</v>
      </c>
      <c r="B157" s="8" t="s">
        <v>1218</v>
      </c>
      <c r="C157" s="8" t="s">
        <v>299</v>
      </c>
      <c r="D157" s="91" t="n">
        <f aca="false">Variance!$C$23</f>
        <v>211.276964112971</v>
      </c>
      <c r="E157" s="91" t="n">
        <f aca="false">Variance!$D$23</f>
        <v>213.420155915735</v>
      </c>
    </row>
    <row r="158" customFormat="false" ht="15" hidden="false" customHeight="false" outlineLevel="0" collapsed="false">
      <c r="A158" s="8" t="s">
        <v>1097</v>
      </c>
      <c r="B158" s="8" t="s">
        <v>1218</v>
      </c>
      <c r="C158" s="8" t="s">
        <v>299</v>
      </c>
      <c r="D158" s="91" t="n">
        <f aca="false">Variance!$C$24</f>
        <v>21.1804065666259</v>
      </c>
      <c r="E158" s="91" t="n">
        <f aca="false">Variance!$D$24</f>
        <v>20.1242548676972</v>
      </c>
    </row>
    <row r="159" customFormat="false" ht="15" hidden="false" customHeight="false" outlineLevel="0" collapsed="false">
      <c r="A159" s="8" t="s">
        <v>1095</v>
      </c>
      <c r="B159" s="8" t="s">
        <v>1090</v>
      </c>
      <c r="C159" s="8" t="s">
        <v>1219</v>
      </c>
      <c r="D159" s="91" t="n">
        <f aca="false">Variance!$C$25</f>
        <v>0.594</v>
      </c>
      <c r="E159" s="91" t="n">
        <f aca="false">Variance!$D$25</f>
        <v>0.591</v>
      </c>
    </row>
    <row r="160" customFormat="false" ht="15" hidden="false" customHeight="false" outlineLevel="0" collapsed="false">
      <c r="A160" s="8" t="s">
        <v>1096</v>
      </c>
      <c r="B160" s="8" t="s">
        <v>1090</v>
      </c>
      <c r="C160" s="8" t="s">
        <v>1219</v>
      </c>
      <c r="D160" s="91" t="n">
        <f aca="false">Variance!$C$26</f>
        <v>0.9405</v>
      </c>
      <c r="E160" s="91" t="n">
        <f aca="false">Variance!$D$26</f>
        <v>0.94525</v>
      </c>
    </row>
    <row r="161" customFormat="false" ht="15" hidden="false" customHeight="false" outlineLevel="0" collapsed="false">
      <c r="A161" s="8" t="s">
        <v>1097</v>
      </c>
      <c r="B161" s="8" t="s">
        <v>1090</v>
      </c>
      <c r="C161" s="8" t="s">
        <v>1219</v>
      </c>
      <c r="D161" s="91" t="n">
        <f aca="false">Variance!$C$27</f>
        <v>3.366</v>
      </c>
      <c r="E161" s="91" t="n">
        <f aca="false">Variance!$D$27</f>
        <v>3.434</v>
      </c>
    </row>
    <row r="162" customFormat="false" ht="15" hidden="false" customHeight="false" outlineLevel="0" collapsed="false">
      <c r="A162" s="8" t="s">
        <v>1095</v>
      </c>
      <c r="B162" s="8" t="s">
        <v>1220</v>
      </c>
      <c r="C162" s="8" t="s">
        <v>1221</v>
      </c>
      <c r="D162" s="91" t="n">
        <f aca="false">Variance!$C$28</f>
        <v>0.95</v>
      </c>
      <c r="E162" s="91" t="n">
        <f aca="false">Variance!$D$28</f>
        <v>0.945</v>
      </c>
    </row>
    <row r="163" customFormat="false" ht="15" hidden="false" customHeight="false" outlineLevel="0" collapsed="false">
      <c r="A163" s="8" t="s">
        <v>1096</v>
      </c>
      <c r="B163" s="8" t="s">
        <v>1220</v>
      </c>
      <c r="C163" s="8" t="s">
        <v>1221</v>
      </c>
      <c r="D163" s="91" t="n">
        <f aca="false">Variance!$C$29</f>
        <v>0.93</v>
      </c>
      <c r="E163" s="91" t="n">
        <f aca="false">Variance!$D$29</f>
        <v>0.93</v>
      </c>
    </row>
    <row r="164" customFormat="false" ht="15" hidden="false" customHeight="false" outlineLevel="0" collapsed="false">
      <c r="A164" s="8" t="s">
        <v>1097</v>
      </c>
      <c r="B164" s="8" t="s">
        <v>1220</v>
      </c>
      <c r="C164" s="8" t="s">
        <v>1221</v>
      </c>
      <c r="D164" s="91" t="n">
        <f aca="false">Variance!$C$30</f>
        <v>0.88</v>
      </c>
      <c r="E164" s="91" t="n">
        <f aca="false">Variance!$D$30</f>
        <v>0.86</v>
      </c>
    </row>
    <row r="165" customFormat="false" ht="15" hidden="false" customHeight="false" outlineLevel="0" collapsed="false">
      <c r="A165" s="8" t="s">
        <v>1095</v>
      </c>
      <c r="B165" s="8" t="s">
        <v>1222</v>
      </c>
      <c r="C165" s="8" t="s">
        <v>1223</v>
      </c>
      <c r="D165" s="91" t="n">
        <f aca="false">Variance!$C$31</f>
        <v>0.78</v>
      </c>
      <c r="E165" s="91" t="n">
        <f aca="false">Variance!$D$31</f>
        <v>0.84</v>
      </c>
    </row>
    <row r="166" customFormat="false" ht="15" hidden="false" customHeight="false" outlineLevel="0" collapsed="false">
      <c r="A166" s="8" t="s">
        <v>1096</v>
      </c>
      <c r="B166" s="8" t="s">
        <v>1222</v>
      </c>
      <c r="C166" s="8" t="s">
        <v>1223</v>
      </c>
      <c r="D166" s="91" t="n">
        <f aca="false">Variance!$C$32</f>
        <v>0.78</v>
      </c>
      <c r="E166" s="91" t="n">
        <f aca="false">Variance!$D$32</f>
        <v>0.76</v>
      </c>
    </row>
    <row r="167" customFormat="false" ht="15" hidden="false" customHeight="false" outlineLevel="0" collapsed="false">
      <c r="A167" s="8" t="s">
        <v>1097</v>
      </c>
      <c r="B167" s="8" t="s">
        <v>1222</v>
      </c>
      <c r="C167" s="8" t="s">
        <v>1223</v>
      </c>
      <c r="D167" s="91" t="n">
        <f aca="false">Variance!$C$33</f>
        <v>0.78</v>
      </c>
      <c r="E167" s="91" t="n">
        <f aca="false">Variance!$D$33</f>
        <v>0.72</v>
      </c>
    </row>
    <row r="168" customFormat="false" ht="15" hidden="false" customHeight="false" outlineLevel="0" collapsed="false">
      <c r="A168" s="8" t="s">
        <v>1095</v>
      </c>
      <c r="B168" s="8" t="s">
        <v>1224</v>
      </c>
      <c r="C168" s="8" t="s">
        <v>316</v>
      </c>
      <c r="D168" s="91" t="n">
        <f aca="false">Variance!$C$34</f>
        <v>0.240735615261931</v>
      </c>
      <c r="E168" s="91" t="n">
        <f aca="false">Variance!$D$34</f>
        <v>0.239276208800018</v>
      </c>
    </row>
    <row r="169" customFormat="false" ht="15" hidden="false" customHeight="false" outlineLevel="0" collapsed="false">
      <c r="A169" s="8" t="s">
        <v>1096</v>
      </c>
      <c r="B169" s="8" t="s">
        <v>1224</v>
      </c>
      <c r="C169" s="8" t="s">
        <v>316</v>
      </c>
      <c r="D169" s="91" t="n">
        <f aca="false">Variance!$C$35</f>
        <v>0.375030787611433</v>
      </c>
      <c r="E169" s="91" t="n">
        <f aca="false">Variance!$D$35</f>
        <v>0.379908507828712</v>
      </c>
    </row>
    <row r="170" customFormat="false" ht="15" hidden="false" customHeight="false" outlineLevel="0" collapsed="false">
      <c r="A170" s="8" t="s">
        <v>1097</v>
      </c>
      <c r="B170" s="8" t="s">
        <v>1224</v>
      </c>
      <c r="C170" s="8" t="s">
        <v>316</v>
      </c>
      <c r="D170" s="91" t="n">
        <f aca="false">Variance!$C$36</f>
        <v>1.63224483849484</v>
      </c>
      <c r="E170" s="91" t="n">
        <f aca="false">Variance!$D$36</f>
        <v>1.74868955334072</v>
      </c>
    </row>
    <row r="171" customFormat="false" ht="15" hidden="false" customHeight="false" outlineLevel="0" collapsed="false">
      <c r="A171" s="8" t="s">
        <v>1095</v>
      </c>
      <c r="B171" s="8" t="s">
        <v>1225</v>
      </c>
      <c r="C171" s="8" t="s">
        <v>742</v>
      </c>
      <c r="D171" s="91" t="n">
        <f aca="false">Variance!$C$37</f>
        <v>0</v>
      </c>
      <c r="E171" s="91" t="n">
        <f aca="false">Variance!$D$37</f>
        <v>0</v>
      </c>
    </row>
    <row r="172" customFormat="false" ht="15" hidden="false" customHeight="false" outlineLevel="0" collapsed="false">
      <c r="A172" s="8" t="s">
        <v>1096</v>
      </c>
      <c r="B172" s="8" t="s">
        <v>1225</v>
      </c>
      <c r="C172" s="8" t="s">
        <v>742</v>
      </c>
      <c r="D172" s="91" t="n">
        <f aca="false">Variance!$C$38</f>
        <v>0</v>
      </c>
      <c r="E172" s="91" t="n">
        <f aca="false">Variance!$D$38</f>
        <v>0</v>
      </c>
    </row>
    <row r="173" customFormat="false" ht="15" hidden="false" customHeight="false" outlineLevel="0" collapsed="false">
      <c r="A173" s="8" t="s">
        <v>1097</v>
      </c>
      <c r="B173" s="8" t="s">
        <v>1225</v>
      </c>
      <c r="C173" s="8" t="s">
        <v>742</v>
      </c>
      <c r="D173" s="91" t="n">
        <f aca="false">Variance!$C$39</f>
        <v>0</v>
      </c>
      <c r="E173" s="91" t="n">
        <f aca="false">Variance!$D$39</f>
        <v>0</v>
      </c>
    </row>
    <row r="175" customFormat="false" ht="15" hidden="false" customHeight="false" outlineLevel="0" collapsed="false">
      <c r="A175" s="21" t="s">
        <v>1226</v>
      </c>
      <c r="C175" s="4" t="s">
        <v>1227</v>
      </c>
    </row>
    <row r="176" customFormat="false" ht="24.05" hidden="false" customHeight="false" outlineLevel="0" collapsed="false">
      <c r="A176" s="18" t="s">
        <v>1043</v>
      </c>
      <c r="B176" s="19" t="s">
        <v>1228</v>
      </c>
      <c r="C176" s="19" t="s">
        <v>1229</v>
      </c>
      <c r="D176" s="19" t="s">
        <v>1230</v>
      </c>
      <c r="E176" s="19" t="s">
        <v>1231</v>
      </c>
      <c r="F176" s="19" t="s">
        <v>1232</v>
      </c>
      <c r="G176" s="19" t="s">
        <v>1233</v>
      </c>
      <c r="H176" s="19" t="s">
        <v>1234</v>
      </c>
      <c r="I176" s="19" t="s">
        <v>1235</v>
      </c>
      <c r="J176" s="19" t="s">
        <v>1236</v>
      </c>
    </row>
    <row r="177" customFormat="false" ht="15" hidden="false" customHeight="false" outlineLevel="0" collapsed="false">
      <c r="A177" s="8" t="s">
        <v>221</v>
      </c>
      <c r="B177" s="91" t="n">
        <f aca="false">Capex!$F$65</f>
        <v>-15.8546807361994</v>
      </c>
      <c r="C177" s="91" t="n">
        <f aca="false">Capex!$F$66</f>
        <v>-0.178040688993039</v>
      </c>
      <c r="D177" s="91" t="str">
        <f aca="false">Capex!$F$67</f>
        <v>Not within life</v>
      </c>
      <c r="E177" s="91" t="n">
        <f aca="false">Capex!$F$70</f>
        <v>0.16197307568578</v>
      </c>
      <c r="F177" s="91" t="n">
        <f aca="false">Capex!$F$71</f>
        <v>0</v>
      </c>
      <c r="G177" s="12" t="str">
        <f aca="false">Capex!$C$155</f>
        <v>FAIL</v>
      </c>
      <c r="H177" s="12" t="str">
        <f aca="false">Capex!$C$156</f>
        <v>FAIL</v>
      </c>
      <c r="I177" s="12" t="str">
        <f aca="false">Capex!$C$157</f>
        <v>FAIL</v>
      </c>
      <c r="J177" s="12" t="str">
        <f aca="false">Capex!$C$158</f>
        <v>NO</v>
      </c>
    </row>
    <row r="178" customFormat="false" ht="15" hidden="false" customHeight="false" outlineLevel="0" collapsed="false">
      <c r="A178" s="8" t="s">
        <v>216</v>
      </c>
      <c r="B178" s="91" t="n">
        <f aca="false">Capex!$F$103</f>
        <v>60.4404177101178</v>
      </c>
      <c r="C178" s="91" t="n">
        <f aca="false">Capex!$F$104</f>
        <v>0.515681923716597</v>
      </c>
      <c r="D178" s="91" t="n">
        <f aca="false">Capex!$F$105</f>
        <v>2.42154596561385</v>
      </c>
      <c r="E178" s="91" t="n">
        <f aca="false">Capex!$F$108</f>
        <v>0.145969176171484</v>
      </c>
      <c r="F178" s="91" t="n">
        <f aca="false">Capex!$F$109</f>
        <v>0.771610737117391</v>
      </c>
      <c r="G178" s="12" t="str">
        <f aca="false">Capex!$D$155</f>
        <v>PASS</v>
      </c>
      <c r="H178" s="12" t="str">
        <f aca="false">Capex!$D$156</f>
        <v>PASS</v>
      </c>
      <c r="I178" s="12" t="str">
        <f aca="false">Capex!$D$157</f>
        <v>PASS</v>
      </c>
      <c r="J178" s="12" t="str">
        <f aca="false">Capex!$D$158</f>
        <v>YES</v>
      </c>
    </row>
    <row r="179" customFormat="false" ht="15" hidden="false" customHeight="false" outlineLevel="0" collapsed="false">
      <c r="A179" s="8" t="s">
        <v>222</v>
      </c>
      <c r="B179" s="91" t="n">
        <f aca="false">Capex!$F$141</f>
        <v>100.403714088996</v>
      </c>
      <c r="C179" s="91" t="n">
        <f aca="false">Capex!$F$142</f>
        <v>1.0484362285596</v>
      </c>
      <c r="D179" s="91" t="n">
        <f aca="false">Capex!$F$143</f>
        <v>1.04229712688821</v>
      </c>
      <c r="E179" s="91" t="n">
        <f aca="false">Capex!$F$146</f>
        <v>0.139564380748411</v>
      </c>
      <c r="F179" s="91" t="n">
        <f aca="false">Capex!$F$147</f>
        <v>1.0183396484324</v>
      </c>
      <c r="G179" s="12" t="str">
        <f aca="false">Capex!$E$155</f>
        <v>PASS</v>
      </c>
      <c r="H179" s="12" t="str">
        <f aca="false">Capex!$E$156</f>
        <v>PASS</v>
      </c>
      <c r="I179" s="12" t="str">
        <f aca="false">Capex!$E$157</f>
        <v>PASS</v>
      </c>
      <c r="J179" s="12" t="str">
        <f aca="false">Capex!$E$158</f>
        <v>YES</v>
      </c>
    </row>
    <row r="181" customFormat="false" ht="15" hidden="false" customHeight="false" outlineLevel="0" collapsed="false">
      <c r="A181" s="21" t="s">
        <v>1237</v>
      </c>
      <c r="C181" s="4" t="s">
        <v>1238</v>
      </c>
    </row>
    <row r="182" customFormat="false" ht="24.05" hidden="false" customHeight="false" outlineLevel="0" collapsed="false">
      <c r="A182" s="18" t="s">
        <v>1043</v>
      </c>
      <c r="B182" s="19" t="s">
        <v>1239</v>
      </c>
      <c r="C182" s="19" t="s">
        <v>1050</v>
      </c>
      <c r="D182" s="19" t="s">
        <v>1069</v>
      </c>
      <c r="E182" s="19" t="s">
        <v>1070</v>
      </c>
      <c r="F182" s="19" t="s">
        <v>1240</v>
      </c>
      <c r="G182" s="19" t="s">
        <v>1241</v>
      </c>
      <c r="H182" s="19" t="s">
        <v>1242</v>
      </c>
      <c r="I182" s="19" t="s">
        <v>1068</v>
      </c>
    </row>
    <row r="183" customFormat="false" ht="15" hidden="false" customHeight="false" outlineLevel="0" collapsed="false">
      <c r="A183" s="8" t="s">
        <v>221</v>
      </c>
      <c r="B183" s="93" t="n">
        <v>0</v>
      </c>
      <c r="C183" s="12" t="str">
        <f aca="false">Capex!C$38</f>
        <v>FY2026</v>
      </c>
      <c r="D183" s="91" t="n">
        <f aca="false">Capex!C$58</f>
        <v>-24.5</v>
      </c>
      <c r="E183" s="91" t="n">
        <f aca="false">Capex!C$61</f>
        <v>-24.5</v>
      </c>
      <c r="F183" s="91" t="n">
        <f aca="false">Capex!C$60</f>
        <v>-24.5</v>
      </c>
      <c r="G183" s="91" t="n">
        <f aca="false">Capex!C$43</f>
        <v>0</v>
      </c>
      <c r="H183" s="91" t="n">
        <f aca="false">Capex!C$47</f>
        <v>0</v>
      </c>
      <c r="I183" s="91" t="n">
        <f aca="false">Capex!C$50</f>
        <v>0</v>
      </c>
    </row>
    <row r="184" customFormat="false" ht="15" hidden="false" customHeight="false" outlineLevel="0" collapsed="false">
      <c r="A184" s="8" t="s">
        <v>221</v>
      </c>
      <c r="B184" s="93" t="n">
        <v>1</v>
      </c>
      <c r="C184" s="12" t="str">
        <f aca="false">Capex!D$38</f>
        <v>FY2027</v>
      </c>
      <c r="D184" s="91" t="n">
        <f aca="false">Capex!D$58</f>
        <v>1.87842751962015</v>
      </c>
      <c r="E184" s="91" t="n">
        <f aca="false">Capex!D$61</f>
        <v>-22.6215724803799</v>
      </c>
      <c r="F184" s="91" t="n">
        <f aca="false">Capex!D$60</f>
        <v>1.72332799965151</v>
      </c>
      <c r="G184" s="91" t="n">
        <f aca="false">Capex!D$43</f>
        <v>0</v>
      </c>
      <c r="H184" s="91" t="n">
        <f aca="false">Capex!D$47</f>
        <v>1.25844545986526</v>
      </c>
      <c r="I184" s="91" t="n">
        <f aca="false">Capex!D$50</f>
        <v>1.45844545986526</v>
      </c>
    </row>
    <row r="185" customFormat="false" ht="15" hidden="false" customHeight="false" outlineLevel="0" collapsed="false">
      <c r="A185" s="8" t="s">
        <v>221</v>
      </c>
      <c r="B185" s="93" t="n">
        <v>2</v>
      </c>
      <c r="C185" s="12" t="str">
        <f aca="false">Capex!E$38</f>
        <v>FY2028</v>
      </c>
      <c r="D185" s="91" t="n">
        <f aca="false">Capex!E$58</f>
        <v>1.89956940334588</v>
      </c>
      <c r="E185" s="91" t="n">
        <f aca="false">Capex!E$61</f>
        <v>-20.722003077034</v>
      </c>
      <c r="F185" s="91" t="n">
        <f aca="false">Capex!E$60</f>
        <v>1.59882956261753</v>
      </c>
      <c r="G185" s="91" t="n">
        <f aca="false">Capex!E$43</f>
        <v>0</v>
      </c>
      <c r="H185" s="91" t="n">
        <f aca="false">Capex!E$47</f>
        <v>1.28361436906256</v>
      </c>
      <c r="I185" s="91" t="n">
        <f aca="false">Capex!E$50</f>
        <v>1.48361436906256</v>
      </c>
    </row>
    <row r="186" customFormat="false" ht="15" hidden="false" customHeight="false" outlineLevel="0" collapsed="false">
      <c r="A186" s="8" t="s">
        <v>221</v>
      </c>
      <c r="B186" s="93" t="n">
        <v>3</v>
      </c>
      <c r="C186" s="12" t="str">
        <f aca="false">Capex!F$38</f>
        <v>FY2029</v>
      </c>
      <c r="D186" s="91" t="n">
        <f aca="false">Capex!F$58</f>
        <v>1.92113412474613</v>
      </c>
      <c r="E186" s="91" t="n">
        <f aca="false">Capex!F$61</f>
        <v>-18.8008689522878</v>
      </c>
      <c r="F186" s="91" t="n">
        <f aca="false">Capex!F$60</f>
        <v>1.48346803411054</v>
      </c>
      <c r="G186" s="91" t="n">
        <f aca="false">Capex!F$43</f>
        <v>0</v>
      </c>
      <c r="H186" s="91" t="n">
        <f aca="false">Capex!F$47</f>
        <v>1.30928665644381</v>
      </c>
      <c r="I186" s="91" t="n">
        <f aca="false">Capex!F$50</f>
        <v>1.50928665644381</v>
      </c>
    </row>
    <row r="187" customFormat="false" ht="15" hidden="false" customHeight="false" outlineLevel="0" collapsed="false">
      <c r="A187" s="8" t="s">
        <v>221</v>
      </c>
      <c r="B187" s="93" t="n">
        <v>4</v>
      </c>
      <c r="C187" s="12" t="str">
        <f aca="false">Capex!G$38</f>
        <v>FY2030</v>
      </c>
      <c r="D187" s="91" t="n">
        <f aca="false">Capex!G$58</f>
        <v>1.94313014057439</v>
      </c>
      <c r="E187" s="91" t="n">
        <f aca="false">Capex!G$61</f>
        <v>-16.8577388117134</v>
      </c>
      <c r="F187" s="91" t="n">
        <f aca="false">Capex!G$60</f>
        <v>1.37656237996356</v>
      </c>
      <c r="G187" s="91" t="n">
        <f aca="false">Capex!G$43</f>
        <v>0</v>
      </c>
      <c r="H187" s="91" t="n">
        <f aca="false">Capex!G$47</f>
        <v>1.33547238957269</v>
      </c>
      <c r="I187" s="91" t="n">
        <f aca="false">Capex!G$50</f>
        <v>1.53547238957269</v>
      </c>
    </row>
    <row r="188" customFormat="false" ht="15" hidden="false" customHeight="false" outlineLevel="0" collapsed="false">
      <c r="A188" s="8" t="s">
        <v>221</v>
      </c>
      <c r="B188" s="93" t="n">
        <v>5</v>
      </c>
      <c r="C188" s="12" t="str">
        <f aca="false">Capex!H$38</f>
        <v>FY2031</v>
      </c>
      <c r="D188" s="91" t="n">
        <f aca="false">Capex!H$58</f>
        <v>1.96556607671921</v>
      </c>
      <c r="E188" s="91" t="n">
        <f aca="false">Capex!H$61</f>
        <v>-14.8921727349942</v>
      </c>
      <c r="F188" s="91" t="n">
        <f aca="false">Capex!H$60</f>
        <v>1.27748308510312</v>
      </c>
      <c r="G188" s="91" t="n">
        <f aca="false">Capex!H$43</f>
        <v>0</v>
      </c>
      <c r="H188" s="91" t="n">
        <f aca="false">Capex!H$47</f>
        <v>1.36218183736414</v>
      </c>
      <c r="I188" s="91" t="n">
        <f aca="false">Capex!H$50</f>
        <v>1.56218183736414</v>
      </c>
    </row>
    <row r="189" customFormat="false" ht="15" hidden="false" customHeight="false" outlineLevel="0" collapsed="false">
      <c r="A189" s="8" t="s">
        <v>221</v>
      </c>
      <c r="B189" s="93" t="n">
        <v>6</v>
      </c>
      <c r="C189" s="12" t="str">
        <f aca="false">Capex!I$38</f>
        <v>FY2032</v>
      </c>
      <c r="D189" s="91" t="n">
        <f aca="false">Capex!I$58</f>
        <v>1.98845073158693</v>
      </c>
      <c r="E189" s="91" t="n">
        <f aca="false">Capex!I$61</f>
        <v>-12.9037220034073</v>
      </c>
      <c r="F189" s="91" t="n">
        <f aca="false">Capex!I$60</f>
        <v>1.18564820235436</v>
      </c>
      <c r="G189" s="91" t="n">
        <f aca="false">Capex!I$43</f>
        <v>0</v>
      </c>
      <c r="H189" s="91" t="n">
        <f aca="false">Capex!I$47</f>
        <v>1.38942547411142</v>
      </c>
      <c r="I189" s="91" t="n">
        <f aca="false">Capex!I$50</f>
        <v>1.58942547411142</v>
      </c>
    </row>
    <row r="190" customFormat="false" ht="15" hidden="false" customHeight="false" outlineLevel="0" collapsed="false">
      <c r="A190" s="8" t="s">
        <v>216</v>
      </c>
      <c r="B190" s="93" t="n">
        <v>0</v>
      </c>
      <c r="C190" s="12" t="str">
        <f aca="false">Capex!C$76</f>
        <v>FY2026</v>
      </c>
      <c r="D190" s="91" t="n">
        <f aca="false">Capex!C$96</f>
        <v>-24.5</v>
      </c>
      <c r="E190" s="91" t="n">
        <f aca="false">Capex!C$99</f>
        <v>-24.5</v>
      </c>
      <c r="F190" s="91" t="n">
        <f aca="false">Capex!C$98</f>
        <v>-24.5</v>
      </c>
      <c r="G190" s="91" t="n">
        <f aca="false">Capex!C$81</f>
        <v>0</v>
      </c>
      <c r="H190" s="91" t="n">
        <f aca="false">Capex!C$85</f>
        <v>0</v>
      </c>
      <c r="I190" s="91" t="n">
        <f aca="false">Capex!C$88</f>
        <v>0</v>
      </c>
    </row>
    <row r="191" customFormat="false" ht="15" hidden="false" customHeight="false" outlineLevel="0" collapsed="false">
      <c r="A191" s="8" t="s">
        <v>216</v>
      </c>
      <c r="B191" s="93" t="n">
        <v>1</v>
      </c>
      <c r="C191" s="12" t="str">
        <f aca="false">Capex!D$76</f>
        <v>FY2027</v>
      </c>
      <c r="D191" s="91" t="n">
        <f aca="false">Capex!D$96</f>
        <v>1.90819925635337</v>
      </c>
      <c r="E191" s="91" t="n">
        <f aca="false">Capex!D$99</f>
        <v>-22.5918007436466</v>
      </c>
      <c r="F191" s="91" t="n">
        <f aca="false">Capex!D$98</f>
        <v>1.75064151959025</v>
      </c>
      <c r="G191" s="91" t="n">
        <f aca="false">Capex!D$81</f>
        <v>0</v>
      </c>
      <c r="H191" s="91" t="n">
        <f aca="false">Capex!D$85</f>
        <v>1.38317922186211</v>
      </c>
      <c r="I191" s="91" t="n">
        <f aca="false">Capex!D$88</f>
        <v>1.58317922186211</v>
      </c>
    </row>
    <row r="192" customFormat="false" ht="15" hidden="false" customHeight="false" outlineLevel="0" collapsed="false">
      <c r="A192" s="8" t="s">
        <v>216</v>
      </c>
      <c r="B192" s="93" t="n">
        <v>2</v>
      </c>
      <c r="C192" s="12" t="str">
        <f aca="false">Capex!E$76</f>
        <v>FY2028</v>
      </c>
      <c r="D192" s="91" t="n">
        <f aca="false">Capex!E$96</f>
        <v>11.9964641262891</v>
      </c>
      <c r="E192" s="91" t="n">
        <f aca="false">Capex!E$99</f>
        <v>-10.5953366173575</v>
      </c>
      <c r="F192" s="91" t="n">
        <f aca="false">Capex!E$98</f>
        <v>10.0971838450376</v>
      </c>
      <c r="G192" s="91" t="n">
        <f aca="false">Capex!E$81</f>
        <v>33.154404897324</v>
      </c>
      <c r="H192" s="91" t="n">
        <f aca="false">Capex!E$85</f>
        <v>1.42757999999998</v>
      </c>
      <c r="I192" s="91" t="n">
        <f aca="false">Capex!E$88</f>
        <v>15.5613574329681</v>
      </c>
    </row>
    <row r="193" customFormat="false" ht="15" hidden="false" customHeight="false" outlineLevel="0" collapsed="false">
      <c r="A193" s="8" t="s">
        <v>216</v>
      </c>
      <c r="B193" s="93" t="n">
        <v>3</v>
      </c>
      <c r="C193" s="12" t="str">
        <f aca="false">Capex!F$76</f>
        <v>FY2029</v>
      </c>
      <c r="D193" s="91" t="n">
        <f aca="false">Capex!F$96</f>
        <v>25.1344751975714</v>
      </c>
      <c r="E193" s="91" t="n">
        <f aca="false">Capex!F$99</f>
        <v>14.5391385802139</v>
      </c>
      <c r="F193" s="91" t="n">
        <f aca="false">Capex!F$98</f>
        <v>19.4084265275692</v>
      </c>
      <c r="G193" s="91" t="n">
        <f aca="false">Capex!F$81</f>
        <v>71.7120000000001</v>
      </c>
      <c r="H193" s="91" t="n">
        <f aca="false">Capex!F$85</f>
        <v>1.42757999999998</v>
      </c>
      <c r="I193" s="91" t="n">
        <f aca="false">Capex!F$88</f>
        <v>30.947727858176</v>
      </c>
    </row>
    <row r="194" customFormat="false" ht="15" hidden="false" customHeight="false" outlineLevel="0" collapsed="false">
      <c r="A194" s="8" t="s">
        <v>216</v>
      </c>
      <c r="B194" s="93" t="n">
        <v>4</v>
      </c>
      <c r="C194" s="12" t="str">
        <f aca="false">Capex!G$76</f>
        <v>FY2030</v>
      </c>
      <c r="D194" s="91" t="n">
        <f aca="false">Capex!G$96</f>
        <v>26.8456303521362</v>
      </c>
      <c r="E194" s="91" t="n">
        <f aca="false">Capex!G$99</f>
        <v>41.3847689323501</v>
      </c>
      <c r="F194" s="91" t="n">
        <f aca="false">Capex!G$98</f>
        <v>19.0181213483903</v>
      </c>
      <c r="G194" s="91" t="n">
        <f aca="false">Capex!G$81</f>
        <v>71.7120000000001</v>
      </c>
      <c r="H194" s="91" t="n">
        <f aca="false">Capex!G$85</f>
        <v>1.42757999999998</v>
      </c>
      <c r="I194" s="91" t="n">
        <f aca="false">Capex!G$88</f>
        <v>30.1458901010125</v>
      </c>
    </row>
    <row r="195" customFormat="false" ht="15" hidden="false" customHeight="false" outlineLevel="0" collapsed="false">
      <c r="A195" s="8" t="s">
        <v>216</v>
      </c>
      <c r="B195" s="93" t="n">
        <v>5</v>
      </c>
      <c r="C195" s="12" t="str">
        <f aca="false">Capex!H$76</f>
        <v>FY2031</v>
      </c>
      <c r="D195" s="91" t="n">
        <f aca="false">Capex!H$96</f>
        <v>26.1602260277602</v>
      </c>
      <c r="E195" s="91" t="n">
        <f aca="false">Capex!H$99</f>
        <v>67.5449949601103</v>
      </c>
      <c r="F195" s="91" t="n">
        <f aca="false">Capex!H$98</f>
        <v>17.0023519681002</v>
      </c>
      <c r="G195" s="91" t="n">
        <f aca="false">Capex!H$81</f>
        <v>71.7120000000001</v>
      </c>
      <c r="H195" s="91" t="n">
        <f aca="false">Capex!H$85</f>
        <v>1.42757999999998</v>
      </c>
      <c r="I195" s="91" t="n">
        <f aca="false">Capex!H$88</f>
        <v>29.3600890989922</v>
      </c>
    </row>
    <row r="196" customFormat="false" ht="15" hidden="false" customHeight="false" outlineLevel="0" collapsed="false">
      <c r="A196" s="8" t="s">
        <v>216</v>
      </c>
      <c r="B196" s="93" t="n">
        <v>6</v>
      </c>
      <c r="C196" s="12" t="str">
        <f aca="false">Capex!I$76</f>
        <v>FY2032</v>
      </c>
      <c r="D196" s="91" t="n">
        <f aca="false">Capex!I$96</f>
        <v>29.62378065201</v>
      </c>
      <c r="E196" s="91" t="n">
        <f aca="false">Capex!I$99</f>
        <v>97.1687756121203</v>
      </c>
      <c r="F196" s="91" t="n">
        <f aca="false">Capex!I$98</f>
        <v>17.6636925014302</v>
      </c>
      <c r="G196" s="91" t="n">
        <f aca="false">Capex!I$81</f>
        <v>71.7120000000001</v>
      </c>
      <c r="H196" s="91" t="n">
        <f aca="false">Capex!I$85</f>
        <v>1.42757999999998</v>
      </c>
      <c r="I196" s="91" t="n">
        <f aca="false">Capex!I$88</f>
        <v>28.5900041170124</v>
      </c>
    </row>
    <row r="197" customFormat="false" ht="15" hidden="false" customHeight="false" outlineLevel="0" collapsed="false">
      <c r="A197" s="8" t="s">
        <v>222</v>
      </c>
      <c r="B197" s="93" t="n">
        <v>0</v>
      </c>
      <c r="C197" s="12" t="str">
        <f aca="false">Capex!C$114</f>
        <v>FY2026</v>
      </c>
      <c r="D197" s="91" t="n">
        <f aca="false">Capex!C$134</f>
        <v>-24.5</v>
      </c>
      <c r="E197" s="91" t="n">
        <f aca="false">Capex!C$137</f>
        <v>-24.5</v>
      </c>
      <c r="F197" s="91" t="n">
        <f aca="false">Capex!C$136</f>
        <v>-24.5</v>
      </c>
      <c r="G197" s="91" t="n">
        <f aca="false">Capex!C$119</f>
        <v>0</v>
      </c>
      <c r="H197" s="91" t="n">
        <f aca="false">Capex!C$123</f>
        <v>0</v>
      </c>
      <c r="I197" s="91" t="n">
        <f aca="false">Capex!C$126</f>
        <v>0</v>
      </c>
    </row>
    <row r="198" customFormat="false" ht="15" hidden="false" customHeight="false" outlineLevel="0" collapsed="false">
      <c r="A198" s="8" t="s">
        <v>222</v>
      </c>
      <c r="B198" s="93" t="n">
        <v>1</v>
      </c>
      <c r="C198" s="12" t="str">
        <f aca="false">Capex!D$114</f>
        <v>FY2027</v>
      </c>
      <c r="D198" s="91" t="n">
        <f aca="false">Capex!D$134</f>
        <v>23.2618295467223</v>
      </c>
      <c r="E198" s="91" t="n">
        <f aca="false">Capex!D$137</f>
        <v>-1.23817045327768</v>
      </c>
      <c r="F198" s="91" t="n">
        <f aca="false">Capex!D$136</f>
        <v>21.3411280245159</v>
      </c>
      <c r="G198" s="91" t="n">
        <f aca="false">Capex!D$119</f>
        <v>64.9250462791117</v>
      </c>
      <c r="H198" s="91" t="n">
        <f aca="false">Capex!D$123</f>
        <v>1.38542845360824</v>
      </c>
      <c r="I198" s="91" t="n">
        <f aca="false">Capex!D$126</f>
        <v>30.678783449325</v>
      </c>
    </row>
    <row r="199" customFormat="false" ht="15" hidden="false" customHeight="false" outlineLevel="0" collapsed="false">
      <c r="A199" s="8" t="s">
        <v>222</v>
      </c>
      <c r="B199" s="93" t="n">
        <v>2</v>
      </c>
      <c r="C199" s="12" t="str">
        <f aca="false">Capex!E$114</f>
        <v>FY2028</v>
      </c>
      <c r="D199" s="91" t="n">
        <f aca="false">Capex!E$134</f>
        <v>29.2731574073599</v>
      </c>
      <c r="E199" s="91" t="n">
        <f aca="false">Capex!E$137</f>
        <v>28.0349869540822</v>
      </c>
      <c r="F199" s="91" t="n">
        <f aca="false">Capex!E$136</f>
        <v>24.6386309295176</v>
      </c>
      <c r="G199" s="91" t="n">
        <f aca="false">Capex!E$119</f>
        <v>72.3600000000001</v>
      </c>
      <c r="H199" s="91" t="n">
        <f aca="false">Capex!E$123</f>
        <v>1.38542845360824</v>
      </c>
      <c r="I199" s="91" t="n">
        <f aca="false">Capex!E$126</f>
        <v>33.1509736640001</v>
      </c>
    </row>
    <row r="200" customFormat="false" ht="15" hidden="false" customHeight="false" outlineLevel="0" collapsed="false">
      <c r="A200" s="8" t="s">
        <v>222</v>
      </c>
      <c r="B200" s="93" t="n">
        <v>3</v>
      </c>
      <c r="C200" s="12" t="str">
        <f aca="false">Capex!F$114</f>
        <v>FY2029</v>
      </c>
      <c r="D200" s="91" t="n">
        <f aca="false">Capex!F$134</f>
        <v>29.0139598019465</v>
      </c>
      <c r="E200" s="91" t="n">
        <f aca="false">Capex!F$137</f>
        <v>57.0489467560288</v>
      </c>
      <c r="F200" s="91" t="n">
        <f aca="false">Capex!F$136</f>
        <v>22.4041004502189</v>
      </c>
      <c r="G200" s="91" t="n">
        <f aca="false">Capex!F$119</f>
        <v>72.3600000000001</v>
      </c>
      <c r="H200" s="91" t="n">
        <f aca="false">Capex!F$123</f>
        <v>1.38542845360824</v>
      </c>
      <c r="I200" s="91" t="n">
        <f aca="false">Capex!F$126</f>
        <v>32.3086997907201</v>
      </c>
    </row>
    <row r="201" customFormat="false" ht="15" hidden="false" customHeight="false" outlineLevel="0" collapsed="false">
      <c r="A201" s="8" t="s">
        <v>222</v>
      </c>
      <c r="B201" s="93" t="n">
        <v>4</v>
      </c>
      <c r="C201" s="12" t="str">
        <f aca="false">Capex!G$114</f>
        <v>FY2030</v>
      </c>
      <c r="D201" s="91" t="n">
        <f aca="false">Capex!G$134</f>
        <v>28.2857367339076</v>
      </c>
      <c r="E201" s="91" t="n">
        <f aca="false">Capex!G$137</f>
        <v>85.3346834899363</v>
      </c>
      <c r="F201" s="91" t="n">
        <f aca="false">Capex!G$136</f>
        <v>20.0383290158531</v>
      </c>
      <c r="G201" s="91" t="n">
        <f aca="false">Capex!G$119</f>
        <v>72.3600000000001</v>
      </c>
      <c r="H201" s="91" t="n">
        <f aca="false">Capex!G$123</f>
        <v>1.38542845360824</v>
      </c>
      <c r="I201" s="91" t="n">
        <f aca="false">Capex!G$126</f>
        <v>31.4832713949056</v>
      </c>
    </row>
    <row r="202" customFormat="false" ht="15" hidden="false" customHeight="false" outlineLevel="0" collapsed="false">
      <c r="A202" s="8" t="s">
        <v>222</v>
      </c>
      <c r="B202" s="93" t="n">
        <v>5</v>
      </c>
      <c r="C202" s="12" t="str">
        <f aca="false">Capex!H$114</f>
        <v>FY2031</v>
      </c>
      <c r="D202" s="91" t="n">
        <f aca="false">Capex!H$134</f>
        <v>27.5720781272294</v>
      </c>
      <c r="E202" s="91" t="n">
        <f aca="false">Capex!H$137</f>
        <v>112.906761617166</v>
      </c>
      <c r="F202" s="91" t="n">
        <f aca="false">Capex!H$136</f>
        <v>17.9199589603565</v>
      </c>
      <c r="G202" s="91" t="n">
        <f aca="false">Capex!H$119</f>
        <v>72.3600000000001</v>
      </c>
      <c r="H202" s="91" t="n">
        <f aca="false">Capex!H$123</f>
        <v>1.38542845360824</v>
      </c>
      <c r="I202" s="91" t="n">
        <f aca="false">Capex!H$126</f>
        <v>30.6743515670075</v>
      </c>
    </row>
    <row r="203" customFormat="false" ht="15" hidden="false" customHeight="false" outlineLevel="0" collapsed="false">
      <c r="A203" s="8" t="s">
        <v>222</v>
      </c>
      <c r="B203" s="93" t="n">
        <v>6</v>
      </c>
      <c r="C203" s="12" t="str">
        <f aca="false">Capex!I$114</f>
        <v>FY2032</v>
      </c>
      <c r="D203" s="91" t="n">
        <f aca="false">Capex!I$134</f>
        <v>31.1296055842648</v>
      </c>
      <c r="E203" s="91" t="n">
        <f aca="false">Capex!I$137</f>
        <v>144.036367201431</v>
      </c>
      <c r="F203" s="91" t="n">
        <f aca="false">Capex!I$136</f>
        <v>18.5615667085339</v>
      </c>
      <c r="G203" s="91" t="n">
        <f aca="false">Capex!I$119</f>
        <v>72.3600000000001</v>
      </c>
      <c r="H203" s="91" t="n">
        <f aca="false">Capex!I$123</f>
        <v>1.38542845360824</v>
      </c>
      <c r="I203" s="91" t="n">
        <f aca="false">Capex!I$126</f>
        <v>29.8816101356674</v>
      </c>
    </row>
    <row r="205" customFormat="false" ht="15" hidden="false" customHeight="false" outlineLevel="0" collapsed="false">
      <c r="A205" s="21" t="s">
        <v>1243</v>
      </c>
      <c r="C205" s="4" t="s">
        <v>1244</v>
      </c>
    </row>
    <row r="206" customFormat="false" ht="15" hidden="false" customHeight="false" outlineLevel="0" collapsed="false">
      <c r="A206" s="18" t="s">
        <v>1041</v>
      </c>
      <c r="B206" s="19" t="s">
        <v>1108</v>
      </c>
      <c r="C206" s="19" t="s">
        <v>1042</v>
      </c>
    </row>
    <row r="207" customFormat="false" ht="15" hidden="false" customHeight="false" outlineLevel="0" collapsed="false">
      <c r="A207" s="8" t="s">
        <v>1245</v>
      </c>
      <c r="B207" s="8" t="s">
        <v>1246</v>
      </c>
      <c r="C207" s="39" t="n">
        <f aca="false">Capex!$F$6</f>
        <v>22</v>
      </c>
    </row>
    <row r="208" customFormat="false" ht="15" hidden="false" customHeight="false" outlineLevel="0" collapsed="false">
      <c r="A208" s="8" t="s">
        <v>1247</v>
      </c>
      <c r="B208" s="8" t="s">
        <v>1248</v>
      </c>
      <c r="C208" s="39" t="n">
        <f aca="false">Capex!$F$7</f>
        <v>2.5</v>
      </c>
    </row>
    <row r="209" customFormat="false" ht="15" hidden="false" customHeight="false" outlineLevel="0" collapsed="false">
      <c r="A209" s="8" t="s">
        <v>1071</v>
      </c>
      <c r="B209" s="8" t="s">
        <v>1249</v>
      </c>
      <c r="C209" s="39" t="n">
        <f aca="false">Capex!$F$19</f>
        <v>24.5</v>
      </c>
    </row>
    <row r="210" customFormat="false" ht="15" hidden="false" customHeight="false" outlineLevel="0" collapsed="false">
      <c r="A210" s="8" t="s">
        <v>1250</v>
      </c>
      <c r="B210" s="8" t="s">
        <v>1251</v>
      </c>
      <c r="C210" s="67" t="n">
        <f aca="false">Capex!$F$8</f>
        <v>6</v>
      </c>
    </row>
    <row r="211" customFormat="false" ht="15" hidden="false" customHeight="false" outlineLevel="0" collapsed="false">
      <c r="A211" s="8" t="s">
        <v>1252</v>
      </c>
      <c r="B211" s="8" t="s">
        <v>1253</v>
      </c>
      <c r="C211" s="25" t="n">
        <f aca="false">Capex!$F$9</f>
        <v>0.01</v>
      </c>
    </row>
    <row r="212" customFormat="false" ht="15" hidden="false" customHeight="false" outlineLevel="0" collapsed="false">
      <c r="A212" s="8" t="s">
        <v>1254</v>
      </c>
      <c r="B212" s="8" t="s">
        <v>1255</v>
      </c>
      <c r="C212" s="39" t="n">
        <f aca="false">Capex!$F$10</f>
        <v>1.2</v>
      </c>
    </row>
    <row r="213" customFormat="false" ht="15" hidden="false" customHeight="false" outlineLevel="0" collapsed="false">
      <c r="A213" s="8" t="s">
        <v>1256</v>
      </c>
      <c r="B213" s="8" t="s">
        <v>1257</v>
      </c>
      <c r="C213" s="39" t="n">
        <f aca="false">Capex!$F$11</f>
        <v>1</v>
      </c>
    </row>
    <row r="214" customFormat="false" ht="15" hidden="false" customHeight="false" outlineLevel="0" collapsed="false">
      <c r="A214" s="8" t="s">
        <v>1258</v>
      </c>
      <c r="B214" s="8" t="s">
        <v>1259</v>
      </c>
      <c r="C214" s="79" t="n">
        <f aca="false">Capex!$F$12</f>
        <v>6</v>
      </c>
    </row>
    <row r="215" customFormat="false" ht="15" hidden="false" customHeight="false" outlineLevel="0" collapsed="false">
      <c r="A215" s="8" t="s">
        <v>1260</v>
      </c>
      <c r="B215" s="8" t="s">
        <v>1261</v>
      </c>
      <c r="C215" s="25" t="n">
        <f aca="false">Capex!$F$16</f>
        <v>0.09</v>
      </c>
    </row>
    <row r="216" customFormat="false" ht="15" hidden="false" customHeight="false" outlineLevel="0" collapsed="false">
      <c r="A216" s="8" t="s">
        <v>1262</v>
      </c>
      <c r="B216" s="8" t="s">
        <v>1263</v>
      </c>
      <c r="C216" s="25" t="n">
        <f aca="false">Capex!$F$17</f>
        <v>0.11</v>
      </c>
    </row>
    <row r="217" customFormat="false" ht="15" hidden="false" customHeight="false" outlineLevel="0" collapsed="false">
      <c r="A217" s="8" t="s">
        <v>1264</v>
      </c>
      <c r="B217" s="8" t="s">
        <v>1265</v>
      </c>
      <c r="C217" s="41" t="n">
        <f aca="false">Capex!$F$18</f>
        <v>4</v>
      </c>
    </row>
    <row r="218" customFormat="false" ht="15" hidden="false" customHeight="false" outlineLevel="0" collapsed="false">
      <c r="A218" s="8" t="s">
        <v>1266</v>
      </c>
      <c r="B218" s="8" t="s">
        <v>1267</v>
      </c>
      <c r="C218" s="12" t="str">
        <f aca="false">Capex!$C$160</f>
        <v>APPROVE WITH A DEMAND CHECKPOINT - meets the criteria in Base and Upside, fails in Downside</v>
      </c>
    </row>
    <row r="219" customFormat="false" ht="15" hidden="false" customHeight="false" outlineLevel="0" collapsed="false">
      <c r="A219" s="8" t="s">
        <v>1268</v>
      </c>
      <c r="B219" s="8" t="s">
        <v>1269</v>
      </c>
      <c r="C219" s="12" t="str">
        <f aca="false">Capex!$C$161</f>
        <v>Rule: reject if Base fails; approve outright only if Downside also passes; otherwise approve with a checkpoint. Downside NPV -$15.9m: with Power demand growth of 2% a year, demand never exceeds existing capacity, so only yield, scrap and savings benefits remain.</v>
      </c>
    </row>
    <row r="220" customFormat="false" ht="15" hidden="false" customHeight="false" outlineLevel="0" collapsed="false">
      <c r="A220" s="8" t="s">
        <v>1270</v>
      </c>
      <c r="B220" s="8" t="s">
        <v>1271</v>
      </c>
      <c r="C220" s="12" t="str">
        <f aca="false">Capex!$C$162</f>
        <v>Checkpoint: release the purchase order once trailing Power demand exceeds 71.48m good units a month (95% of current good-unit capacity at max utilization).</v>
      </c>
    </row>
    <row r="222" customFormat="false" ht="15" hidden="false" customHeight="false" outlineLevel="0" collapsed="false">
      <c r="A222" s="21" t="s">
        <v>1272</v>
      </c>
      <c r="C222" s="4" t="s">
        <v>1273</v>
      </c>
    </row>
    <row r="223" customFormat="false" ht="15" hidden="false" customHeight="false" outlineLevel="0" collapsed="false">
      <c r="A223" s="18" t="s">
        <v>1274</v>
      </c>
      <c r="B223" s="19" t="s">
        <v>1108</v>
      </c>
      <c r="C223" s="19" t="s">
        <v>1109</v>
      </c>
      <c r="D223" s="19" t="s">
        <v>221</v>
      </c>
      <c r="E223" s="19" t="s">
        <v>216</v>
      </c>
      <c r="F223" s="19" t="s">
        <v>222</v>
      </c>
    </row>
    <row r="224" customFormat="false" ht="15" hidden="false" customHeight="false" outlineLevel="0" collapsed="false">
      <c r="A224" s="8" t="s">
        <v>1275</v>
      </c>
      <c r="B224" s="12" t="str">
        <f aca="false">Assumptions!$A$10</f>
        <v>Customer demand growth</v>
      </c>
      <c r="C224" s="12" t="str">
        <f aca="false">Assumptions!$B$10</f>
        <v>%</v>
      </c>
      <c r="D224" s="91" t="n">
        <f aca="false">Assumptions!$C$10</f>
        <v>0.03</v>
      </c>
      <c r="E224" s="91" t="n">
        <f aca="false">Assumptions!$D$10</f>
        <v>0.15</v>
      </c>
      <c r="F224" s="91" t="n">
        <f aca="false">Assumptions!$E$10</f>
        <v>0.24</v>
      </c>
    </row>
    <row r="225" customFormat="false" ht="15" hidden="false" customHeight="false" outlineLevel="0" collapsed="false">
      <c r="A225" s="8" t="s">
        <v>1276</v>
      </c>
      <c r="B225" s="12" t="str">
        <f aca="false">Assumptions!$A$11</f>
        <v>Average selling price change</v>
      </c>
      <c r="C225" s="12" t="str">
        <f aca="false">Assumptions!$B$11</f>
        <v>%</v>
      </c>
      <c r="D225" s="91" t="n">
        <f aca="false">Assumptions!$C$11</f>
        <v>-0.03</v>
      </c>
      <c r="E225" s="91" t="n">
        <f aca="false">Assumptions!$D$11</f>
        <v>-0.01</v>
      </c>
      <c r="F225" s="91" t="n">
        <f aca="false">Assumptions!$E$11</f>
        <v>0.01</v>
      </c>
    </row>
    <row r="226" customFormat="false" ht="15" hidden="false" customHeight="false" outlineLevel="0" collapsed="false">
      <c r="A226" s="8" t="s">
        <v>1277</v>
      </c>
      <c r="B226" s="12" t="str">
        <f aca="false">Assumptions!$A$12</f>
        <v>Manufacturing yield change (percentage points vs base-year yield)</v>
      </c>
      <c r="C226" s="12" t="str">
        <f aca="false">Assumptions!$B$12</f>
        <v>pts</v>
      </c>
      <c r="D226" s="91" t="n">
        <f aca="false">Assumptions!$C$12</f>
        <v>-0.02</v>
      </c>
      <c r="E226" s="91" t="n">
        <f aca="false">Assumptions!$D$12</f>
        <v>0</v>
      </c>
      <c r="F226" s="91" t="n">
        <f aca="false">Assumptions!$E$12</f>
        <v>0.01</v>
      </c>
    </row>
    <row r="227" customFormat="false" ht="15" hidden="false" customHeight="false" outlineLevel="0" collapsed="false">
      <c r="A227" s="8" t="s">
        <v>1222</v>
      </c>
      <c r="B227" s="12" t="str">
        <f aca="false">Assumptions!$A$13</f>
        <v>Capacity utilization (internal final test)</v>
      </c>
      <c r="C227" s="12" t="str">
        <f aca="false">Assumptions!$B$13</f>
        <v>%</v>
      </c>
      <c r="D227" s="91" t="n">
        <f aca="false">Assumptions!$C$13</f>
        <v>0.68</v>
      </c>
      <c r="E227" s="91" t="n">
        <f aca="false">Assumptions!$D$13</f>
        <v>0.78</v>
      </c>
      <c r="F227" s="91" t="n">
        <f aca="false">Assumptions!$E$13</f>
        <v>0.86</v>
      </c>
    </row>
    <row r="228" customFormat="false" ht="15" hidden="false" customHeight="false" outlineLevel="0" collapsed="false">
      <c r="A228" s="8" t="s">
        <v>1278</v>
      </c>
      <c r="B228" s="12" t="str">
        <f aca="false">Assumptions!$A$14</f>
        <v>Material-cost inflation (variable cost per unit)</v>
      </c>
      <c r="C228" s="12" t="str">
        <f aca="false">Assumptions!$B$14</f>
        <v>%</v>
      </c>
      <c r="D228" s="91" t="n">
        <f aca="false">Assumptions!$C$14</f>
        <v>0.05</v>
      </c>
      <c r="E228" s="91" t="n">
        <f aca="false">Assumptions!$D$14</f>
        <v>0.03</v>
      </c>
      <c r="F228" s="91" t="n">
        <f aca="false">Assumptions!$E$14</f>
        <v>0.01</v>
      </c>
    </row>
    <row r="229" customFormat="false" ht="15" hidden="false" customHeight="false" outlineLevel="0" collapsed="false">
      <c r="A229" s="8" t="s">
        <v>1279</v>
      </c>
      <c r="B229" s="12" t="str">
        <f aca="false">Assumptions!$A$15</f>
        <v>R&amp;D expense growth</v>
      </c>
      <c r="C229" s="12" t="str">
        <f aca="false">Assumptions!$B$15</f>
        <v>%</v>
      </c>
      <c r="D229" s="91" t="n">
        <f aca="false">Assumptions!$C$15</f>
        <v>0.02</v>
      </c>
      <c r="E229" s="91" t="n">
        <f aca="false">Assumptions!$D$15</f>
        <v>0.05</v>
      </c>
      <c r="F229" s="91" t="n">
        <f aca="false">Assumptions!$E$15</f>
        <v>0.08</v>
      </c>
    </row>
    <row r="230" customFormat="false" ht="15" hidden="false" customHeight="false" outlineLevel="0" collapsed="false">
      <c r="A230" s="8" t="s">
        <v>1280</v>
      </c>
      <c r="B230" s="12" t="str">
        <f aca="false">Assumptions!$A$16</f>
        <v>SG&amp;A expense growth</v>
      </c>
      <c r="C230" s="12" t="str">
        <f aca="false">Assumptions!$B$16</f>
        <v>%</v>
      </c>
      <c r="D230" s="91" t="n">
        <f aca="false">Assumptions!$C$16</f>
        <v>0.01</v>
      </c>
      <c r="E230" s="91" t="n">
        <f aca="false">Assumptions!$D$16</f>
        <v>0.03</v>
      </c>
      <c r="F230" s="91" t="n">
        <f aca="false">Assumptions!$E$16</f>
        <v>0.05</v>
      </c>
    </row>
    <row r="231" customFormat="false" ht="15" hidden="false" customHeight="false" outlineLevel="0" collapsed="false">
      <c r="A231" s="8" t="s">
        <v>1281</v>
      </c>
      <c r="B231" s="12" t="str">
        <f aca="false">Assumptions!$A$17</f>
        <v>Capital expenditures (% of revenue, excl. proposed test-equipment project)</v>
      </c>
      <c r="C231" s="12" t="str">
        <f aca="false">Assumptions!$B$17</f>
        <v>%</v>
      </c>
      <c r="D231" s="91" t="n">
        <f aca="false">Assumptions!$C$17</f>
        <v>0.04</v>
      </c>
      <c r="E231" s="91" t="n">
        <f aca="false">Assumptions!$D$17</f>
        <v>0.05</v>
      </c>
      <c r="F231" s="91" t="n">
        <f aca="false">Assumptions!$E$17</f>
        <v>0.06</v>
      </c>
    </row>
    <row r="232" customFormat="false" ht="15" hidden="false" customHeight="false" outlineLevel="0" collapsed="false">
      <c r="A232" s="8" t="s">
        <v>1282</v>
      </c>
      <c r="B232" s="12" t="str">
        <f aca="false">Assumptions!$A$18</f>
        <v>Tax rate</v>
      </c>
      <c r="C232" s="12" t="str">
        <f aca="false">Assumptions!$B$18</f>
        <v>%</v>
      </c>
      <c r="D232" s="91" t="n">
        <f aca="false">Assumptions!$C$18</f>
        <v>0.16</v>
      </c>
      <c r="E232" s="91" t="n">
        <f aca="false">Assumptions!$D$18</f>
        <v>0.13</v>
      </c>
      <c r="F232" s="91" t="n">
        <f aca="false">Assumptions!$E$18</f>
        <v>0.12</v>
      </c>
    </row>
    <row r="234" customFormat="false" ht="15" hidden="false" customHeight="false" outlineLevel="0" collapsed="false">
      <c r="A234" s="21" t="s">
        <v>1283</v>
      </c>
      <c r="C234" s="4" t="s">
        <v>1284</v>
      </c>
    </row>
    <row r="235" customFormat="false" ht="24.05" hidden="false" customHeight="false" outlineLevel="0" collapsed="false">
      <c r="A235" s="18" t="s">
        <v>1050</v>
      </c>
      <c r="B235" s="19" t="s">
        <v>383</v>
      </c>
      <c r="C235" s="19" t="s">
        <v>1064</v>
      </c>
      <c r="D235" s="19" t="s">
        <v>1067</v>
      </c>
      <c r="E235" s="19" t="s">
        <v>1285</v>
      </c>
      <c r="F235" s="19" t="s">
        <v>1286</v>
      </c>
      <c r="G235" s="19" t="s">
        <v>1287</v>
      </c>
      <c r="H235" s="19" t="s">
        <v>1288</v>
      </c>
      <c r="I235" s="19" t="s">
        <v>1289</v>
      </c>
      <c r="J235" s="19" t="s">
        <v>1290</v>
      </c>
      <c r="K235" s="19" t="s">
        <v>1291</v>
      </c>
    </row>
    <row r="236" customFormat="false" ht="15" hidden="false" customHeight="false" outlineLevel="0" collapsed="false">
      <c r="A236" s="8" t="s">
        <v>373</v>
      </c>
      <c r="B236" s="91" t="n">
        <f aca="false">Hist_Data!$C$7</f>
        <v>18344</v>
      </c>
      <c r="C236" s="91" t="n">
        <f aca="false">Hist_Analysis!$C$9</f>
        <v>0.674662014827737</v>
      </c>
      <c r="D236" s="91" t="n">
        <f aca="false">Hist_Analysis!$C$12</f>
        <v>0.48844308765809</v>
      </c>
      <c r="E236" s="91" t="n">
        <f aca="false">Hist_Analysis!$C$15</f>
        <v>0.499127780200611</v>
      </c>
      <c r="F236" s="91" t="n">
        <f aca="false">Hist_Analysis!$C$32</f>
        <v>5897</v>
      </c>
      <c r="G236" s="91" t="n">
        <f aca="false">Hist_Analysis!$C$37</f>
        <v>0.134212821631051</v>
      </c>
      <c r="H236" s="91" t="n">
        <f aca="false">Hist_Analysis!$C$43</f>
        <v>116.814678284182</v>
      </c>
      <c r="I236" s="91" t="n">
        <f aca="false">Hist_Data!$C$21</f>
        <v>14050</v>
      </c>
      <c r="J236" s="91" t="n">
        <f aca="false">Hist_Data!$C$21</f>
        <v>14050</v>
      </c>
      <c r="K236" s="91" t="n">
        <f aca="false">Hist_Data!$C$22</f>
        <v>3049</v>
      </c>
    </row>
    <row r="237" customFormat="false" ht="15" hidden="false" customHeight="false" outlineLevel="0" collapsed="false">
      <c r="A237" s="8" t="s">
        <v>374</v>
      </c>
      <c r="B237" s="91" t="n">
        <f aca="false">Hist_Data!$D$7</f>
        <v>20028</v>
      </c>
      <c r="C237" s="91" t="n">
        <f aca="false">Hist_Analysis!$D$9</f>
        <v>0.68758737767126</v>
      </c>
      <c r="D237" s="91" t="n">
        <f aca="false">Hist_Analysis!$D$12</f>
        <v>0.506291192330737</v>
      </c>
      <c r="E237" s="91" t="n">
        <f aca="false">Hist_Analysis!$D$15</f>
        <v>0.519123227481526</v>
      </c>
      <c r="F237" s="91" t="n">
        <f aca="false">Hist_Analysis!$D$32</f>
        <v>6064</v>
      </c>
      <c r="G237" s="91" t="n">
        <f aca="false">Hist_Analysis!$D$37</f>
        <v>0.139654483722788</v>
      </c>
      <c r="H237" s="91" t="n">
        <f aca="false">Hist_Analysis!$D$43</f>
        <v>160.828671887486</v>
      </c>
      <c r="I237" s="91" t="n">
        <f aca="false">Hist_Data!$D$21</f>
        <v>15359</v>
      </c>
      <c r="J237" s="91" t="n">
        <f aca="false">Hist_Data!$D$21</f>
        <v>15359</v>
      </c>
      <c r="K237" s="91" t="n">
        <f aca="false">Hist_Data!$D$22</f>
        <v>3261</v>
      </c>
    </row>
    <row r="238" customFormat="false" ht="15" hidden="false" customHeight="false" outlineLevel="0" collapsed="false">
      <c r="A238" s="8" t="s">
        <v>375</v>
      </c>
      <c r="B238" s="91" t="n">
        <f aca="false">Hist_Data!$E$7</f>
        <v>17519</v>
      </c>
      <c r="C238" s="91" t="n">
        <f aca="false">Hist_Analysis!$E$9</f>
        <v>0.628974256521491</v>
      </c>
      <c r="D238" s="91" t="n">
        <f aca="false">Hist_Analysis!$E$12</f>
        <v>0.418459957760146</v>
      </c>
      <c r="E238" s="91" t="n">
        <f aca="false">Hist_Analysis!$E$15</f>
        <v>0.418459957760146</v>
      </c>
      <c r="F238" s="91" t="n">
        <f aca="false">Hist_Analysis!$E$32</f>
        <v>1515</v>
      </c>
      <c r="G238" s="91" t="n">
        <f aca="false">Hist_Analysis!$E$37</f>
        <v>0.289457160796849</v>
      </c>
      <c r="H238" s="91" t="n">
        <f aca="false">Hist_Analysis!$E$43</f>
        <v>224.559230769231</v>
      </c>
      <c r="I238" s="91" t="n">
        <f aca="false">Hist_Data!$E$21</f>
        <v>13040</v>
      </c>
      <c r="J238" s="91" t="n">
        <f aca="false">Hist_Data!$E$21</f>
        <v>13040</v>
      </c>
      <c r="K238" s="91" t="n">
        <f aca="false">Hist_Data!$E$22</f>
        <v>3368</v>
      </c>
    </row>
    <row r="239" customFormat="false" ht="15" hidden="false" customHeight="false" outlineLevel="0" collapsed="false">
      <c r="A239" s="8" t="s">
        <v>376</v>
      </c>
      <c r="B239" s="91" t="n">
        <f aca="false">Hist_Data!$F$7</f>
        <v>15641</v>
      </c>
      <c r="C239" s="91" t="n">
        <f aca="false">Hist_Analysis!$F$9</f>
        <v>0.581420625279714</v>
      </c>
      <c r="D239" s="91" t="n">
        <f aca="false">Hist_Analysis!$F$12</f>
        <v>0.349402212134774</v>
      </c>
      <c r="E239" s="91" t="n">
        <f aca="false">Hist_Analysis!$F$15</f>
        <v>0.341474330285787</v>
      </c>
      <c r="F239" s="91" t="n">
        <f aca="false">Hist_Analysis!$F$32</f>
        <v>1744</v>
      </c>
      <c r="G239" s="91" t="n">
        <f aca="false">Hist_Analysis!$F$37</f>
        <v>0.308164439613835</v>
      </c>
      <c r="H239" s="91" t="n">
        <f aca="false">Hist_Analysis!$F$43</f>
        <v>252.383534443256</v>
      </c>
      <c r="I239" s="91" t="n">
        <f aca="false">Hist_Data!$F$21</f>
        <v>12161</v>
      </c>
      <c r="J239" s="91" t="n">
        <f aca="false">Hist_Data!$F$21</f>
        <v>12161</v>
      </c>
      <c r="K239" s="91" t="n">
        <f aca="false">Hist_Data!$F$22</f>
        <v>2533</v>
      </c>
    </row>
    <row r="240" customFormat="false" ht="15" hidden="false" customHeight="false" outlineLevel="0" collapsed="false">
      <c r="A240" s="8" t="s">
        <v>377</v>
      </c>
      <c r="B240" s="91" t="n">
        <f aca="false">Hist_Data!$G$7</f>
        <v>17682</v>
      </c>
      <c r="C240" s="91" t="n">
        <f aca="false">Hist_Analysis!$G$9</f>
        <v>0.570240922972514</v>
      </c>
      <c r="D240" s="91" t="n">
        <f aca="false">Hist_Analysis!$G$12</f>
        <v>0.340628888134826</v>
      </c>
      <c r="E240" s="91" t="n">
        <f aca="false">Hist_Analysis!$G$15</f>
        <v>0.347245786675715</v>
      </c>
      <c r="F240" s="91" t="n">
        <f aca="false">Hist_Analysis!$G$32</f>
        <v>2098</v>
      </c>
      <c r="G240" s="91" t="n">
        <f aca="false">Hist_Analysis!$G$37</f>
        <v>0.257323832145685</v>
      </c>
      <c r="H240" s="91" t="n">
        <f aca="false">Hist_Analysis!$G$43</f>
        <v>230.74878273457</v>
      </c>
      <c r="I240" s="91" t="n">
        <f aca="false">Hist_Data!$G$21</f>
        <v>14006</v>
      </c>
      <c r="J240" s="91" t="n">
        <f aca="false">Hist_Data!$G$21</f>
        <v>14006</v>
      </c>
      <c r="K240" s="91" t="n">
        <f aca="false">Hist_Data!$G$22</f>
        <v>2697</v>
      </c>
    </row>
    <row r="242" customFormat="false" ht="15" hidden="false" customHeight="false" outlineLevel="0" collapsed="false">
      <c r="A242" s="21" t="s">
        <v>1292</v>
      </c>
      <c r="C242" s="4" t="s">
        <v>1293</v>
      </c>
    </row>
    <row r="243" customFormat="false" ht="15" hidden="false" customHeight="false" outlineLevel="0" collapsed="false">
      <c r="A243" s="18" t="s">
        <v>1294</v>
      </c>
      <c r="B243" s="19" t="s">
        <v>1042</v>
      </c>
    </row>
    <row r="244" customFormat="false" ht="15" hidden="false" customHeight="false" outlineLevel="0" collapsed="false">
      <c r="A244" s="8" t="s">
        <v>1295</v>
      </c>
      <c r="B244" s="91" t="n">
        <f aca="false">PnL!$O$8</f>
        <v>1145.51173441897</v>
      </c>
    </row>
    <row r="245" customFormat="false" ht="15" hidden="false" customHeight="false" outlineLevel="0" collapsed="false">
      <c r="A245" s="8" t="s">
        <v>1296</v>
      </c>
      <c r="B245" s="91" t="n">
        <f aca="false">PnL!$O$17</f>
        <v>434.944787154569</v>
      </c>
    </row>
    <row r="246" customFormat="false" ht="15" hidden="false" customHeight="false" outlineLevel="0" collapsed="false">
      <c r="A246" s="8" t="s">
        <v>1297</v>
      </c>
      <c r="B246" s="91" t="n">
        <f aca="false">PnL!$O$21</f>
        <v>378.401964824475</v>
      </c>
    </row>
    <row r="247" customFormat="false" ht="15" hidden="false" customHeight="false" outlineLevel="0" collapsed="false">
      <c r="A247" s="8" t="s">
        <v>1298</v>
      </c>
      <c r="B247" s="91" t="n">
        <f aca="false">FCF!$O$25</f>
        <v>379.284921858853</v>
      </c>
    </row>
    <row r="248" customFormat="false" ht="15" hidden="false" customHeight="false" outlineLevel="0" collapsed="false">
      <c r="A248" s="8" t="s">
        <v>1299</v>
      </c>
      <c r="B248" s="91" t="n">
        <f aca="false">PnL!$O$12</f>
        <v>663.944787154569</v>
      </c>
    </row>
    <row r="249" customFormat="false" ht="15" hidden="false" customHeight="false" outlineLevel="0" collapsed="false">
      <c r="A249" s="8" t="s">
        <v>1128</v>
      </c>
      <c r="B249" s="91" t="n">
        <f aca="false">Budget!$O$97</f>
        <v>1145.51173441897</v>
      </c>
    </row>
    <row r="250" customFormat="false" ht="15" hidden="false" customHeight="false" outlineLevel="0" collapsed="false">
      <c r="A250" s="8" t="s">
        <v>1135</v>
      </c>
      <c r="B250" s="91" t="n">
        <f aca="false">Actuals!$H$100</f>
        <v>478.459228687156</v>
      </c>
    </row>
    <row r="251" customFormat="false" ht="15" hidden="false" customHeight="false" outlineLevel="0" collapsed="false">
      <c r="A251" s="8" t="s">
        <v>1142</v>
      </c>
      <c r="B251" s="91" t="n">
        <f aca="false">Actuals!$H$112</f>
        <v>180.60373331857</v>
      </c>
    </row>
    <row r="252" customFormat="false" ht="15" hidden="false" customHeight="false" outlineLevel="0" collapsed="false">
      <c r="A252" s="8" t="s">
        <v>1144</v>
      </c>
      <c r="B252" s="91" t="n">
        <f aca="false">Variance!$F$97</f>
        <v>3.76219051150923</v>
      </c>
    </row>
    <row r="253" customFormat="false" ht="15" hidden="false" customHeight="false" outlineLevel="0" collapsed="false">
      <c r="A253" s="8" t="s">
        <v>1300</v>
      </c>
      <c r="B253" s="91" t="n">
        <f aca="false">Capex!$F$103</f>
        <v>60.4404177101178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70AD47"/>
    <pageSetUpPr fitToPage="true"/>
  </sheetPr>
  <dimension ref="A1:I17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5" topLeftCell="C6" activePane="bottomRight" state="frozen"/>
      <selection pane="topLeft" activeCell="A1" activeCellId="0" sqref="A1"/>
      <selection pane="topRight" activeCell="C1" activeCellId="0" sqref="C1"/>
      <selection pane="bottomLeft" activeCell="A6" activeCellId="0" sqref="A6"/>
      <selection pane="bottomRight" activeCell="A1" activeCellId="0" sqref="A1"/>
    </sheetView>
  </sheetViews>
  <sheetFormatPr defaultColWidth="8.54296875" defaultRowHeight="15" customHeight="false" zeroHeight="false" outlineLevelRow="0" outlineLevelCol="0"/>
  <cols>
    <col collapsed="false" customWidth="true" hidden="false" outlineLevel="0" max="1" min="1" style="0" width="60"/>
    <col collapsed="false" customWidth="true" hidden="false" outlineLevel="0" max="2" min="2" style="0" width="16"/>
    <col collapsed="false" customWidth="true" hidden="false" outlineLevel="0" max="8" min="3" style="0" width="11"/>
    <col collapsed="false" customWidth="true" hidden="false" outlineLevel="0" max="9" min="9" style="0" width="12"/>
  </cols>
  <sheetData>
    <row r="1" customFormat="false" ht="19.7" hidden="false" customHeight="false" outlineLevel="0" collapsed="false">
      <c r="A1" s="14" t="s">
        <v>1301</v>
      </c>
    </row>
    <row r="2" customFormat="false" ht="15" hidden="false" customHeight="false" outlineLevel="0" collapsed="false">
      <c r="A2" s="4" t="s">
        <v>1302</v>
      </c>
    </row>
    <row r="3" customFormat="false" ht="15" hidden="false" customHeight="false" outlineLevel="0" collapsed="false">
      <c r="A3" s="15" t="s">
        <v>2</v>
      </c>
    </row>
    <row r="5" customFormat="false" ht="15" hidden="false" customHeight="false" outlineLevel="0" collapsed="false">
      <c r="A5" s="18" t="s">
        <v>1303</v>
      </c>
      <c r="B5" s="19" t="s">
        <v>95</v>
      </c>
      <c r="C5" s="19" t="s">
        <v>373</v>
      </c>
      <c r="D5" s="19" t="s">
        <v>374</v>
      </c>
      <c r="E5" s="19" t="s">
        <v>375</v>
      </c>
      <c r="F5" s="19" t="s">
        <v>376</v>
      </c>
      <c r="G5" s="19" t="s">
        <v>377</v>
      </c>
      <c r="H5" s="19" t="s">
        <v>1304</v>
      </c>
      <c r="I5" s="19" t="s">
        <v>101</v>
      </c>
    </row>
    <row r="6" customFormat="false" ht="15" hidden="false" customHeight="false" outlineLevel="0" collapsed="false">
      <c r="A6" s="16" t="s">
        <v>1305</v>
      </c>
      <c r="B6" s="17"/>
      <c r="C6" s="17"/>
      <c r="D6" s="17"/>
      <c r="E6" s="17"/>
      <c r="F6" s="17"/>
      <c r="G6" s="17"/>
      <c r="H6" s="17"/>
      <c r="I6" s="17"/>
    </row>
    <row r="7" customFormat="false" ht="15" hidden="false" customHeight="false" outlineLevel="0" collapsed="false">
      <c r="A7" s="8" t="s">
        <v>1306</v>
      </c>
      <c r="B7" s="8" t="s">
        <v>380</v>
      </c>
      <c r="C7" s="94" t="n">
        <f aca="false">Hist_Data!$C$9-(Hist_Data!$C$7-Hist_Data!$C$8)</f>
        <v>0</v>
      </c>
      <c r="D7" s="94" t="n">
        <f aca="false">Hist_Data!$D$9-(Hist_Data!$D$7-Hist_Data!$D$8)</f>
        <v>0</v>
      </c>
      <c r="E7" s="94" t="n">
        <f aca="false">Hist_Data!$E$9-(Hist_Data!$E$7-Hist_Data!$E$8)</f>
        <v>0</v>
      </c>
      <c r="F7" s="94" t="n">
        <f aca="false">Hist_Data!$F$9-(Hist_Data!$F$7-Hist_Data!$F$8)</f>
        <v>0</v>
      </c>
      <c r="G7" s="94" t="n">
        <f aca="false">Hist_Data!$G$9-(Hist_Data!$G$7-Hist_Data!$G$8)</f>
        <v>0</v>
      </c>
      <c r="H7" s="10" t="n">
        <v>0.05</v>
      </c>
      <c r="I7" s="7" t="str">
        <f aca="false">IF(AND(ABS(C7)&lt;=$H$7,ABS(D7)&lt;=$H$7,ABS(E7)&lt;=$H$7,ABS(F7)&lt;=$H$7,ABS(G7)&lt;=$H$7),"PASS","FAIL")</f>
        <v>PASS</v>
      </c>
    </row>
    <row r="8" customFormat="false" ht="15" hidden="false" customHeight="false" outlineLevel="0" collapsed="false">
      <c r="A8" s="8" t="s">
        <v>1307</v>
      </c>
      <c r="B8" s="8" t="s">
        <v>380</v>
      </c>
      <c r="C8" s="94" t="n">
        <f aca="false">Hist_Data!$C$14-(Hist_Data!$C$9-Hist_Data!$C$10-Hist_Data!$C$11-(N(Hist_Data!$C$12)+N(Hist_Data!$C$13)))</f>
        <v>0</v>
      </c>
      <c r="D8" s="94" t="n">
        <f aca="false">Hist_Data!$D$14-(Hist_Data!$D$9-Hist_Data!$D$10-Hist_Data!$D$11-(N(Hist_Data!$D$12)+N(Hist_Data!$D$13)))</f>
        <v>0</v>
      </c>
      <c r="E8" s="94" t="n">
        <f aca="false">Hist_Data!$E$14-(Hist_Data!$E$9-Hist_Data!$E$10-Hist_Data!$E$11-(N(Hist_Data!$E$12)+N(Hist_Data!$E$13)))</f>
        <v>0</v>
      </c>
      <c r="F8" s="94" t="n">
        <f aca="false">Hist_Data!$F$14-(Hist_Data!$F$9-Hist_Data!$F$10-Hist_Data!$F$11-(N(Hist_Data!$F$12)+N(Hist_Data!$F$13)))</f>
        <v>0</v>
      </c>
      <c r="G8" s="94" t="n">
        <f aca="false">Hist_Data!$G$14-(Hist_Data!$G$9-Hist_Data!$G$10-Hist_Data!$G$11-(N(Hist_Data!$G$12)+N(Hist_Data!$G$13)))</f>
        <v>0</v>
      </c>
      <c r="H8" s="10" t="n">
        <v>0.05</v>
      </c>
      <c r="I8" s="7" t="str">
        <f aca="false">IF(AND(ABS(C8)&lt;=$H$8,ABS(D8)&lt;=$H$8,ABS(E8)&lt;=$H$8,ABS(F8)&lt;=$H$8,ABS(G8)&lt;=$H$8),"PASS","FAIL")</f>
        <v>PASS</v>
      </c>
    </row>
    <row r="9" customFormat="false" ht="15" hidden="false" customHeight="false" outlineLevel="0" collapsed="false">
      <c r="A9" s="8" t="s">
        <v>1308</v>
      </c>
      <c r="B9" s="8" t="s">
        <v>380</v>
      </c>
      <c r="C9" s="94" t="n">
        <f aca="false">Hist_Data!$C$17-(Hist_Data!$C$14+(N(Hist_Data!$C$15)+N(Hist_Data!$C$16)))</f>
        <v>0</v>
      </c>
      <c r="D9" s="94" t="n">
        <f aca="false">Hist_Data!$D$17-(Hist_Data!$D$14+(N(Hist_Data!$D$15)+N(Hist_Data!$D$16)))</f>
        <v>0</v>
      </c>
      <c r="E9" s="94" t="n">
        <f aca="false">Hist_Data!$E$17-(Hist_Data!$E$14+(N(Hist_Data!$E$15)+N(Hist_Data!$E$16)))</f>
        <v>0</v>
      </c>
      <c r="F9" s="94" t="n">
        <f aca="false">Hist_Data!$F$17-(Hist_Data!$F$14+(N(Hist_Data!$F$15)+N(Hist_Data!$F$16)))</f>
        <v>0</v>
      </c>
      <c r="G9" s="94" t="n">
        <f aca="false">Hist_Data!$G$17-(Hist_Data!$G$14+(N(Hist_Data!$G$15)+N(Hist_Data!$G$16)))</f>
        <v>0</v>
      </c>
      <c r="H9" s="10" t="n">
        <v>0.05</v>
      </c>
      <c r="I9" s="7" t="str">
        <f aca="false">IF(AND(ABS(C9)&lt;=$H$9,ABS(D9)&lt;=$H$9,ABS(E9)&lt;=$H$9,ABS(F9)&lt;=$H$9,ABS(G9)&lt;=$H$9),"PASS","FAIL")</f>
        <v>PASS</v>
      </c>
    </row>
    <row r="10" customFormat="false" ht="15" hidden="false" customHeight="false" outlineLevel="0" collapsed="false">
      <c r="A10" s="8" t="s">
        <v>1309</v>
      </c>
      <c r="B10" s="8" t="s">
        <v>380</v>
      </c>
      <c r="C10" s="94" t="n">
        <f aca="false">Hist_Data!$C$19-(Hist_Data!$C$17-Hist_Data!$C$18)</f>
        <v>0</v>
      </c>
      <c r="D10" s="94" t="n">
        <f aca="false">Hist_Data!$D$19-(Hist_Data!$D$17-Hist_Data!$D$18)</f>
        <v>0</v>
      </c>
      <c r="E10" s="94" t="n">
        <f aca="false">Hist_Data!$E$19-(Hist_Data!$E$17-Hist_Data!$E$18)</f>
        <v>0</v>
      </c>
      <c r="F10" s="94" t="n">
        <f aca="false">Hist_Data!$F$19-(Hist_Data!$F$17-Hist_Data!$F$18)</f>
        <v>0</v>
      </c>
      <c r="G10" s="94" t="n">
        <f aca="false">Hist_Data!$G$19-(Hist_Data!$G$17-Hist_Data!$G$18)</f>
        <v>0</v>
      </c>
      <c r="H10" s="10" t="n">
        <v>0.05</v>
      </c>
      <c r="I10" s="7" t="str">
        <f aca="false">IF(AND(ABS(C10)&lt;=$H$10,ABS(D10)&lt;=$H$10,ABS(E10)&lt;=$H$10,ABS(F10)&lt;=$H$10,ABS(G10)&lt;=$H$10),"PASS","FAIL")</f>
        <v>PASS</v>
      </c>
    </row>
    <row r="11" customFormat="false" ht="15" hidden="false" customHeight="false" outlineLevel="0" collapsed="false">
      <c r="A11" s="8" t="s">
        <v>1310</v>
      </c>
      <c r="B11" s="8" t="s">
        <v>22</v>
      </c>
      <c r="C11" s="94" t="n">
        <f aca="false">(N(Hist_Data!$C$21)+N(Hist_Data!$C$22)+N(Hist_Data!$C$23))-Hist_Data!$C$7</f>
        <v>0</v>
      </c>
      <c r="D11" s="94" t="n">
        <f aca="false">(N(Hist_Data!$D$21)+N(Hist_Data!$D$22)+N(Hist_Data!$D$23))-Hist_Data!$D$7</f>
        <v>0</v>
      </c>
      <c r="E11" s="94" t="n">
        <f aca="false">(N(Hist_Data!$E$21)+N(Hist_Data!$E$22)+N(Hist_Data!$E$23))-Hist_Data!$E$7</f>
        <v>0</v>
      </c>
      <c r="F11" s="94" t="n">
        <f aca="false">(N(Hist_Data!$F$21)+N(Hist_Data!$F$22)+N(Hist_Data!$F$23))-Hist_Data!$F$7</f>
        <v>0</v>
      </c>
      <c r="G11" s="94" t="n">
        <f aca="false">(N(Hist_Data!$G$21)+N(Hist_Data!$G$22)+N(Hist_Data!$G$23))-Hist_Data!$G$7</f>
        <v>0</v>
      </c>
      <c r="H11" s="10" t="n">
        <v>0.05</v>
      </c>
      <c r="I11" s="7" t="str">
        <f aca="false">IF(AND(ABS(C11)&lt;=$H$11,ABS(D11)&lt;=$H$11,ABS(E11)&lt;=$H$11,ABS(F11)&lt;=$H$11,ABS(G11)&lt;=$H$11),"PASS","FAIL")</f>
        <v>PASS</v>
      </c>
    </row>
    <row r="12" customFormat="false" ht="15" hidden="false" customHeight="false" outlineLevel="0" collapsed="false">
      <c r="A12" s="8" t="s">
        <v>1311</v>
      </c>
      <c r="B12" s="8" t="s">
        <v>179</v>
      </c>
      <c r="C12" s="94" t="n">
        <f aca="false">Hist_Data!$C$29-Hist_Data!$C$19</f>
        <v>0</v>
      </c>
      <c r="D12" s="94" t="n">
        <f aca="false">Hist_Data!$D$29-Hist_Data!$D$19</f>
        <v>0</v>
      </c>
      <c r="E12" s="94" t="n">
        <f aca="false">Hist_Data!$E$29-Hist_Data!$E$19</f>
        <v>0</v>
      </c>
      <c r="F12" s="94" t="n">
        <f aca="false">Hist_Data!$F$29-Hist_Data!$F$19</f>
        <v>0</v>
      </c>
      <c r="G12" s="94" t="n">
        <f aca="false">Hist_Data!$G$29-Hist_Data!$G$19</f>
        <v>0</v>
      </c>
      <c r="H12" s="10" t="n">
        <v>0.05</v>
      </c>
      <c r="I12" s="7" t="str">
        <f aca="false">IF(AND(ABS(C12)&lt;=$H$12,ABS(D12)&lt;=$H$12,ABS(E12)&lt;=$H$12,ABS(F12)&lt;=$H$12,ABS(G12)&lt;=$H$12),"PASS","FAIL")</f>
        <v>PASS</v>
      </c>
    </row>
    <row r="13" customFormat="false" ht="15" hidden="false" customHeight="false" outlineLevel="0" collapsed="false">
      <c r="A13" s="8" t="s">
        <v>1312</v>
      </c>
      <c r="B13" s="8" t="s">
        <v>179</v>
      </c>
      <c r="C13" s="94" t="n">
        <f aca="false">Hist_Data!$C$43-Hist_Data!$C$45</f>
        <v>0</v>
      </c>
      <c r="D13" s="94" t="n">
        <f aca="false">Hist_Data!$D$43-Hist_Data!$D$45</f>
        <v>0</v>
      </c>
      <c r="E13" s="94" t="n">
        <f aca="false">Hist_Data!$E$43-Hist_Data!$E$45</f>
        <v>0</v>
      </c>
      <c r="F13" s="94" t="n">
        <f aca="false">Hist_Data!$F$43-Hist_Data!$F$45</f>
        <v>0</v>
      </c>
      <c r="G13" s="94" t="n">
        <f aca="false">Hist_Data!$G$43-Hist_Data!$G$45</f>
        <v>0</v>
      </c>
      <c r="H13" s="10" t="n">
        <v>0.05</v>
      </c>
      <c r="I13" s="7" t="str">
        <f aca="false">IF(AND(ABS(C13)&lt;=$H$13,ABS(D13)&lt;=$H$13,ABS(E13)&lt;=$H$13,ABS(F13)&lt;=$H$13,ABS(G13)&lt;=$H$13),"PASS","FAIL")</f>
        <v>PASS</v>
      </c>
    </row>
    <row r="14" customFormat="false" ht="15" hidden="false" customHeight="false" outlineLevel="0" collapsed="false">
      <c r="A14" s="8" t="s">
        <v>1313</v>
      </c>
      <c r="B14" s="8" t="s">
        <v>1314</v>
      </c>
      <c r="C14" s="94" t="n">
        <f aca="false">Hist_Data!$C$50-(N(Hist_Data!$C$45)+N(Hist_Data!$C$46)+N(Hist_Data!$C$47)+N(Hist_Data!$C$48)+N(Hist_Data!$C$49)+0)</f>
        <v>0</v>
      </c>
      <c r="D14" s="94" t="n">
        <f aca="false">Hist_Data!$D$50-(N(Hist_Data!$D$45)+N(Hist_Data!$D$46)+N(Hist_Data!$D$47)+N(Hist_Data!$D$48)+N(Hist_Data!$D$49)+0)</f>
        <v>0</v>
      </c>
      <c r="E14" s="94" t="n">
        <f aca="false">Hist_Data!$E$50-(N(Hist_Data!$E$45)+N(Hist_Data!$E$46)+N(Hist_Data!$E$47)+N(Hist_Data!$E$48)+N(Hist_Data!$E$49)+0)</f>
        <v>0</v>
      </c>
      <c r="F14" s="94" t="n">
        <f aca="false">Hist_Data!$F$50-(N(Hist_Data!$F$45)+N(Hist_Data!$F$46)+N(Hist_Data!$F$47)+N(Hist_Data!$F$48)+N(Hist_Data!$F$49)+0)</f>
        <v>0</v>
      </c>
      <c r="G14" s="94" t="n">
        <f aca="false">Hist_Data!$G$50-(N(Hist_Data!$G$45)+N(Hist_Data!$G$46)+N(Hist_Data!$G$47)+N(Hist_Data!$G$48)+N(Hist_Data!$G$49)+0)</f>
        <v>0</v>
      </c>
      <c r="H14" s="10" t="n">
        <v>0.05</v>
      </c>
      <c r="I14" s="7" t="str">
        <f aca="false">IF(AND(ABS(C14)&lt;=$H$14,ABS(D14)&lt;=$H$14,ABS(E14)&lt;=$H$14,ABS(F14)&lt;=$H$14,ABS(G14)&lt;=$H$14),"PASS","FAIL")</f>
        <v>PASS</v>
      </c>
    </row>
    <row r="15" customFormat="false" ht="15" hidden="false" customHeight="false" outlineLevel="0" collapsed="false">
      <c r="A15" s="8" t="s">
        <v>1315</v>
      </c>
      <c r="B15" s="8" t="s">
        <v>1314</v>
      </c>
      <c r="C15" s="94" t="n">
        <f aca="false">Hist_Data!$C$58-(N(Hist_Data!$C$54)+N(Hist_Data!$C$57)+N(Hist_Data!$C$53)+(N(Hist_Data!$C$55)+N(Hist_Data!$C$56)))</f>
        <v>0</v>
      </c>
      <c r="D15" s="94" t="n">
        <f aca="false">Hist_Data!$D$58-(N(Hist_Data!$D$54)+N(Hist_Data!$D$57)+N(Hist_Data!$D$53)+(N(Hist_Data!$D$55)+N(Hist_Data!$D$56)))</f>
        <v>0</v>
      </c>
      <c r="E15" s="94" t="n">
        <f aca="false">Hist_Data!$E$58-(N(Hist_Data!$E$54)+N(Hist_Data!$E$57)+N(Hist_Data!$E$53)+(N(Hist_Data!$E$55)+N(Hist_Data!$E$56)))</f>
        <v>0</v>
      </c>
      <c r="F15" s="94" t="n">
        <f aca="false">Hist_Data!$F$58-(N(Hist_Data!$F$54)+N(Hist_Data!$F$57)+N(Hist_Data!$F$53)+(N(Hist_Data!$F$55)+N(Hist_Data!$F$56)))</f>
        <v>0</v>
      </c>
      <c r="G15" s="94" t="n">
        <f aca="false">Hist_Data!$G$58-(N(Hist_Data!$G$54)+N(Hist_Data!$G$57)+N(Hist_Data!$G$53)+(N(Hist_Data!$G$55)+N(Hist_Data!$G$56)))</f>
        <v>0</v>
      </c>
      <c r="H15" s="10" t="n">
        <v>0.05</v>
      </c>
      <c r="I15" s="7" t="str">
        <f aca="false">IF(AND(ABS(C15)&lt;=$H$15,ABS(D15)&lt;=$H$15,ABS(E15)&lt;=$H$15,ABS(F15)&lt;=$H$15,ABS(G15)&lt;=$H$15),"PASS","FAIL")</f>
        <v>PASS</v>
      </c>
    </row>
    <row r="16" customFormat="false" ht="15" hidden="false" customHeight="false" outlineLevel="0" collapsed="false">
      <c r="A16" s="8" t="s">
        <v>1316</v>
      </c>
      <c r="B16" s="8" t="s">
        <v>1314</v>
      </c>
      <c r="C16" s="94" t="n">
        <f aca="false">Hist_Data!$C$48-(N(Hist_Data!$C$62)+N(Hist_Data!$C$63)+N(Hist_Data!$C$64))</f>
        <v>0</v>
      </c>
      <c r="D16" s="94" t="n">
        <f aca="false">Hist_Data!$D$48-(N(Hist_Data!$D$62)+N(Hist_Data!$D$63)+N(Hist_Data!$D$64))</f>
        <v>0</v>
      </c>
      <c r="E16" s="94" t="n">
        <f aca="false">Hist_Data!$E$48-(N(Hist_Data!$E$62)+N(Hist_Data!$E$63)+N(Hist_Data!$E$64))</f>
        <v>0</v>
      </c>
      <c r="F16" s="94" t="n">
        <f aca="false">Hist_Data!$F$48-(N(Hist_Data!$F$62)+N(Hist_Data!$F$63)+N(Hist_Data!$F$64))</f>
        <v>0</v>
      </c>
      <c r="G16" s="94" t="n">
        <f aca="false">Hist_Data!$G$48-(N(Hist_Data!$G$62)+N(Hist_Data!$G$63)+N(Hist_Data!$G$64))</f>
        <v>0</v>
      </c>
      <c r="H16" s="10" t="n">
        <v>0.05</v>
      </c>
      <c r="I16" s="7" t="str">
        <f aca="false">IF(AND(ABS(C16)&lt;=$H$16,ABS(D16)&lt;=$H$16,ABS(E16)&lt;=$H$16,ABS(F16)&lt;=$H$16,ABS(G16)&lt;=$H$16),"PASS","FAIL")</f>
        <v>PASS</v>
      </c>
    </row>
    <row r="17" customFormat="false" ht="15" hidden="false" customHeight="false" outlineLevel="0" collapsed="false">
      <c r="A17" s="16" t="s">
        <v>1317</v>
      </c>
      <c r="B17" s="17"/>
      <c r="C17" s="17"/>
      <c r="D17" s="17"/>
      <c r="E17" s="17"/>
      <c r="F17" s="17"/>
      <c r="G17" s="17"/>
      <c r="H17" s="17"/>
      <c r="I17" s="17"/>
    </row>
    <row r="18" customFormat="false" ht="15" hidden="false" customHeight="false" outlineLevel="0" collapsed="false">
      <c r="A18" s="8" t="s">
        <v>1318</v>
      </c>
      <c r="B18" s="8" t="s">
        <v>1319</v>
      </c>
      <c r="C18" s="94" t="n">
        <f aca="false">Hist_Analysis!$C$9-(1-Hist_Data!$C$8/Hist_Data!$C$7)</f>
        <v>0</v>
      </c>
      <c r="D18" s="94" t="n">
        <f aca="false">Hist_Analysis!$D$9-(1-Hist_Data!$D$8/Hist_Data!$D$7)</f>
        <v>0</v>
      </c>
      <c r="E18" s="94" t="n">
        <f aca="false">Hist_Analysis!$E$9-(1-Hist_Data!$E$8/Hist_Data!$E$7)</f>
        <v>0</v>
      </c>
      <c r="F18" s="94" t="n">
        <f aca="false">Hist_Analysis!$F$9-(1-Hist_Data!$F$8/Hist_Data!$F$7)</f>
        <v>0</v>
      </c>
      <c r="G18" s="94" t="n">
        <f aca="false">Hist_Analysis!$G$9-(1-Hist_Data!$G$8/Hist_Data!$G$7)</f>
        <v>0</v>
      </c>
      <c r="H18" s="10" t="n">
        <v>0.0001</v>
      </c>
      <c r="I18" s="7" t="str">
        <f aca="false">IF(AND(ABS(C18)&lt;=$H$18,ABS(D18)&lt;=$H$18,ABS(E18)&lt;=$H$18,ABS(F18)&lt;=$H$18,ABS(G18)&lt;=$H$18),"PASS","FAIL")</f>
        <v>PASS</v>
      </c>
    </row>
    <row r="19" customFormat="false" ht="15" hidden="false" customHeight="false" outlineLevel="0" collapsed="false">
      <c r="A19" s="8" t="s">
        <v>1320</v>
      </c>
      <c r="B19" s="8" t="s">
        <v>1319</v>
      </c>
      <c r="C19" s="94" t="n">
        <f aca="false">Hist_Analysis!$C$23-1</f>
        <v>0</v>
      </c>
      <c r="D19" s="94" t="n">
        <f aca="false">Hist_Analysis!$D$23-1</f>
        <v>0</v>
      </c>
      <c r="E19" s="94" t="n">
        <f aca="false">Hist_Analysis!$E$23-1</f>
        <v>0</v>
      </c>
      <c r="F19" s="94" t="n">
        <f aca="false">Hist_Analysis!$F$23-1</f>
        <v>0</v>
      </c>
      <c r="G19" s="94" t="n">
        <f aca="false">Hist_Analysis!$G$23-1</f>
        <v>0</v>
      </c>
      <c r="H19" s="10" t="n">
        <v>0.0001</v>
      </c>
      <c r="I19" s="7" t="str">
        <f aca="false">IF(AND(ABS(C19)&lt;=$H$19,ABS(D19)&lt;=$H$19,ABS(E19)&lt;=$H$19,ABS(F19)&lt;=$H$19,ABS(G19)&lt;=$H$19),"PASS","FAIL")</f>
        <v>PASS</v>
      </c>
    </row>
    <row r="20" customFormat="false" ht="15" hidden="false" customHeight="false" outlineLevel="0" collapsed="false">
      <c r="A20" s="8" t="s">
        <v>1321</v>
      </c>
      <c r="B20" s="8" t="s">
        <v>1319</v>
      </c>
      <c r="C20" s="48" t="s">
        <v>510</v>
      </c>
      <c r="D20" s="94" t="n">
        <f aca="false">Hist_Data!$C$7*(1+Hist_Analysis!$D$8)-Hist_Data!$D$7</f>
        <v>0</v>
      </c>
      <c r="E20" s="94" t="n">
        <f aca="false">Hist_Data!$D$7*(1+Hist_Analysis!$E$8)-Hist_Data!$E$7</f>
        <v>0</v>
      </c>
      <c r="F20" s="94" t="n">
        <f aca="false">Hist_Data!$E$7*(1+Hist_Analysis!$F$8)-Hist_Data!$F$7</f>
        <v>0</v>
      </c>
      <c r="G20" s="94" t="n">
        <f aca="false">Hist_Data!$F$7*(1+Hist_Analysis!$G$8)-Hist_Data!$G$7</f>
        <v>0</v>
      </c>
      <c r="H20" s="10" t="n">
        <v>0.05</v>
      </c>
      <c r="I20" s="7" t="str">
        <f aca="false">IF(AND(ABS(D20)&lt;=$H$20,ABS(E20)&lt;=$H$20,ABS(F20)&lt;=$H$20,ABS(G20)&lt;=$H$20),"PASS","FAIL")</f>
        <v>PASS</v>
      </c>
    </row>
    <row r="21" customFormat="false" ht="15" hidden="false" customHeight="false" outlineLevel="0" collapsed="false">
      <c r="A21" s="8" t="s">
        <v>1322</v>
      </c>
      <c r="B21" s="8" t="s">
        <v>367</v>
      </c>
      <c r="C21" s="94" t="n">
        <f aca="false">Hist_Analysis!$C$32-(Hist_Data!$C$19+Hist_Data!$C$30+Hist_Data!$C$39+(N(Hist_Data!$C$32)+N(Hist_Data!$C$33)+N(Hist_Data!$C$34)+N(Hist_Data!$C$35)+N(Hist_Data!$C$36)+N(Hist_Data!$C$37)))</f>
        <v>0</v>
      </c>
      <c r="D21" s="94" t="n">
        <f aca="false">Hist_Analysis!$D$32-(Hist_Data!$D$19+Hist_Data!$D$30+Hist_Data!$D$39+(N(Hist_Data!$D$32)+N(Hist_Data!$D$33)+N(Hist_Data!$D$34)+N(Hist_Data!$D$35)+N(Hist_Data!$D$36)+N(Hist_Data!$D$37)))</f>
        <v>0</v>
      </c>
      <c r="E21" s="94" t="n">
        <f aca="false">Hist_Analysis!$E$32-(Hist_Data!$E$19+Hist_Data!$E$30+Hist_Data!$E$39+(N(Hist_Data!$E$32)+N(Hist_Data!$E$33)+N(Hist_Data!$E$34)+N(Hist_Data!$E$35)+N(Hist_Data!$E$36)+N(Hist_Data!$E$37)))</f>
        <v>0</v>
      </c>
      <c r="F21" s="94" t="n">
        <f aca="false">Hist_Analysis!$F$32-(Hist_Data!$F$19+Hist_Data!$F$30+Hist_Data!$F$39+(N(Hist_Data!$F$32)+N(Hist_Data!$F$33)+N(Hist_Data!$F$34)+N(Hist_Data!$F$35)+N(Hist_Data!$F$36)+N(Hist_Data!$F$37)))</f>
        <v>0</v>
      </c>
      <c r="G21" s="94" t="n">
        <f aca="false">Hist_Analysis!$G$32-(Hist_Data!$G$19+Hist_Data!$G$30+Hist_Data!$G$39+(N(Hist_Data!$G$32)+N(Hist_Data!$G$33)+N(Hist_Data!$G$34)+N(Hist_Data!$G$35)+N(Hist_Data!$G$36)+N(Hist_Data!$G$37)))</f>
        <v>0</v>
      </c>
      <c r="H21" s="10" t="n">
        <v>0.05</v>
      </c>
      <c r="I21" s="7" t="str">
        <f aca="false">IF(AND(ABS(C21)&lt;=$H$21,ABS(D21)&lt;=$H$21,ABS(E21)&lt;=$H$21,ABS(F21)&lt;=$H$21,ABS(G21)&lt;=$H$21),"PASS","FAIL")</f>
        <v>PASS</v>
      </c>
    </row>
    <row r="22" customFormat="false" ht="15" hidden="false" customHeight="false" outlineLevel="0" collapsed="false">
      <c r="A22" s="8" t="s">
        <v>1323</v>
      </c>
      <c r="B22" s="8" t="s">
        <v>367</v>
      </c>
      <c r="C22" s="94" t="n">
        <f aca="false">(Hist_Analysis!$C$32+Hist_Analysis!$C$33)-(Hist_Data!$C$38+Hist_Data!$C$39)</f>
        <v>0</v>
      </c>
      <c r="D22" s="94" t="n">
        <f aca="false">(Hist_Analysis!$D$32+Hist_Analysis!$D$33)-(Hist_Data!$D$38+Hist_Data!$D$39)</f>
        <v>0</v>
      </c>
      <c r="E22" s="94" t="n">
        <f aca="false">(Hist_Analysis!$E$32+Hist_Analysis!$E$33)-(Hist_Data!$E$38+Hist_Data!$E$39)</f>
        <v>0</v>
      </c>
      <c r="F22" s="94" t="n">
        <f aca="false">(Hist_Analysis!$F$32+Hist_Analysis!$F$33)-(Hist_Data!$F$38+Hist_Data!$F$39)</f>
        <v>0</v>
      </c>
      <c r="G22" s="94" t="n">
        <f aca="false">(Hist_Analysis!$G$32+Hist_Analysis!$G$33)-(Hist_Data!$G$38+Hist_Data!$G$39)</f>
        <v>0</v>
      </c>
      <c r="H22" s="10" t="n">
        <v>0.05</v>
      </c>
      <c r="I22" s="7" t="str">
        <f aca="false">IF(AND(ABS(C22)&lt;=$H$22,ABS(D22)&lt;=$H$22,ABS(E22)&lt;=$H$22,ABS(F22)&lt;=$H$22,ABS(G22)&lt;=$H$22),"PASS","FAIL")</f>
        <v>PASS</v>
      </c>
    </row>
    <row r="23" customFormat="false" ht="15" hidden="false" customHeight="false" outlineLevel="0" collapsed="false">
      <c r="A23" s="8" t="s">
        <v>1324</v>
      </c>
      <c r="B23" s="8" t="s">
        <v>1325</v>
      </c>
      <c r="C23" s="94" t="n">
        <f aca="false">Hist_Analysis!$C$45-((Hist_Data!$C$47/Hist_Data!$C$7+Hist_Data!$C$48/Hist_Data!$C$8-Hist_Data!$C$54/Hist_Data!$C$8)*365)</f>
        <v>0</v>
      </c>
      <c r="D23" s="94" t="n">
        <f aca="false">Hist_Analysis!$D$45-((Hist_Data!$D$47/Hist_Data!$D$7+Hist_Data!$D$48/Hist_Data!$D$8-Hist_Data!$D$54/Hist_Data!$D$8)*365)</f>
        <v>0</v>
      </c>
      <c r="E23" s="94" t="n">
        <f aca="false">Hist_Analysis!$E$45-((Hist_Data!$E$47/Hist_Data!$E$7+Hist_Data!$E$48/Hist_Data!$E$8-Hist_Data!$E$54/Hist_Data!$E$8)*365)</f>
        <v>0</v>
      </c>
      <c r="F23" s="94" t="n">
        <f aca="false">Hist_Analysis!$F$45-((Hist_Data!$F$47/Hist_Data!$F$7+Hist_Data!$F$48/Hist_Data!$F$8-Hist_Data!$F$54/Hist_Data!$F$8)*365)</f>
        <v>0</v>
      </c>
      <c r="G23" s="94" t="n">
        <f aca="false">Hist_Analysis!$G$45-((Hist_Data!$G$47/Hist_Data!$G$7+Hist_Data!$G$48/Hist_Data!$G$8-Hist_Data!$G$54/Hist_Data!$G$8)*365)</f>
        <v>0</v>
      </c>
      <c r="H23" s="10" t="n">
        <v>0.0001</v>
      </c>
      <c r="I23" s="7" t="str">
        <f aca="false">IF(AND(ABS(C23)&lt;=$H$23,ABS(D23)&lt;=$H$23,ABS(E23)&lt;=$H$23,ABS(F23)&lt;=$H$23,ABS(G23)&lt;=$H$23),"PASS","FAIL")</f>
        <v>PASS</v>
      </c>
    </row>
    <row r="24" customFormat="false" ht="15" hidden="false" customHeight="false" outlineLevel="0" collapsed="false">
      <c r="A24" s="16" t="s">
        <v>1326</v>
      </c>
      <c r="B24" s="17"/>
      <c r="C24" s="17"/>
      <c r="D24" s="17"/>
      <c r="E24" s="17"/>
      <c r="F24" s="17"/>
      <c r="G24" s="17"/>
      <c r="H24" s="17"/>
      <c r="I24" s="17"/>
    </row>
    <row r="25" customFormat="false" ht="15" hidden="false" customHeight="false" outlineLevel="0" collapsed="false">
      <c r="A25" s="18" t="s">
        <v>1327</v>
      </c>
      <c r="B25" s="19"/>
      <c r="C25" s="19" t="s">
        <v>1328</v>
      </c>
      <c r="D25" s="19" t="s">
        <v>1329</v>
      </c>
      <c r="E25" s="19" t="s">
        <v>800</v>
      </c>
      <c r="F25" s="19"/>
      <c r="G25" s="19"/>
      <c r="H25" s="19" t="s">
        <v>1304</v>
      </c>
      <c r="I25" s="19" t="s">
        <v>101</v>
      </c>
    </row>
    <row r="26" customFormat="false" ht="15" hidden="false" customHeight="false" outlineLevel="0" collapsed="false">
      <c r="A26" s="8" t="s">
        <v>1330</v>
      </c>
      <c r="C26" s="0" t="n">
        <f aca="false">110/100-1</f>
        <v>0.1</v>
      </c>
      <c r="D26" s="10" t="n">
        <v>0.1</v>
      </c>
      <c r="E26" s="0" t="n">
        <f aca="false">C26-D26</f>
        <v>0</v>
      </c>
      <c r="H26" s="10" t="n">
        <v>1E-006</v>
      </c>
      <c r="I26" s="7" t="str">
        <f aca="false">IF(ABS(E26)&lt;=H26,"PASS","FAIL")</f>
        <v>PASS</v>
      </c>
    </row>
    <row r="27" customFormat="false" ht="15" hidden="false" customHeight="false" outlineLevel="0" collapsed="false">
      <c r="A27" s="8" t="s">
        <v>1331</v>
      </c>
      <c r="C27" s="0" t="n">
        <f aca="false">(200-80)/200</f>
        <v>0.6</v>
      </c>
      <c r="D27" s="10" t="n">
        <v>0.6</v>
      </c>
      <c r="E27" s="0" t="n">
        <f aca="false">C27-D27</f>
        <v>0</v>
      </c>
      <c r="H27" s="10" t="n">
        <v>1E-006</v>
      </c>
      <c r="I27" s="7" t="str">
        <f aca="false">IF(ABS(E27)&lt;=H27,"PASS","FAIL")</f>
        <v>PASS</v>
      </c>
    </row>
    <row r="28" customFormat="false" ht="15" hidden="false" customHeight="false" outlineLevel="0" collapsed="false">
      <c r="A28" s="8" t="s">
        <v>1332</v>
      </c>
      <c r="C28" s="0" t="n">
        <f aca="false">100+20-30-10</f>
        <v>80</v>
      </c>
      <c r="D28" s="10" t="n">
        <v>80</v>
      </c>
      <c r="E28" s="0" t="n">
        <f aca="false">C28-D28</f>
        <v>0</v>
      </c>
      <c r="H28" s="10" t="n">
        <v>1E-006</v>
      </c>
      <c r="I28" s="7" t="str">
        <f aca="false">IF(ABS(E28)&lt;=H28,"PASS","FAIL")</f>
        <v>PASS</v>
      </c>
    </row>
    <row r="29" customFormat="false" ht="15" hidden="false" customHeight="false" outlineLevel="0" collapsed="false">
      <c r="A29" s="8" t="s">
        <v>1333</v>
      </c>
      <c r="C29" s="0" t="n">
        <f aca="false">-(-15+5+3)</f>
        <v>7</v>
      </c>
      <c r="D29" s="10" t="n">
        <v>7</v>
      </c>
      <c r="E29" s="0" t="n">
        <f aca="false">C29-D29</f>
        <v>0</v>
      </c>
      <c r="H29" s="10" t="n">
        <v>1E-006</v>
      </c>
      <c r="I29" s="7" t="str">
        <f aca="false">IF(ABS(E29)&lt;=H29,"PASS","FAIL")</f>
        <v>PASS</v>
      </c>
    </row>
    <row r="30" customFormat="false" ht="15" hidden="false" customHeight="false" outlineLevel="0" collapsed="false">
      <c r="A30" s="8" t="s">
        <v>1334</v>
      </c>
      <c r="C30" s="0" t="n">
        <f aca="false">100/365*365</f>
        <v>100</v>
      </c>
      <c r="D30" s="10" t="n">
        <v>100</v>
      </c>
      <c r="E30" s="0" t="n">
        <f aca="false">C30-D30</f>
        <v>0</v>
      </c>
      <c r="H30" s="10" t="n">
        <v>1E-006</v>
      </c>
      <c r="I30" s="7" t="str">
        <f aca="false">IF(ABS(E30)&lt;=H30,"PASS","FAIL")</f>
        <v>PASS</v>
      </c>
    </row>
    <row r="31" customFormat="false" ht="15" hidden="false" customHeight="false" outlineLevel="0" collapsed="false">
      <c r="A31" s="8" t="s">
        <v>1335</v>
      </c>
      <c r="C31" s="0" t="n">
        <f aca="false">50+120-30</f>
        <v>140</v>
      </c>
      <c r="D31" s="10" t="n">
        <v>140</v>
      </c>
      <c r="E31" s="0" t="n">
        <f aca="false">C31-D31</f>
        <v>0</v>
      </c>
      <c r="H31" s="10" t="n">
        <v>1E-006</v>
      </c>
      <c r="I31" s="7" t="str">
        <f aca="false">IF(ABS(E31)&lt;=H31,"PASS","FAIL")</f>
        <v>PASS</v>
      </c>
    </row>
    <row r="32" customFormat="false" ht="15" hidden="false" customHeight="false" outlineLevel="0" collapsed="false">
      <c r="A32" s="8" t="s">
        <v>1336</v>
      </c>
      <c r="C32" s="0" t="n">
        <f aca="false">50/100+30/100+20/100</f>
        <v>1</v>
      </c>
      <c r="D32" s="10" t="n">
        <v>1</v>
      </c>
      <c r="E32" s="0" t="n">
        <f aca="false">C32-D32</f>
        <v>0</v>
      </c>
      <c r="H32" s="10" t="n">
        <v>1E-006</v>
      </c>
      <c r="I32" s="7" t="str">
        <f aca="false">IF(ABS(E32)&lt;=H32,"PASS","FAIL")</f>
        <v>PASS</v>
      </c>
    </row>
    <row r="33" customFormat="false" ht="15" hidden="false" customHeight="false" outlineLevel="0" collapsed="false">
      <c r="A33" s="16" t="s">
        <v>1337</v>
      </c>
      <c r="B33" s="17"/>
      <c r="C33" s="17"/>
      <c r="D33" s="17"/>
      <c r="E33" s="17"/>
      <c r="F33" s="17"/>
      <c r="G33" s="17"/>
      <c r="H33" s="17"/>
      <c r="I33" s="17"/>
    </row>
    <row r="34" customFormat="false" ht="15" hidden="false" customHeight="false" outlineLevel="0" collapsed="false">
      <c r="A34" s="18" t="s">
        <v>1303</v>
      </c>
      <c r="B34" s="19" t="s">
        <v>95</v>
      </c>
      <c r="C34" s="19" t="s">
        <v>1328</v>
      </c>
      <c r="D34" s="19"/>
      <c r="E34" s="19"/>
      <c r="F34" s="19"/>
      <c r="G34" s="19"/>
      <c r="H34" s="19" t="s">
        <v>1304</v>
      </c>
      <c r="I34" s="19" t="s">
        <v>101</v>
      </c>
    </row>
    <row r="35" customFormat="false" ht="15" hidden="false" customHeight="false" outlineLevel="0" collapsed="false">
      <c r="A35" s="8" t="s">
        <v>1338</v>
      </c>
      <c r="B35" s="8" t="s">
        <v>1339</v>
      </c>
      <c r="C35" s="94" t="n">
        <f aca="false">IF(ISNUMBER(Assumptions!$D$6),0,1)</f>
        <v>0</v>
      </c>
      <c r="H35" s="10" t="n">
        <v>0</v>
      </c>
      <c r="I35" s="7" t="str">
        <f aca="false">IF(ABS(C35)&lt;=H35,"PASS","FAIL")</f>
        <v>PASS</v>
      </c>
    </row>
    <row r="36" customFormat="false" ht="15" hidden="false" customHeight="false" outlineLevel="0" collapsed="false">
      <c r="A36" s="8" t="s">
        <v>1340</v>
      </c>
      <c r="B36" s="8" t="s">
        <v>1339</v>
      </c>
      <c r="C36" s="94" t="n">
        <f aca="false">SUMPRODUCT(ABS(Assumptions!$F$10:$F$18-((Assumptions!$D$6=1)*Assumptions!$C$10:$C$18+(Assumptions!$D$6=2)*Assumptions!$D$10:$D$18+(Assumptions!$D$6=3)*Assumptions!$E$10:$E$18)))</f>
        <v>0</v>
      </c>
      <c r="H36" s="10" t="n">
        <v>0.0001</v>
      </c>
      <c r="I36" s="7" t="str">
        <f aca="false">IF(ABS(C36)&lt;=H36,"PASS","FAIL")</f>
        <v>PASS</v>
      </c>
    </row>
    <row r="37" customFormat="false" ht="15" hidden="false" customHeight="false" outlineLevel="0" collapsed="false">
      <c r="A37" s="8" t="s">
        <v>1341</v>
      </c>
      <c r="B37" s="8" t="s">
        <v>1339</v>
      </c>
      <c r="C37" s="94" t="n">
        <f aca="false">IF(Ops_Model!$B$4=Assumptions!$C$6,0,1)</f>
        <v>0</v>
      </c>
      <c r="H37" s="10" t="n">
        <v>0</v>
      </c>
      <c r="I37" s="7" t="str">
        <f aca="false">IF(ABS(C37)&lt;=H37,"PASS","FAIL")</f>
        <v>PASS</v>
      </c>
    </row>
    <row r="38" customFormat="false" ht="15" hidden="false" customHeight="false" outlineLevel="0" collapsed="false">
      <c r="A38" s="8" t="s">
        <v>1342</v>
      </c>
      <c r="B38" s="8" t="s">
        <v>1343</v>
      </c>
      <c r="C38" s="94" t="n">
        <f aca="false">Assumptions!$O$73-12</f>
        <v>0</v>
      </c>
      <c r="H38" s="10" t="n">
        <v>0.0001</v>
      </c>
      <c r="I38" s="7" t="str">
        <f aca="false">IF(ABS(C38)&lt;=H38,"PASS","FAIL")</f>
        <v>PASS</v>
      </c>
    </row>
    <row r="39" customFormat="false" ht="15" hidden="false" customHeight="false" outlineLevel="0" collapsed="false">
      <c r="A39" s="8" t="s">
        <v>1344</v>
      </c>
      <c r="B39" s="8" t="s">
        <v>1343</v>
      </c>
      <c r="C39" s="94" t="n">
        <f aca="false">(Ops_Model!$C$6&lt;&gt;DATE(2026,1,1))+(Ops_Model!$N$6&lt;&gt;DATE(2026,12,1))+SUMPRODUCT(--(DAY(Ops_Model!$C$6:$N$6)&lt;&gt;1))+(COUNT(Ops_Model!$C$6:$N$6)&lt;&gt;12)+SUMPRODUCT((Ops_Model!$D$6:$N$6-Ops_Model!$C$6:$M$6&lt;28)+(Ops_Model!$D$6:$N$6-Ops_Model!$C$6:$M$6&gt;31))</f>
        <v>0</v>
      </c>
      <c r="H39" s="10" t="n">
        <v>0</v>
      </c>
      <c r="I39" s="7" t="str">
        <f aca="false">IF(ABS(C39)&lt;=H39,"PASS","FAIL")</f>
        <v>PASS</v>
      </c>
    </row>
    <row r="40" customFormat="false" ht="15" hidden="false" customHeight="false" outlineLevel="0" collapsed="false">
      <c r="A40" s="8" t="s">
        <v>1345</v>
      </c>
      <c r="B40" s="8" t="s">
        <v>22</v>
      </c>
      <c r="C40" s="94" t="n">
        <f aca="false">Assumptions!$F$41-1</f>
        <v>0</v>
      </c>
      <c r="H40" s="10" t="n">
        <v>0.0001</v>
      </c>
      <c r="I40" s="7" t="str">
        <f aca="false">IF(ABS(C40)&lt;=H40,"PASS","FAIL")</f>
        <v>PASS</v>
      </c>
    </row>
    <row r="41" customFormat="false" ht="15" hidden="false" customHeight="false" outlineLevel="0" collapsed="false">
      <c r="A41" s="8" t="s">
        <v>1346</v>
      </c>
      <c r="B41" s="8" t="s">
        <v>22</v>
      </c>
      <c r="C41" s="94" t="n">
        <f aca="false">Assumptions!$F$42-Assumptions!$F$32</f>
        <v>0</v>
      </c>
      <c r="H41" s="10" t="n">
        <v>0.05</v>
      </c>
      <c r="I41" s="7" t="str">
        <f aca="false">IF(ABS(C41)&lt;=H41,"PASS","FAIL")</f>
        <v>PASS</v>
      </c>
    </row>
    <row r="42" customFormat="false" ht="15" hidden="false" customHeight="false" outlineLevel="0" collapsed="false">
      <c r="A42" s="8" t="s">
        <v>1347</v>
      </c>
      <c r="B42" s="8" t="s">
        <v>151</v>
      </c>
      <c r="C42" s="94" t="n">
        <f aca="false">SUMPRODUCT((Ops_Model!$C$11:$N$11&lt;0)+(Ops_Model!$C$11:$N$11&gt;1)+(Ops_Model!$C$13:$N$13&lt;0)+(Ops_Model!$C$13:$N$13&gt;1))+SUMPRODUCT((Ops_Model!$C$41:$N$41&lt;0)+(Ops_Model!$C$41:$N$41&gt;1)+(Ops_Model!$C$43:$N$43&lt;0)+(Ops_Model!$C$43:$N$43&gt;1))+SUMPRODUCT((Ops_Model!$C$71:$N$71&lt;0)+(Ops_Model!$C$71:$N$71&gt;1)+(Ops_Model!$C$73:$N$73&lt;0)+(Ops_Model!$C$73:$N$73&gt;1))</f>
        <v>0</v>
      </c>
      <c r="H42" s="10" t="n">
        <v>0</v>
      </c>
      <c r="I42" s="7" t="str">
        <f aca="false">IF(ABS(C42)&lt;=H42,"PASS","FAIL")</f>
        <v>PASS</v>
      </c>
    </row>
    <row r="43" customFormat="false" ht="15" hidden="false" customHeight="false" outlineLevel="0" collapsed="false">
      <c r="A43" s="8" t="s">
        <v>1348</v>
      </c>
      <c r="B43" s="8" t="s">
        <v>151</v>
      </c>
      <c r="C43" s="94" t="n">
        <f aca="false">SUMPRODUCT(ABS(Ops_Model!$C$12:$N$12-Ops_Model!$C$10:$N$10*Ops_Model!$C$11:$N$11))+SUMPRODUCT(ABS(Ops_Model!$C$42:$N$42-Ops_Model!$C$40:$N$40*Ops_Model!$C$41:$N$41))+SUMPRODUCT(ABS(Ops_Model!$C$72:$N$72-Ops_Model!$C$70:$N$70*Ops_Model!$C$71:$N$71))</f>
        <v>0</v>
      </c>
      <c r="H43" s="10" t="n">
        <v>0.0001</v>
      </c>
      <c r="I43" s="7" t="str">
        <f aca="false">IF(ABS(C43)&lt;=H43,"PASS","FAIL")</f>
        <v>PASS</v>
      </c>
    </row>
    <row r="44" customFormat="false" ht="15" hidden="false" customHeight="false" outlineLevel="0" collapsed="false">
      <c r="A44" s="8" t="s">
        <v>1349</v>
      </c>
      <c r="B44" s="8" t="s">
        <v>151</v>
      </c>
      <c r="C44" s="94" t="n">
        <f aca="false">SUMPRODUCT(ABS(Ops_Model!$C$14:$N$14-Ops_Model!$C$12:$N$12*Ops_Model!$C$13:$N$13))+SUMPRODUCT(ABS(Ops_Model!$C$44:$N$44-Ops_Model!$C$42:$N$42*Ops_Model!$C$43:$N$43))+SUMPRODUCT(ABS(Ops_Model!$C$74:$N$74-Ops_Model!$C$72:$N$72*Ops_Model!$C$73:$N$73))</f>
        <v>0</v>
      </c>
      <c r="H44" s="10" t="n">
        <v>0.0001</v>
      </c>
      <c r="I44" s="7" t="str">
        <f aca="false">IF(ABS(C44)&lt;=H44,"PASS","FAIL")</f>
        <v>PASS</v>
      </c>
    </row>
    <row r="45" customFormat="false" ht="15" hidden="false" customHeight="false" outlineLevel="0" collapsed="false">
      <c r="A45" s="8" t="s">
        <v>1350</v>
      </c>
      <c r="B45" s="8" t="s">
        <v>151</v>
      </c>
      <c r="C45" s="94" t="n">
        <f aca="false">SUMPRODUCT(ABS(Ops_Model!$C$17:$N$17-((Ops_Model!$C$9:$N$9&lt;Ops_Model!$C$16:$N$16)*Ops_Model!$C$9:$N$9+(Ops_Model!$C$9:$N$9&gt;=Ops_Model!$C$16:$N$16)*Ops_Model!$C$16:$N$16)))+SUMPRODUCT(ABS(Ops_Model!$C$47:$N$47-((Ops_Model!$C$39:$N$39&lt;Ops_Model!$C$46:$N$46)*Ops_Model!$C$39:$N$39+(Ops_Model!$C$39:$N$39&gt;=Ops_Model!$C$46:$N$46)*Ops_Model!$C$46:$N$46)))+SUMPRODUCT(ABS(Ops_Model!$C$77:$N$77-((Ops_Model!$C$69:$N$69&lt;Ops_Model!$C$76:$N$76)*Ops_Model!$C$69:$N$69+(Ops_Model!$C$69:$N$69&gt;=Ops_Model!$C$76:$N$76)*Ops_Model!$C$76:$N$76)))</f>
        <v>0</v>
      </c>
      <c r="H45" s="10" t="n">
        <v>0.0001</v>
      </c>
      <c r="I45" s="7" t="str">
        <f aca="false">IF(ABS(C45)&lt;=H45,"PASS","FAIL")</f>
        <v>PASS</v>
      </c>
    </row>
    <row r="46" customFormat="false" ht="15" hidden="false" customHeight="false" outlineLevel="0" collapsed="false">
      <c r="A46" s="8" t="s">
        <v>1351</v>
      </c>
      <c r="B46" s="8" t="s">
        <v>151</v>
      </c>
      <c r="C46" s="94" t="n">
        <f aca="false">SUMPRODUCT(--(Ops_Model!$C$18:$N$18&lt;-0.000001))+SUMPRODUCT(--(Ops_Model!$C$31:$N$31&lt;-0.000001))+SUMPRODUCT(--(Ops_Model!$C$48:$N$48&lt;-0.000001))+SUMPRODUCT(--(Ops_Model!$C$61:$N$61&lt;-0.000001))+SUMPRODUCT(--(Ops_Model!$C$78:$N$78&lt;-0.000001))+SUMPRODUCT(--(Ops_Model!$C$91:$N$91&lt;-0.000001))</f>
        <v>0</v>
      </c>
      <c r="H46" s="10" t="n">
        <v>0</v>
      </c>
      <c r="I46" s="7" t="str">
        <f aca="false">IF(ABS(C46)&lt;=H46,"PASS","FAIL")</f>
        <v>PASS</v>
      </c>
    </row>
    <row r="47" customFormat="false" ht="15" hidden="false" customHeight="false" outlineLevel="0" collapsed="false">
      <c r="A47" s="8" t="s">
        <v>1352</v>
      </c>
      <c r="B47" s="8" t="s">
        <v>151</v>
      </c>
      <c r="C47" s="94" t="n">
        <f aca="false">ABS(Ops_Model!$O$15+Ops_Model!$O$14-Ops_Model!$O$17-Ops_Model!$O$18)+ABS(Ops_Model!$O$45+Ops_Model!$O$44-Ops_Model!$O$47-Ops_Model!$O$48)+ABS(Ops_Model!$O$75+Ops_Model!$O$74-Ops_Model!$O$77-Ops_Model!$O$78)</f>
        <v>0</v>
      </c>
      <c r="H47" s="10" t="n">
        <v>0.0001</v>
      </c>
      <c r="I47" s="7" t="str">
        <f aca="false">IF(ABS(C47)&lt;=H47,"PASS","FAIL")</f>
        <v>PASS</v>
      </c>
    </row>
    <row r="48" customFormat="false" ht="15" hidden="false" customHeight="false" outlineLevel="0" collapsed="false">
      <c r="A48" s="8" t="s">
        <v>1353</v>
      </c>
      <c r="B48" s="8" t="s">
        <v>151</v>
      </c>
      <c r="C48" s="94" t="n">
        <f aca="false">ABS(Ops_Model!$O$28+Ops_Model!$O$26-Ops_Model!$O$30-Ops_Model!$O$31)+ABS(Ops_Model!$O$58+Ops_Model!$O$56-Ops_Model!$O$60-Ops_Model!$O$61)+ABS(Ops_Model!$O$88+Ops_Model!$O$86-Ops_Model!$O$90-Ops_Model!$O$91)</f>
        <v>3.01980662698043E-014</v>
      </c>
      <c r="H48" s="10" t="n">
        <v>0.0001</v>
      </c>
      <c r="I48" s="7" t="str">
        <f aca="false">IF(ABS(C48)&lt;=H48,"PASS","FAIL")</f>
        <v>PASS</v>
      </c>
    </row>
    <row r="49" customFormat="false" ht="15" hidden="false" customHeight="false" outlineLevel="0" collapsed="false">
      <c r="A49" s="8" t="s">
        <v>1354</v>
      </c>
      <c r="B49" s="8" t="s">
        <v>22</v>
      </c>
      <c r="C49" s="94" t="n">
        <f aca="false">ABS(SUMPRODUCT(Ops_Model!$C$17:$N$17,Ops_Model!$C$21:$N$21)-Ops_Model!$O$22)+ABS(SUMPRODUCT(Ops_Model!$C$47:$N$47,Ops_Model!$C$51:$N$51)-Ops_Model!$O$52)+ABS(SUMPRODUCT(Ops_Model!$C$77:$N$77,Ops_Model!$C$81:$N$81)-Ops_Model!$O$82)</f>
        <v>0</v>
      </c>
      <c r="H49" s="10" t="n">
        <v>0.0001</v>
      </c>
      <c r="I49" s="7" t="str">
        <f aca="false">IF(ABS(C49)&lt;=H49,"PASS","FAIL")</f>
        <v>PASS</v>
      </c>
    </row>
    <row r="50" customFormat="false" ht="15" hidden="false" customHeight="false" outlineLevel="0" collapsed="false">
      <c r="A50" s="8" t="s">
        <v>1355</v>
      </c>
      <c r="B50" s="8" t="s">
        <v>1356</v>
      </c>
      <c r="C50" s="94" t="n">
        <f aca="false">ABS(SUMPRODUCT(Ops_Model!$C$12:$N$12,Ops_Model!$C$23:$N$23)-Ops_Model!$O$24)+ABS(SUMPRODUCT(Ops_Model!$C$42:$N$42,Ops_Model!$C$53:$N$53)-Ops_Model!$O$54)+ABS(SUMPRODUCT(Ops_Model!$C$72:$N$72,Ops_Model!$C$83:$N$83)-Ops_Model!$O$84)</f>
        <v>0</v>
      </c>
      <c r="H50" s="10" t="n">
        <v>0.0001</v>
      </c>
      <c r="I50" s="7" t="str">
        <f aca="false">IF(ABS(C50)&lt;=H50,"PASS","FAIL")</f>
        <v>PASS</v>
      </c>
    </row>
    <row r="51" customFormat="false" ht="15" hidden="false" customHeight="false" outlineLevel="0" collapsed="false">
      <c r="A51" s="8" t="s">
        <v>1357</v>
      </c>
      <c r="B51" s="8" t="s">
        <v>22</v>
      </c>
      <c r="C51" s="94" t="n">
        <f aca="false">Ops_Model!$O$98-(Ops_Model!$O$22+Ops_Model!$O$52+Ops_Model!$O$82)</f>
        <v>0</v>
      </c>
      <c r="H51" s="10" t="n">
        <v>0.0001</v>
      </c>
      <c r="I51" s="7" t="str">
        <f aca="false">IF(ABS(C51)&lt;=H51,"PASS","FAIL")</f>
        <v>PASS</v>
      </c>
    </row>
    <row r="52" customFormat="false" ht="15" hidden="false" customHeight="false" outlineLevel="0" collapsed="false">
      <c r="A52" s="8" t="s">
        <v>1358</v>
      </c>
      <c r="B52" s="8" t="s">
        <v>312</v>
      </c>
      <c r="C52" s="94" t="n">
        <f aca="false">Ops_Model!$O$105-(Ops_Model!$O$98-Ops_Model!$O$102)</f>
        <v>0</v>
      </c>
      <c r="H52" s="10" t="n">
        <v>0.0001</v>
      </c>
      <c r="I52" s="7" t="str">
        <f aca="false">IF(ABS(C52)&lt;=H52,"PASS","FAIL")</f>
        <v>PASS</v>
      </c>
    </row>
    <row r="53" customFormat="false" ht="15" hidden="false" customHeight="false" outlineLevel="0" collapsed="false">
      <c r="A53" s="8" t="s">
        <v>1359</v>
      </c>
      <c r="B53" s="8" t="s">
        <v>22</v>
      </c>
      <c r="C53" s="94" t="n">
        <f aca="false">SUM(Ops_Model!$C$98:$N$98)-(SUM(Ops_Model!$C$22:$N$22)+SUM(Ops_Model!$C$52:$N$52)+SUM(Ops_Model!$C$82:$N$82))</f>
        <v>0</v>
      </c>
      <c r="H53" s="10" t="n">
        <v>0.0001</v>
      </c>
      <c r="I53" s="7" t="str">
        <f aca="false">IF(ABS(C53)&lt;=H53,"PASS","FAIL")</f>
        <v>PASS</v>
      </c>
    </row>
    <row r="54" customFormat="false" ht="15" hidden="false" customHeight="false" outlineLevel="0" collapsed="false">
      <c r="A54" s="8" t="s">
        <v>1360</v>
      </c>
      <c r="B54" s="8" t="s">
        <v>312</v>
      </c>
      <c r="C54" s="94" t="n">
        <f aca="false">MAX(0,Ops_Model!$O$105-Ops_Model!$O$103)</f>
        <v>0</v>
      </c>
      <c r="H54" s="10" t="n">
        <v>0.0001</v>
      </c>
      <c r="I54" s="7" t="str">
        <f aca="false">IF(ABS(C54)&lt;=H54,"PASS","FAIL")</f>
        <v>PASS</v>
      </c>
    </row>
    <row r="55" customFormat="false" ht="15" hidden="false" customHeight="false" outlineLevel="0" collapsed="false">
      <c r="A55" s="18" t="s">
        <v>1361</v>
      </c>
      <c r="B55" s="19"/>
      <c r="C55" s="19" t="s">
        <v>1328</v>
      </c>
      <c r="D55" s="19" t="s">
        <v>1329</v>
      </c>
      <c r="E55" s="19" t="s">
        <v>800</v>
      </c>
      <c r="F55" s="19"/>
      <c r="G55" s="19"/>
      <c r="H55" s="19" t="s">
        <v>1304</v>
      </c>
      <c r="I55" s="19" t="s">
        <v>101</v>
      </c>
    </row>
    <row r="56" customFormat="false" ht="15" hidden="false" customHeight="false" outlineLevel="0" collapsed="false">
      <c r="A56" s="8" t="s">
        <v>1362</v>
      </c>
      <c r="C56" s="0" t="n">
        <f aca="false">100*0.8</f>
        <v>80</v>
      </c>
      <c r="D56" s="10" t="n">
        <v>80</v>
      </c>
      <c r="E56" s="0" t="n">
        <f aca="false">C56-D56</f>
        <v>0</v>
      </c>
      <c r="H56" s="10" t="n">
        <v>1E-006</v>
      </c>
      <c r="I56" s="7" t="str">
        <f aca="false">IF(ABS(E56)&lt;=H56,"PASS","FAIL")</f>
        <v>PASS</v>
      </c>
    </row>
    <row r="57" customFormat="false" ht="15" hidden="false" customHeight="false" outlineLevel="0" collapsed="false">
      <c r="A57" s="8" t="s">
        <v>1363</v>
      </c>
      <c r="C57" s="0" t="n">
        <f aca="false">80*0.9</f>
        <v>72</v>
      </c>
      <c r="D57" s="10" t="n">
        <v>72</v>
      </c>
      <c r="E57" s="0" t="n">
        <f aca="false">C57-D57</f>
        <v>0</v>
      </c>
      <c r="H57" s="10" t="n">
        <v>1E-006</v>
      </c>
      <c r="I57" s="7" t="str">
        <f aca="false">IF(ABS(E57)&lt;=H57,"PASS","FAIL")</f>
        <v>PASS</v>
      </c>
    </row>
    <row r="58" customFormat="false" ht="15" hidden="false" customHeight="false" outlineLevel="0" collapsed="false">
      <c r="A58" s="8" t="s">
        <v>1364</v>
      </c>
      <c r="C58" s="0" t="n">
        <f aca="false">MIN(70,0+72)</f>
        <v>70</v>
      </c>
      <c r="D58" s="10" t="n">
        <v>70</v>
      </c>
      <c r="E58" s="0" t="n">
        <f aca="false">C58-D58</f>
        <v>0</v>
      </c>
      <c r="H58" s="10" t="n">
        <v>1E-006</v>
      </c>
      <c r="I58" s="7" t="str">
        <f aca="false">IF(ABS(E58)&lt;=H58,"PASS","FAIL")</f>
        <v>PASS</v>
      </c>
    </row>
    <row r="59" customFormat="false" ht="15" hidden="false" customHeight="false" outlineLevel="0" collapsed="false">
      <c r="A59" s="8" t="s">
        <v>1365</v>
      </c>
      <c r="C59" s="0" t="n">
        <f aca="false">90-MIN(90,72)</f>
        <v>18</v>
      </c>
      <c r="D59" s="10" t="n">
        <v>18</v>
      </c>
      <c r="E59" s="0" t="n">
        <f aca="false">C59-D59</f>
        <v>0</v>
      </c>
      <c r="H59" s="10" t="n">
        <v>1E-006</v>
      </c>
      <c r="I59" s="7" t="str">
        <f aca="false">IF(ABS(E59)&lt;=H59,"PASS","FAIL")</f>
        <v>PASS</v>
      </c>
    </row>
    <row r="60" customFormat="false" ht="15" hidden="false" customHeight="false" outlineLevel="0" collapsed="false">
      <c r="A60" s="8" t="s">
        <v>1366</v>
      </c>
      <c r="C60" s="0" t="n">
        <f aca="false">70*2</f>
        <v>140</v>
      </c>
      <c r="D60" s="10" t="n">
        <v>140</v>
      </c>
      <c r="E60" s="0" t="n">
        <f aca="false">C60-D60</f>
        <v>0</v>
      </c>
      <c r="H60" s="10" t="n">
        <v>1E-006</v>
      </c>
      <c r="I60" s="7" t="str">
        <f aca="false">IF(ABS(E60)&lt;=H60,"PASS","FAIL")</f>
        <v>PASS</v>
      </c>
    </row>
    <row r="61" customFormat="false" ht="15" hidden="false" customHeight="false" outlineLevel="0" collapsed="false">
      <c r="A61" s="8" t="s">
        <v>1367</v>
      </c>
      <c r="C61" s="0" t="n">
        <f aca="false">(10+90)/82</f>
        <v>1.21951219512195</v>
      </c>
      <c r="D61" s="10" t="n">
        <v>1.21951219512195</v>
      </c>
      <c r="E61" s="0" t="n">
        <f aca="false">C61-D61</f>
        <v>0</v>
      </c>
      <c r="H61" s="10" t="n">
        <v>1E-006</v>
      </c>
      <c r="I61" s="7" t="str">
        <f aca="false">IF(ABS(E61)&lt;=H61,"PASS","FAIL")</f>
        <v>PASS</v>
      </c>
    </row>
    <row r="62" customFormat="false" ht="15" hidden="false" customHeight="false" outlineLevel="0" collapsed="false">
      <c r="A62" s="8" t="s">
        <v>1368</v>
      </c>
      <c r="C62" s="0" t="n">
        <f aca="false">70*(10+90)/82</f>
        <v>85.3658536585366</v>
      </c>
      <c r="D62" s="10" t="n">
        <v>85.3658536585366</v>
      </c>
      <c r="E62" s="0" t="n">
        <f aca="false">C62-D62</f>
        <v>0</v>
      </c>
      <c r="H62" s="10" t="n">
        <v>1E-006</v>
      </c>
      <c r="I62" s="7" t="str">
        <f aca="false">IF(ABS(E62)&lt;=H62,"PASS","FAIL")</f>
        <v>PASS</v>
      </c>
    </row>
    <row r="63" customFormat="false" ht="15" hidden="false" customHeight="false" outlineLevel="0" collapsed="false">
      <c r="A63" s="8" t="s">
        <v>1369</v>
      </c>
      <c r="C63" s="0" t="n">
        <f aca="false">10+90-70*(10+90)/82</f>
        <v>14.6341463414634</v>
      </c>
      <c r="D63" s="10" t="n">
        <v>14.6341463414634</v>
      </c>
      <c r="E63" s="0" t="n">
        <f aca="false">C63-D63</f>
        <v>0</v>
      </c>
      <c r="H63" s="10" t="n">
        <v>1E-006</v>
      </c>
      <c r="I63" s="7" t="str">
        <f aca="false">IF(ABS(E63)&lt;=H63,"PASS","FAIL")</f>
        <v>PASS</v>
      </c>
    </row>
    <row r="64" customFormat="false" ht="15" hidden="false" customHeight="false" outlineLevel="0" collapsed="false">
      <c r="A64" s="8" t="s">
        <v>1370</v>
      </c>
      <c r="C64" s="0" t="n">
        <f aca="false">140-70*(0.45/0.9)</f>
        <v>105</v>
      </c>
      <c r="D64" s="10" t="n">
        <v>105</v>
      </c>
      <c r="E64" s="0" t="n">
        <f aca="false">C64-D64</f>
        <v>0</v>
      </c>
      <c r="H64" s="10" t="n">
        <v>1E-006</v>
      </c>
      <c r="I64" s="7" t="str">
        <f aca="false">IF(ABS(E64)&lt;=H64,"PASS","FAIL")</f>
        <v>PASS</v>
      </c>
    </row>
    <row r="65" customFormat="false" ht="15" hidden="false" customHeight="false" outlineLevel="0" collapsed="false">
      <c r="A65" s="16" t="s">
        <v>1371</v>
      </c>
      <c r="B65" s="17"/>
      <c r="C65" s="17"/>
      <c r="D65" s="17"/>
      <c r="E65" s="17"/>
      <c r="F65" s="17"/>
      <c r="G65" s="17"/>
      <c r="H65" s="17"/>
      <c r="I65" s="17"/>
    </row>
    <row r="66" customFormat="false" ht="15" hidden="false" customHeight="false" outlineLevel="0" collapsed="false">
      <c r="A66" s="18" t="s">
        <v>1303</v>
      </c>
      <c r="B66" s="19" t="s">
        <v>95</v>
      </c>
      <c r="C66" s="19" t="s">
        <v>1328</v>
      </c>
      <c r="D66" s="19"/>
      <c r="E66" s="19"/>
      <c r="F66" s="19"/>
      <c r="G66" s="19"/>
      <c r="H66" s="19" t="s">
        <v>1304</v>
      </c>
      <c r="I66" s="19" t="s">
        <v>101</v>
      </c>
    </row>
    <row r="67" customFormat="false" ht="15" hidden="false" customHeight="false" outlineLevel="0" collapsed="false">
      <c r="A67" s="8" t="s">
        <v>1372</v>
      </c>
      <c r="B67" s="8" t="s">
        <v>22</v>
      </c>
      <c r="C67" s="94" t="n">
        <f aca="false">SUMPRODUCT(ABS(Revenue!$C$9:$N$9-Ops_Model!$C$22:$N$22))+SUMPRODUCT(ABS(Revenue!$C$14:$N$14-Ops_Model!$C$52:$N$52))+SUMPRODUCT(ABS(Revenue!$C$19:$N$19-Ops_Model!$C$82:$N$82))</f>
        <v>0</v>
      </c>
      <c r="H67" s="10" t="n">
        <v>0.0001</v>
      </c>
      <c r="I67" s="7" t="str">
        <f aca="false">IF(ABS(C67)&lt;=H67,"PASS","FAIL")</f>
        <v>PASS</v>
      </c>
    </row>
    <row r="68" customFormat="false" ht="15" hidden="false" customHeight="false" outlineLevel="0" collapsed="false">
      <c r="A68" s="8" t="s">
        <v>1373</v>
      </c>
      <c r="B68" s="8" t="s">
        <v>1374</v>
      </c>
      <c r="C68" s="94" t="n">
        <f aca="false">ABS(SUM(Revenue!$P$23:$S$23)-Revenue!$O$23)+ABS(SUM(Revenue!$C$23:$N$23)-Revenue!$O$23)</f>
        <v>0</v>
      </c>
      <c r="H68" s="10" t="n">
        <v>0.0001</v>
      </c>
      <c r="I68" s="7" t="str">
        <f aca="false">IF(ABS(C68)&lt;=H68,"PASS","FAIL")</f>
        <v>PASS</v>
      </c>
    </row>
    <row r="69" customFormat="false" ht="15" hidden="false" customHeight="false" outlineLevel="0" collapsed="false">
      <c r="A69" s="8" t="s">
        <v>1375</v>
      </c>
      <c r="B69" s="8" t="s">
        <v>22</v>
      </c>
      <c r="C69" s="94" t="n">
        <f aca="false">SUMPRODUCT(ABS(Revenue!$C$27:$N$27-1))</f>
        <v>0</v>
      </c>
      <c r="H69" s="10" t="n">
        <v>0.0001</v>
      </c>
      <c r="I69" s="7" t="str">
        <f aca="false">IF(ABS(C69)&lt;=H69,"PASS","FAIL")</f>
        <v>PASS</v>
      </c>
    </row>
    <row r="70" customFormat="false" ht="15" hidden="false" customHeight="false" outlineLevel="0" collapsed="false">
      <c r="A70" s="8" t="s">
        <v>1376</v>
      </c>
      <c r="B70" s="8" t="s">
        <v>22</v>
      </c>
      <c r="C70" s="94" t="n">
        <f aca="false">PnL!$O$8-Ops_Model!$O$98</f>
        <v>0</v>
      </c>
      <c r="H70" s="10" t="n">
        <v>0.0001</v>
      </c>
      <c r="I70" s="7" t="str">
        <f aca="false">IF(ABS(C70)&lt;=H70,"PASS","FAIL")</f>
        <v>PASS</v>
      </c>
    </row>
    <row r="71" customFormat="false" ht="15" hidden="false" customHeight="false" outlineLevel="0" collapsed="false">
      <c r="A71" s="8" t="s">
        <v>1377</v>
      </c>
      <c r="B71" s="8" t="s">
        <v>312</v>
      </c>
      <c r="C71" s="94" t="n">
        <f aca="false">(PnL!$O$12+PnL!$O$10)-Ops_Model!$O$105</f>
        <v>0</v>
      </c>
      <c r="H71" s="10" t="n">
        <v>0.0001</v>
      </c>
      <c r="I71" s="7" t="str">
        <f aca="false">IF(ABS(C71)&lt;=H71,"PASS","FAIL")</f>
        <v>PASS</v>
      </c>
    </row>
    <row r="72" customFormat="false" ht="15" hidden="false" customHeight="false" outlineLevel="0" collapsed="false">
      <c r="A72" s="8" t="s">
        <v>1378</v>
      </c>
      <c r="B72" s="8" t="s">
        <v>312</v>
      </c>
      <c r="C72" s="94" t="n">
        <f aca="false">SUMPRODUCT(ABS(PnL!$C$12:$N$12-(PnL!$C$8:$N$8-PnL!$C$11:$N$11)))</f>
        <v>0</v>
      </c>
      <c r="H72" s="10" t="n">
        <v>0.0001</v>
      </c>
      <c r="I72" s="7" t="str">
        <f aca="false">IF(ABS(C72)&lt;=H72,"PASS","FAIL")</f>
        <v>PASS</v>
      </c>
    </row>
    <row r="73" customFormat="false" ht="15" hidden="false" customHeight="false" outlineLevel="0" collapsed="false">
      <c r="A73" s="8" t="s">
        <v>1379</v>
      </c>
      <c r="B73" s="8" t="s">
        <v>1380</v>
      </c>
      <c r="C73" s="94" t="n">
        <f aca="false">SUMPRODUCT(ABS(PnL!$C$17:$N$17-(PnL!$C$12:$N$12-PnL!$C$14:$N$14-PnL!$C$15:$N$15)))</f>
        <v>0</v>
      </c>
      <c r="H73" s="10" t="n">
        <v>0.0001</v>
      </c>
      <c r="I73" s="7" t="str">
        <f aca="false">IF(ABS(C73)&lt;=H73,"PASS","FAIL")</f>
        <v>PASS</v>
      </c>
    </row>
    <row r="74" customFormat="false" ht="15" hidden="false" customHeight="false" outlineLevel="0" collapsed="false">
      <c r="A74" s="8" t="s">
        <v>1381</v>
      </c>
      <c r="B74" s="8" t="s">
        <v>1380</v>
      </c>
      <c r="C74" s="94" t="n">
        <f aca="false">ABS(PnL!$O$14-Assumptions!$F$33*(1+Assumptions!$F$15))+ABS(PnL!$O$15-Assumptions!$F$34*(1+Assumptions!$F$16))</f>
        <v>0</v>
      </c>
      <c r="H74" s="10" t="n">
        <v>0.0001</v>
      </c>
      <c r="I74" s="7" t="str">
        <f aca="false">IF(ABS(C74)&lt;=H74,"PASS","FAIL")</f>
        <v>PASS</v>
      </c>
    </row>
    <row r="75" customFormat="false" ht="15" hidden="false" customHeight="false" outlineLevel="0" collapsed="false">
      <c r="A75" s="8" t="s">
        <v>1382</v>
      </c>
      <c r="B75" s="8" t="s">
        <v>1380</v>
      </c>
      <c r="C75" s="94" t="n">
        <f aca="false">PnL!$O$20-Assumptions!$F$18*PnL!$O$19</f>
        <v>0</v>
      </c>
      <c r="H75" s="10" t="n">
        <v>0.0001</v>
      </c>
      <c r="I75" s="7" t="str">
        <f aca="false">IF(ABS(C75)&lt;=H75,"PASS","FAIL")</f>
        <v>PASS</v>
      </c>
    </row>
    <row r="76" customFormat="false" ht="15" hidden="false" customHeight="false" outlineLevel="0" collapsed="false">
      <c r="A76" s="8" t="s">
        <v>1383</v>
      </c>
      <c r="B76" s="8" t="s">
        <v>1380</v>
      </c>
      <c r="C76" s="94" t="n">
        <f aca="false">ABS(PnL!$O$21-(PnL!$O$19-PnL!$O$20))+ABS(SUM(PnL!$P$21:$S$21)-PnL!$O$21)</f>
        <v>0</v>
      </c>
      <c r="H76" s="10" t="n">
        <v>0.0001</v>
      </c>
      <c r="I76" s="7" t="str">
        <f aca="false">IF(ABS(C76)&lt;=H76,"PASS","FAIL")</f>
        <v>PASS</v>
      </c>
    </row>
    <row r="77" customFormat="false" ht="15" hidden="false" customHeight="false" outlineLevel="0" collapsed="false">
      <c r="A77" s="8" t="s">
        <v>1384</v>
      </c>
      <c r="B77" s="8" t="s">
        <v>367</v>
      </c>
      <c r="C77" s="94" t="n">
        <f aca="false">FCF!$O$8-Assumptions!$F$17*Revenue!$O$23</f>
        <v>0</v>
      </c>
      <c r="H77" s="10" t="n">
        <v>0.0001</v>
      </c>
      <c r="I77" s="7" t="str">
        <f aca="false">IF(ABS(C77)&lt;=H77,"PASS","FAIL")</f>
        <v>PASS</v>
      </c>
    </row>
    <row r="78" customFormat="false" ht="15" hidden="false" customHeight="false" outlineLevel="0" collapsed="false">
      <c r="A78" s="8" t="s">
        <v>1385</v>
      </c>
      <c r="B78" s="8" t="s">
        <v>367</v>
      </c>
      <c r="C78" s="94" t="n">
        <f aca="false">FCF!$O$9-SUMPRODUCT(FCF!$C$8:$N$8,12-COLUMN(FCF!$C$8:$N$8)+COLUMN(FCF!$C$1)-1)/Assumptions!$F$86</f>
        <v>0</v>
      </c>
      <c r="H78" s="10" t="n">
        <v>0.0001</v>
      </c>
      <c r="I78" s="7" t="str">
        <f aca="false">IF(ABS(C78)&lt;=H78,"PASS","FAIL")</f>
        <v>PASS</v>
      </c>
    </row>
    <row r="79" customFormat="false" ht="15" hidden="false" customHeight="false" outlineLevel="0" collapsed="false">
      <c r="A79" s="8" t="s">
        <v>1386</v>
      </c>
      <c r="B79" s="8" t="s">
        <v>367</v>
      </c>
      <c r="C79" s="94" t="n">
        <f aca="false">FCF!$O$18-(FCF!$N$17-Assumptions!$F$93)</f>
        <v>0</v>
      </c>
      <c r="H79" s="10" t="n">
        <v>0.0001</v>
      </c>
      <c r="I79" s="7" t="str">
        <f aca="false">IF(ABS(C79)&lt;=H79,"PASS","FAIL")</f>
        <v>PASS</v>
      </c>
    </row>
    <row r="80" customFormat="false" ht="15" hidden="false" customHeight="false" outlineLevel="0" collapsed="false">
      <c r="A80" s="8" t="s">
        <v>1387</v>
      </c>
      <c r="B80" s="8" t="s">
        <v>367</v>
      </c>
      <c r="C80" s="94" t="n">
        <f aca="false">SUMPRODUCT(ABS(FCF!$C$25:$N$25-(PnL!$C$21:$N$21+FCF!$C$11:$N$11-FCF!$C$8:$N$8-FCF!$C$18:$N$18)))</f>
        <v>0</v>
      </c>
      <c r="H80" s="10" t="n">
        <v>0.0001</v>
      </c>
      <c r="I80" s="7" t="str">
        <f aca="false">IF(ABS(C80)&lt;=H80,"PASS","FAIL")</f>
        <v>PASS</v>
      </c>
    </row>
    <row r="81" customFormat="false" ht="15" hidden="false" customHeight="false" outlineLevel="0" collapsed="false">
      <c r="A81" s="8" t="s">
        <v>1388</v>
      </c>
      <c r="B81" s="8" t="s">
        <v>367</v>
      </c>
      <c r="C81" s="94" t="n">
        <f aca="false">FCF!$N$28-FCF!$O$25</f>
        <v>0</v>
      </c>
      <c r="H81" s="10" t="n">
        <v>0.0001</v>
      </c>
      <c r="I81" s="7" t="str">
        <f aca="false">IF(ABS(C81)&lt;=H81,"PASS","FAIL")</f>
        <v>PASS</v>
      </c>
    </row>
    <row r="82" customFormat="false" ht="15" hidden="false" customHeight="false" outlineLevel="0" collapsed="false">
      <c r="A82" s="8" t="s">
        <v>1389</v>
      </c>
      <c r="B82" s="8" t="s">
        <v>367</v>
      </c>
      <c r="C82" s="94" t="n">
        <f aca="false">(FCF!$O$21+FCF!$O$11-FCF!$O$18)-(PnL!$O$8-(Ops_Model!$O$101-FCF!$O$10)-PnL!$O$16-PnL!$O$20-(FCF!$N$14-Assumptions!$F$90)+(FCF!$N$16-Assumptions!$F$92))</f>
        <v>0</v>
      </c>
      <c r="H82" s="10" t="n">
        <v>0.0001</v>
      </c>
      <c r="I82" s="7" t="str">
        <f aca="false">IF(ABS(C82)&lt;=H82,"PASS","FAIL")</f>
        <v>PASS</v>
      </c>
    </row>
    <row r="83" customFormat="false" ht="15" hidden="false" customHeight="false" outlineLevel="0" collapsed="false">
      <c r="A83" s="8" t="s">
        <v>1390</v>
      </c>
      <c r="B83" s="8" t="s">
        <v>367</v>
      </c>
      <c r="C83" s="94" t="n">
        <f aca="false">SUMPRODUCT(ABS(FCF!$C$15:$N$15-Ops_Model!$C$107:$N$107))</f>
        <v>0</v>
      </c>
      <c r="H83" s="10" t="n">
        <v>0.0001</v>
      </c>
      <c r="I83" s="7" t="str">
        <f aca="false">IF(ABS(C83)&lt;=H83,"PASS","FAIL")</f>
        <v>PASS</v>
      </c>
    </row>
    <row r="84" customFormat="false" ht="15" hidden="false" customHeight="false" outlineLevel="0" collapsed="false">
      <c r="A84" s="8" t="s">
        <v>1391</v>
      </c>
      <c r="B84" s="8" t="s">
        <v>1339</v>
      </c>
      <c r="C84" s="94" t="n">
        <f aca="false">(Revenue!$B$4&lt;&gt;Assumptions!$C$6)+(PnL!$B$4&lt;&gt;Assumptions!$C$6)+(FCF!$B$4&lt;&gt;Assumptions!$C$6)</f>
        <v>0</v>
      </c>
      <c r="H84" s="10" t="n">
        <v>0</v>
      </c>
      <c r="I84" s="7" t="str">
        <f aca="false">IF(ABS(C84)&lt;=H84,"PASS","FAIL")</f>
        <v>PASS</v>
      </c>
    </row>
    <row r="85" customFormat="false" ht="15" hidden="false" customHeight="false" outlineLevel="0" collapsed="false">
      <c r="A85" s="8" t="s">
        <v>1392</v>
      </c>
      <c r="B85" s="8" t="s">
        <v>1343</v>
      </c>
      <c r="C85" s="94" t="n">
        <f aca="false">SUMPRODUCT(--(Revenue!$C$6:$N$6&lt;&gt;Ops_Model!$C$6:$N$6))+SUMPRODUCT(--(PnL!$C$6:$N$6&lt;&gt;Ops_Model!$C$6:$N$6))+SUMPRODUCT(--(FCF!$C$6:$N$6&lt;&gt;Ops_Model!$C$6:$N$6))</f>
        <v>0</v>
      </c>
      <c r="H85" s="10" t="n">
        <v>0</v>
      </c>
      <c r="I85" s="7" t="str">
        <f aca="false">IF(ABS(C85)&lt;=H85,"PASS","FAIL")</f>
        <v>PASS</v>
      </c>
    </row>
    <row r="86" customFormat="false" ht="15" hidden="false" customHeight="false" outlineLevel="0" collapsed="false">
      <c r="A86" s="18" t="s">
        <v>1361</v>
      </c>
      <c r="B86" s="19"/>
      <c r="C86" s="19" t="s">
        <v>1328</v>
      </c>
      <c r="D86" s="19" t="s">
        <v>1329</v>
      </c>
      <c r="E86" s="19" t="s">
        <v>800</v>
      </c>
      <c r="F86" s="19"/>
      <c r="G86" s="19"/>
      <c r="H86" s="19" t="s">
        <v>1304</v>
      </c>
      <c r="I86" s="19" t="s">
        <v>101</v>
      </c>
    </row>
    <row r="87" customFormat="false" ht="15" hidden="false" customHeight="false" outlineLevel="0" collapsed="false">
      <c r="A87" s="8" t="s">
        <v>1393</v>
      </c>
      <c r="C87" s="0" t="n">
        <f aca="false">100*12*60/365</f>
        <v>197.260273972603</v>
      </c>
      <c r="D87" s="10" t="n">
        <v>197.260273972603</v>
      </c>
      <c r="E87" s="0" t="n">
        <f aca="false">C87-D87</f>
        <v>0</v>
      </c>
      <c r="H87" s="10" t="n">
        <v>1E-006</v>
      </c>
      <c r="I87" s="7" t="str">
        <f aca="false">IF(ABS(E87)&lt;=H87,"PASS","FAIL")</f>
        <v>PASS</v>
      </c>
    </row>
    <row r="88" customFormat="false" ht="15" hidden="false" customHeight="false" outlineLevel="0" collapsed="false">
      <c r="A88" s="8" t="s">
        <v>1394</v>
      </c>
      <c r="C88" s="0" t="n">
        <f aca="false">60/60</f>
        <v>1</v>
      </c>
      <c r="D88" s="10" t="n">
        <v>1</v>
      </c>
      <c r="E88" s="0" t="n">
        <f aca="false">C88-D88</f>
        <v>0</v>
      </c>
      <c r="H88" s="10" t="n">
        <v>1E-006</v>
      </c>
      <c r="I88" s="7" t="str">
        <f aca="false">IF(ABS(E88)&lt;=H88,"PASS","FAIL")</f>
        <v>PASS</v>
      </c>
    </row>
    <row r="89" customFormat="false" ht="15" hidden="false" customHeight="false" outlineLevel="0" collapsed="false">
      <c r="A89" s="8" t="s">
        <v>1395</v>
      </c>
      <c r="C89" s="0" t="n">
        <f aca="false">60*(12-1)/60</f>
        <v>11</v>
      </c>
      <c r="D89" s="10" t="n">
        <v>11</v>
      </c>
      <c r="E89" s="0" t="n">
        <f aca="false">C89-D89</f>
        <v>0</v>
      </c>
      <c r="H89" s="10" t="n">
        <v>1E-006</v>
      </c>
      <c r="I89" s="7" t="str">
        <f aca="false">IF(ABS(E89)&lt;=H89,"PASS","FAIL")</f>
        <v>PASS</v>
      </c>
    </row>
    <row r="90" customFormat="false" ht="15" hidden="false" customHeight="false" outlineLevel="0" collapsed="false">
      <c r="A90" s="8" t="s">
        <v>1396</v>
      </c>
      <c r="C90" s="0" t="n">
        <f aca="false">100-100*0.18</f>
        <v>82</v>
      </c>
      <c r="D90" s="10" t="n">
        <v>82</v>
      </c>
      <c r="E90" s="0" t="n">
        <f aca="false">C90-D90</f>
        <v>0</v>
      </c>
      <c r="H90" s="10" t="n">
        <v>1E-006</v>
      </c>
      <c r="I90" s="7" t="str">
        <f aca="false">IF(ABS(E90)&lt;=H90,"PASS","FAIL")</f>
        <v>PASS</v>
      </c>
    </row>
    <row r="91" customFormat="false" ht="15" hidden="false" customHeight="false" outlineLevel="0" collapsed="false">
      <c r="A91" s="8" t="s">
        <v>1397</v>
      </c>
      <c r="C91" s="0" t="n">
        <f aca="false">600-210-104</f>
        <v>286</v>
      </c>
      <c r="D91" s="10" t="n">
        <v>286</v>
      </c>
      <c r="E91" s="0" t="n">
        <f aca="false">C91-D91</f>
        <v>0</v>
      </c>
      <c r="H91" s="10" t="n">
        <v>1E-006</v>
      </c>
      <c r="I91" s="7" t="str">
        <f aca="false">IF(ABS(E91)&lt;=H91,"PASS","FAIL")</f>
        <v>PASS</v>
      </c>
    </row>
    <row r="92" customFormat="false" ht="15" hidden="false" customHeight="false" outlineLevel="0" collapsed="false">
      <c r="A92" s="8" t="s">
        <v>1398</v>
      </c>
      <c r="C92" s="0" t="n">
        <f aca="false">(200+150-50)-280</f>
        <v>20</v>
      </c>
      <c r="D92" s="10" t="n">
        <v>20</v>
      </c>
      <c r="E92" s="0" t="n">
        <f aca="false">C92-D92</f>
        <v>0</v>
      </c>
      <c r="H92" s="10" t="n">
        <v>1E-006</v>
      </c>
      <c r="I92" s="7" t="str">
        <f aca="false">IF(ABS(E92)&lt;=H92,"PASS","FAIL")</f>
        <v>PASS</v>
      </c>
    </row>
    <row r="93" customFormat="false" ht="15" hidden="false" customHeight="false" outlineLevel="0" collapsed="false">
      <c r="A93" s="8" t="s">
        <v>1399</v>
      </c>
      <c r="C93" s="0" t="n">
        <f aca="false">82+10-30-20</f>
        <v>42</v>
      </c>
      <c r="D93" s="10" t="n">
        <v>42</v>
      </c>
      <c r="E93" s="0" t="n">
        <f aca="false">C93-D93</f>
        <v>0</v>
      </c>
      <c r="H93" s="10" t="n">
        <v>1E-006</v>
      </c>
      <c r="I93" s="7" t="str">
        <f aca="false">IF(ABS(E93)&lt;=H93,"PASS","FAIL")</f>
        <v>PASS</v>
      </c>
    </row>
    <row r="94" customFormat="false" ht="15" hidden="false" customHeight="false" outlineLevel="0" collapsed="false">
      <c r="A94" s="16" t="s">
        <v>1400</v>
      </c>
      <c r="B94" s="17"/>
      <c r="C94" s="17"/>
      <c r="D94" s="17"/>
      <c r="E94" s="17"/>
      <c r="F94" s="17"/>
      <c r="G94" s="17"/>
      <c r="H94" s="17"/>
      <c r="I94" s="17"/>
    </row>
    <row r="95" customFormat="false" ht="15" hidden="false" customHeight="false" outlineLevel="0" collapsed="false">
      <c r="A95" s="18" t="s">
        <v>1303</v>
      </c>
      <c r="B95" s="19" t="s">
        <v>95</v>
      </c>
      <c r="C95" s="19" t="s">
        <v>1328</v>
      </c>
      <c r="D95" s="19"/>
      <c r="E95" s="19"/>
      <c r="F95" s="19"/>
      <c r="G95" s="19"/>
      <c r="H95" s="19" t="s">
        <v>1304</v>
      </c>
      <c r="I95" s="19" t="s">
        <v>101</v>
      </c>
    </row>
    <row r="96" customFormat="false" ht="15" hidden="false" customHeight="false" outlineLevel="0" collapsed="false">
      <c r="A96" s="8" t="s">
        <v>1401</v>
      </c>
      <c r="B96" s="8" t="s">
        <v>1339</v>
      </c>
      <c r="C96" s="94" t="n">
        <f aca="false">ABS(Budget!$C$9-Assumptions!$D$10)+ABS(Budget!$C$10-Assumptions!$D$11)+ABS(Budget!$C$11-Assumptions!$D$12)+ABS(Budget!$C$12-Assumptions!$D$13)+ABS(Budget!$C$13-Assumptions!$D$14)+ABS(Budget!$C$14-Assumptions!$D$15)+ABS(Budget!$C$15-Assumptions!$D$16)+ABS(Budget!$C$16-Assumptions!$D$17)</f>
        <v>0</v>
      </c>
      <c r="H96" s="10" t="n">
        <v>0.0001</v>
      </c>
      <c r="I96" s="7" t="str">
        <f aca="false">IF(ABS(C96)&lt;=H96,"PASS","FAIL")</f>
        <v>PASS</v>
      </c>
    </row>
    <row r="97" customFormat="false" ht="15" hidden="false" customHeight="false" outlineLevel="0" collapsed="false">
      <c r="A97" s="8" t="s">
        <v>1402</v>
      </c>
      <c r="B97" s="8" t="s">
        <v>1339</v>
      </c>
      <c r="C97" s="94" t="n">
        <f aca="false">IF(Assumptions!$C$6="Base",SUMPRODUCT(ABS(Budget!$C$31:$N$31-Ops_Model!$C$22:$N$22))+SUMPRODUCT(ABS(Budget!$C$39:$N$39-Ops_Model!$C$30:$N$30))+SUMPRODUCT(ABS(Budget!$C$57:$N$57-Ops_Model!$C$52:$N$52))+SUMPRODUCT(ABS(Budget!$C$65:$N$65-Ops_Model!$C$60:$N$60))+SUMPRODUCT(ABS(Budget!$C$83:$N$83-Ops_Model!$C$82:$N$82))+SUMPRODUCT(ABS(Budget!$C$91:$N$91-Ops_Model!$C$90:$N$90)),0)</f>
        <v>0</v>
      </c>
      <c r="H97" s="10" t="n">
        <v>0.0001</v>
      </c>
      <c r="I97" s="7" t="str">
        <f aca="false">IF(ABS(C97)&lt;=H97,"PASS","FAIL")</f>
        <v>PASS</v>
      </c>
    </row>
    <row r="98" customFormat="false" ht="15" hidden="false" customHeight="false" outlineLevel="0" collapsed="false">
      <c r="A98" s="8" t="s">
        <v>1403</v>
      </c>
      <c r="B98" s="8" t="s">
        <v>1339</v>
      </c>
      <c r="C98" s="94" t="n">
        <f aca="false">IF(Assumptions!$C$6="Base",Budget!$O$109-PnL!$O$17,0)</f>
        <v>0</v>
      </c>
      <c r="H98" s="10" t="n">
        <v>0.0001</v>
      </c>
      <c r="I98" s="7" t="str">
        <f aca="false">IF(ABS(C98)&lt;=H98,"PASS","FAIL")</f>
        <v>PASS</v>
      </c>
    </row>
    <row r="99" customFormat="false" ht="15" hidden="false" customHeight="false" outlineLevel="0" collapsed="false">
      <c r="A99" s="8" t="s">
        <v>1404</v>
      </c>
      <c r="B99" s="8" t="s">
        <v>151</v>
      </c>
      <c r="C99" s="94" t="n">
        <f aca="false">SUMPRODUCT(ABS(Budget!$C$27:$N$27-((Budget!$C$19:$N$19&lt;Budget!$C$26:$N$26)*Budget!$C$19:$N$19+(Budget!$C$19:$N$19&gt;=Budget!$C$26:$N$26)*Budget!$C$26:$N$26)))+SUMPRODUCT(ABS(Budget!$C$22:$N$22-Budget!$C$20:$N$20*Budget!$C$21:$N$21))+SUMPRODUCT(ABS(Budget!$C$24:$N$24-Budget!$C$22:$N$22*Budget!$C$23:$N$23))+SUMPRODUCT(ABS(Budget!$C$53:$N$53-((Budget!$C$45:$N$45&lt;Budget!$C$52:$N$52)*Budget!$C$45:$N$45+(Budget!$C$45:$N$45&gt;=Budget!$C$52:$N$52)*Budget!$C$52:$N$52)))+SUMPRODUCT(ABS(Budget!$C$48:$N$48-Budget!$C$46:$N$46*Budget!$C$47:$N$47))+SUMPRODUCT(ABS(Budget!$C$50:$N$50-Budget!$C$48:$N$48*Budget!$C$49:$N$49))+SUMPRODUCT(ABS(Budget!$C$79:$N$79-((Budget!$C$71:$N$71&lt;Budget!$C$78:$N$78)*Budget!$C$71:$N$71+(Budget!$C$71:$N$71&gt;=Budget!$C$78:$N$78)*Budget!$C$78:$N$78)))+SUMPRODUCT(ABS(Budget!$C$74:$N$74-Budget!$C$72:$N$72*Budget!$C$73:$N$73))+SUMPRODUCT(ABS(Budget!$C$76:$N$76-Budget!$C$74:$N$74*Budget!$C$75:$N$75))</f>
        <v>0</v>
      </c>
      <c r="H99" s="10" t="n">
        <v>0.0001</v>
      </c>
      <c r="I99" s="7" t="str">
        <f aca="false">IF(ABS(C99)&lt;=H99,"PASS","FAIL")</f>
        <v>PASS</v>
      </c>
    </row>
    <row r="100" customFormat="false" ht="15" hidden="false" customHeight="false" outlineLevel="0" collapsed="false">
      <c r="A100" s="8" t="s">
        <v>1405</v>
      </c>
      <c r="B100" s="8" t="s">
        <v>151</v>
      </c>
      <c r="C100" s="94" t="n">
        <f aca="false">ABS(Budget!$C$37+SUM(Budget!$C$35:$N$35)-SUM(Budget!$C$39:$N$39)-Budget!$N$40)+ABS(Budget!$C$63+SUM(Budget!$C$61:$N$61)-SUM(Budget!$C$65:$N$65)-Budget!$N$66)+ABS(Budget!$C$89+SUM(Budget!$C$87:$N$87)-SUM(Budget!$C$91:$N$91)-Budget!$N$92)</f>
        <v>3.01980662698043E-014</v>
      </c>
      <c r="H100" s="10" t="n">
        <v>0.0001</v>
      </c>
      <c r="I100" s="7" t="str">
        <f aca="false">IF(ABS(C100)&lt;=H100,"PASS","FAIL")</f>
        <v>PASS</v>
      </c>
    </row>
    <row r="101" customFormat="false" ht="15" hidden="false" customHeight="false" outlineLevel="0" collapsed="false">
      <c r="A101" s="8" t="s">
        <v>1406</v>
      </c>
      <c r="B101" s="8" t="s">
        <v>151</v>
      </c>
      <c r="C101" s="94" t="n">
        <f aca="false">SUMPRODUCT(--(Budget!$C$28:$N$28&lt;-0.000001))+SUMPRODUCT(--(Budget!$C$54:$N$54&lt;-0.000001))+SUMPRODUCT(--(Budget!$C$80:$N$80&lt;-0.000001))</f>
        <v>0</v>
      </c>
      <c r="H101" s="10" t="n">
        <v>0</v>
      </c>
      <c r="I101" s="7" t="str">
        <f aca="false">IF(ABS(C101)&lt;=H101,"PASS","FAIL")</f>
        <v>PASS</v>
      </c>
    </row>
    <row r="102" customFormat="false" ht="15" hidden="false" customHeight="false" outlineLevel="0" collapsed="false">
      <c r="A102" s="8" t="s">
        <v>1407</v>
      </c>
      <c r="B102" s="8" t="s">
        <v>151</v>
      </c>
      <c r="C102" s="94" t="n">
        <f aca="false">SUMPRODUCT(ABS(Actuals!$C$30:$G$30-((Actuals!$C$22:$G$22&lt;Actuals!$C$29:$G$29)*Actuals!$C$22:$G$22+(Actuals!$C$22:$G$22&gt;=Actuals!$C$29:$G$29)*Actuals!$C$29:$G$29)))+SUMPRODUCT(ABS(Actuals!$C$25:$G$25-Actuals!$C$23:$G$23*Actuals!$C$24:$G$24))+SUMPRODUCT(ABS(Actuals!$C$27:$G$27-Actuals!$C$25:$G$25*Actuals!$C$26:$G$26))+SUMPRODUCT(ABS(Actuals!$C$56:$G$56-((Actuals!$C$48:$G$48&lt;Actuals!$C$55:$G$55)*Actuals!$C$48:$G$48+(Actuals!$C$48:$G$48&gt;=Actuals!$C$55:$G$55)*Actuals!$C$55:$G$55)))+SUMPRODUCT(ABS(Actuals!$C$51:$G$51-Actuals!$C$49:$G$49*Actuals!$C$50:$G$50))+SUMPRODUCT(ABS(Actuals!$C$53:$G$53-Actuals!$C$51:$G$51*Actuals!$C$52:$G$52))+SUMPRODUCT(ABS(Actuals!$C$82:$G$82-((Actuals!$C$74:$G$74&lt;Actuals!$C$81:$G$81)*Actuals!$C$74:$G$74+(Actuals!$C$74:$G$74&gt;=Actuals!$C$81:$G$81)*Actuals!$C$81:$G$81)))+SUMPRODUCT(ABS(Actuals!$C$77:$G$77-Actuals!$C$75:$G$75*Actuals!$C$76:$G$76))+SUMPRODUCT(ABS(Actuals!$C$79:$G$79-Actuals!$C$77:$G$77*Actuals!$C$78:$G$78))</f>
        <v>0</v>
      </c>
      <c r="H102" s="10" t="n">
        <v>0.0001</v>
      </c>
      <c r="I102" s="7" t="str">
        <f aca="false">IF(ABS(C102)&lt;=H102,"PASS","FAIL")</f>
        <v>PASS</v>
      </c>
    </row>
    <row r="103" customFormat="false" ht="15" hidden="false" customHeight="false" outlineLevel="0" collapsed="false">
      <c r="A103" s="8" t="s">
        <v>1408</v>
      </c>
      <c r="B103" s="8" t="s">
        <v>151</v>
      </c>
      <c r="C103" s="94" t="n">
        <f aca="false">ABS(Actuals!$C$40+SUM(Actuals!$C$38:$G$38)-SUM(Actuals!$C$42:$G$42)-Actuals!$G$43)+ABS(Actuals!$C$66+SUM(Actuals!$C$64:$G$64)-SUM(Actuals!$C$68:$G$68)-Actuals!$G$69)+ABS(Actuals!$C$92+SUM(Actuals!$C$90:$G$90)-SUM(Actuals!$C$94:$G$94)-Actuals!$G$95)</f>
        <v>0</v>
      </c>
      <c r="H103" s="10" t="n">
        <v>0.0001</v>
      </c>
      <c r="I103" s="7" t="str">
        <f aca="false">IF(ABS(C103)&lt;=H103,"PASS","FAIL")</f>
        <v>PASS</v>
      </c>
    </row>
    <row r="104" customFormat="false" ht="15" hidden="false" customHeight="false" outlineLevel="0" collapsed="false">
      <c r="A104" s="8" t="s">
        <v>1409</v>
      </c>
      <c r="B104" s="8" t="s">
        <v>151</v>
      </c>
      <c r="C104" s="94" t="n">
        <f aca="false">SUMPRODUCT(--(Actuals!$C$31:$G$31&lt;-0.000001))+SUMPRODUCT(--(Actuals!$C$57:$G$57&lt;-0.000001))+SUMPRODUCT(--(Actuals!$C$83:$G$83&lt;-0.000001))</f>
        <v>0</v>
      </c>
      <c r="H104" s="10" t="n">
        <v>0</v>
      </c>
      <c r="I104" s="7" t="str">
        <f aca="false">IF(ABS(C104)&lt;=H104,"PASS","FAIL")</f>
        <v>PASS</v>
      </c>
    </row>
    <row r="105" customFormat="false" ht="15" hidden="false" customHeight="false" outlineLevel="0" collapsed="false">
      <c r="A105" s="8" t="s">
        <v>1410</v>
      </c>
      <c r="B105" s="8" t="s">
        <v>1411</v>
      </c>
      <c r="C105" s="94" t="n">
        <f aca="false">Variance!$C$10-(SUM(Budget!$C$31:$G$31)+SUM(Budget!$C$57:$G$57)+SUM(Budget!$C$83:$G$83))</f>
        <v>0</v>
      </c>
      <c r="H105" s="10" t="n">
        <v>0.0001</v>
      </c>
      <c r="I105" s="7" t="str">
        <f aca="false">IF(ABS(C105)&lt;=H105,"PASS","FAIL")</f>
        <v>PASS</v>
      </c>
    </row>
    <row r="106" customFormat="false" ht="15" hidden="false" customHeight="false" outlineLevel="0" collapsed="false">
      <c r="A106" s="8" t="s">
        <v>1412</v>
      </c>
      <c r="B106" s="8" t="s">
        <v>1411</v>
      </c>
      <c r="C106" s="94" t="n">
        <f aca="false">Variance!$D$10-(SUM(Actuals!$C$34:$G$34)+SUM(Actuals!$C$60:$G$60)+SUM(Actuals!$C$86:$G$86))</f>
        <v>0</v>
      </c>
      <c r="H106" s="10" t="n">
        <v>0.0001</v>
      </c>
      <c r="I106" s="7" t="str">
        <f aca="false">IF(ABS(C106)&lt;=H106,"PASS","FAIL")</f>
        <v>PASS</v>
      </c>
    </row>
    <row r="107" customFormat="false" ht="15" hidden="false" customHeight="false" outlineLevel="0" collapsed="false">
      <c r="A107" s="8" t="s">
        <v>1413</v>
      </c>
      <c r="B107" s="8" t="s">
        <v>1411</v>
      </c>
      <c r="C107" s="94" t="n">
        <f aca="false">ABS(Variance!$C$17-SUM(Budget!$C$109:$G$109))+ABS(Variance!$D$17-SUM(Actuals!$C$112:$G$112))</f>
        <v>0</v>
      </c>
      <c r="H107" s="10" t="n">
        <v>0.0001</v>
      </c>
      <c r="I107" s="7" t="str">
        <f aca="false">IF(ABS(C107)&lt;=H107,"PASS","FAIL")</f>
        <v>PASS</v>
      </c>
    </row>
    <row r="108" customFormat="false" ht="15" hidden="false" customHeight="false" outlineLevel="0" collapsed="false">
      <c r="A108" s="8" t="s">
        <v>1414</v>
      </c>
      <c r="B108" s="8" t="s">
        <v>1415</v>
      </c>
      <c r="C108" s="94" t="n">
        <f aca="false">Variance!$F$70</f>
        <v>0</v>
      </c>
      <c r="H108" s="10" t="n">
        <v>0.0001</v>
      </c>
      <c r="I108" s="7" t="str">
        <f aca="false">IF(ABS(C108)&lt;=H108,"PASS","FAIL")</f>
        <v>PASS</v>
      </c>
    </row>
    <row r="109" customFormat="false" ht="15" hidden="false" customHeight="false" outlineLevel="0" collapsed="false">
      <c r="A109" s="8" t="s">
        <v>1416</v>
      </c>
      <c r="B109" s="8" t="s">
        <v>1415</v>
      </c>
      <c r="C109" s="94" t="n">
        <f aca="false">ABS(Variance!C66+Variance!C67-(Variance!C44-Variance!C43)*Variance!C47)+ABS(Variance!D66+Variance!D67-(Variance!D44-Variance!D43)*Variance!D47)+ABS(Variance!E66+Variance!E67-(Variance!E44-Variance!E43)*Variance!E47)</f>
        <v>1.64313007644523E-014</v>
      </c>
      <c r="H109" s="10" t="n">
        <v>0.0001</v>
      </c>
      <c r="I109" s="7" t="str">
        <f aca="false">IF(ABS(C109)&lt;=H109,"PASS","FAIL")</f>
        <v>PASS</v>
      </c>
    </row>
    <row r="110" customFormat="false" ht="15" hidden="false" customHeight="false" outlineLevel="0" collapsed="false">
      <c r="A110" s="8" t="s">
        <v>1417</v>
      </c>
      <c r="B110" s="8" t="s">
        <v>1415</v>
      </c>
      <c r="C110" s="94" t="n">
        <f aca="false">Variance!$F$87</f>
        <v>0</v>
      </c>
      <c r="H110" s="10" t="n">
        <v>0.0001</v>
      </c>
      <c r="I110" s="7" t="str">
        <f aca="false">IF(ABS(C110)&lt;=H110,"PASS","FAIL")</f>
        <v>PASS</v>
      </c>
    </row>
    <row r="111" customFormat="false" ht="15" hidden="false" customHeight="false" outlineLevel="0" collapsed="false">
      <c r="A111" s="8" t="s">
        <v>1418</v>
      </c>
      <c r="B111" s="8" t="s">
        <v>1415</v>
      </c>
      <c r="C111" s="94" t="n">
        <f aca="false">ABS(Variance!C79+Variance!C80+Variance!C82+Variance!C81+Variance!C44*(Variance!C50-Variance!C49))+ABS(Variance!D79+Variance!D80+Variance!D82+Variance!D81+Variance!D44*(Variance!D50-Variance!D49))+ABS(Variance!E79+Variance!E80+Variance!E82+Variance!E81+Variance!E44*(Variance!E50-Variance!E49))</f>
        <v>1.14352971536391E-014</v>
      </c>
      <c r="H111" s="10" t="n">
        <v>0.0001</v>
      </c>
      <c r="I111" s="7" t="str">
        <f aca="false">IF(ABS(C111)&lt;=H111,"PASS","FAIL")</f>
        <v>PASS</v>
      </c>
    </row>
    <row r="112" customFormat="false" ht="15" hidden="false" customHeight="false" outlineLevel="0" collapsed="false">
      <c r="A112" s="8" t="s">
        <v>1419</v>
      </c>
      <c r="B112" s="8" t="s">
        <v>1415</v>
      </c>
      <c r="C112" s="94" t="n">
        <f aca="false">Variance!$F$97-(Variance!$E$10+Variance!$E$11+Variance!$E$16)</f>
        <v>-1.4210854715202E-014</v>
      </c>
      <c r="H112" s="10" t="n">
        <v>0.0001</v>
      </c>
      <c r="I112" s="7" t="str">
        <f aca="false">IF(ABS(C112)&lt;=H112,"PASS","FAIL")</f>
        <v>PASS</v>
      </c>
    </row>
    <row r="113" customFormat="false" ht="15" hidden="false" customHeight="false" outlineLevel="0" collapsed="false">
      <c r="A113" s="8" t="s">
        <v>1420</v>
      </c>
      <c r="B113" s="8" t="s">
        <v>1374</v>
      </c>
      <c r="C113" s="94" t="n">
        <f aca="false">ABS(SUM(Variance!$C$105:$G$105)-Variance!$E$10)+ABS(SUM(Variance!$C$106:$G$106)-Variance!$E$17)</f>
        <v>0</v>
      </c>
      <c r="H113" s="10" t="n">
        <v>0.0001</v>
      </c>
      <c r="I113" s="7" t="str">
        <f aca="false">IF(ABS(C113)&lt;=H113,"PASS","FAIL")</f>
        <v>PASS</v>
      </c>
    </row>
    <row r="114" customFormat="false" ht="15" hidden="false" customHeight="false" outlineLevel="0" collapsed="false">
      <c r="A114" s="8" t="s">
        <v>1421</v>
      </c>
      <c r="B114" s="8" t="s">
        <v>1343</v>
      </c>
      <c r="C114" s="94" t="n">
        <f aca="false">SUMPRODUCT(--(Actuals!$C$6:$G$6&lt;&gt;Budget!$C$6:$G$6))+(Actuals!$C$6&lt;&gt;DATE(2026,1,1))+(Actuals!$G$6&lt;&gt;DATE(2026,5,1))</f>
        <v>0</v>
      </c>
      <c r="H114" s="10" t="n">
        <v>0</v>
      </c>
      <c r="I114" s="7" t="str">
        <f aca="false">IF(ABS(C114)&lt;=H114,"PASS","FAIL")</f>
        <v>PASS</v>
      </c>
    </row>
    <row r="115" customFormat="false" ht="15" hidden="false" customHeight="false" outlineLevel="0" collapsed="false">
      <c r="A115" s="8" t="s">
        <v>1422</v>
      </c>
      <c r="B115" s="8" t="s">
        <v>151</v>
      </c>
      <c r="C115" s="94" t="n">
        <f aca="false">ABS(Budget!$C$37-Actuals!$C$40)+ABS(Budget!$C$63-Actuals!$C$66)+ABS(Budget!$C$89-Actuals!$C$92)</f>
        <v>0</v>
      </c>
      <c r="H115" s="10" t="n">
        <v>0.0001</v>
      </c>
      <c r="I115" s="7" t="str">
        <f aca="false">IF(ABS(C115)&lt;=H115,"PASS","FAIL")</f>
        <v>PASS</v>
      </c>
    </row>
    <row r="116" customFormat="false" ht="15" hidden="false" customHeight="false" outlineLevel="0" collapsed="false">
      <c r="A116" s="18" t="s">
        <v>1361</v>
      </c>
      <c r="B116" s="19"/>
      <c r="C116" s="19" t="s">
        <v>1328</v>
      </c>
      <c r="D116" s="19" t="s">
        <v>1329</v>
      </c>
      <c r="E116" s="19" t="s">
        <v>800</v>
      </c>
      <c r="F116" s="19"/>
      <c r="G116" s="19"/>
      <c r="H116" s="19" t="s">
        <v>1304</v>
      </c>
      <c r="I116" s="19" t="s">
        <v>101</v>
      </c>
    </row>
    <row r="117" customFormat="false" ht="15" hidden="false" customHeight="false" outlineLevel="0" collapsed="false">
      <c r="A117" s="8" t="s">
        <v>1423</v>
      </c>
      <c r="C117" s="0" t="n">
        <f aca="false">120*(9-10)+90*(5-5)</f>
        <v>-120</v>
      </c>
      <c r="D117" s="10" t="n">
        <v>-120</v>
      </c>
      <c r="E117" s="0" t="n">
        <f aca="false">C117-D117</f>
        <v>0</v>
      </c>
      <c r="H117" s="10" t="n">
        <v>1E-006</v>
      </c>
      <c r="I117" s="7" t="str">
        <f aca="false">IF(ABS(E117)&lt;=H117,"PASS","FAIL")</f>
        <v>PASS</v>
      </c>
    </row>
    <row r="118" customFormat="false" ht="15" hidden="false" customHeight="false" outlineLevel="0" collapsed="false">
      <c r="A118" s="8" t="s">
        <v>1424</v>
      </c>
      <c r="C118" s="0" t="n">
        <f aca="false">(210-200)*(1500/200)</f>
        <v>75</v>
      </c>
      <c r="D118" s="10" t="n">
        <v>75</v>
      </c>
      <c r="E118" s="0" t="n">
        <f aca="false">C118-D118</f>
        <v>0</v>
      </c>
      <c r="H118" s="10" t="n">
        <v>1E-006</v>
      </c>
      <c r="I118" s="7" t="str">
        <f aca="false">IF(ABS(E118)&lt;=H118,"PASS","FAIL")</f>
        <v>PASS</v>
      </c>
    </row>
    <row r="119" customFormat="false" ht="15" hidden="false" customHeight="false" outlineLevel="0" collapsed="false">
      <c r="A119" s="8" t="s">
        <v>1425</v>
      </c>
      <c r="C119" s="0" t="n">
        <f aca="false">(120/210-0.5)*210*10+(90/210-0.5)*210*5</f>
        <v>74.9999999999999</v>
      </c>
      <c r="D119" s="10" t="n">
        <v>75</v>
      </c>
      <c r="E119" s="0" t="n">
        <f aca="false">C119-D119</f>
        <v>0</v>
      </c>
      <c r="H119" s="10" t="n">
        <v>1E-006</v>
      </c>
      <c r="I119" s="7" t="str">
        <f aca="false">IF(ABS(E119)&lt;=H119,"PASS","FAIL")</f>
        <v>PASS</v>
      </c>
    </row>
    <row r="120" customFormat="false" ht="15" hidden="false" customHeight="false" outlineLevel="0" collapsed="false">
      <c r="A120" s="8" t="s">
        <v>1426</v>
      </c>
      <c r="C120" s="0" t="n">
        <f aca="false">-120+75+75</f>
        <v>30</v>
      </c>
      <c r="D120" s="10" t="n">
        <v>30</v>
      </c>
      <c r="E120" s="0" t="n">
        <f aca="false">C120-D120</f>
        <v>0</v>
      </c>
      <c r="H120" s="10" t="n">
        <v>1E-006</v>
      </c>
      <c r="I120" s="7" t="str">
        <f aca="false">IF(ABS(E120)&lt;=H120,"PASS","FAIL")</f>
        <v>PASS</v>
      </c>
    </row>
    <row r="121" customFormat="false" ht="15" hidden="false" customHeight="false" outlineLevel="0" collapsed="false">
      <c r="A121" s="8" t="s">
        <v>1427</v>
      </c>
      <c r="C121" s="0" t="n">
        <f aca="false">-1*(105-90/0.9)</f>
        <v>-5</v>
      </c>
      <c r="D121" s="10" t="n">
        <v>-5</v>
      </c>
      <c r="E121" s="0" t="n">
        <f aca="false">C121-D121</f>
        <v>0</v>
      </c>
      <c r="H121" s="10" t="n">
        <v>1E-006</v>
      </c>
      <c r="I121" s="7" t="str">
        <f aca="false">IF(ABS(E121)&lt;=H121,"PASS","FAIL")</f>
        <v>PASS</v>
      </c>
    </row>
    <row r="122" customFormat="false" ht="15" hidden="false" customHeight="false" outlineLevel="0" collapsed="false">
      <c r="A122" s="8" t="s">
        <v>1428</v>
      </c>
      <c r="C122" s="0" t="n">
        <f aca="false">-105*(1.1-1)</f>
        <v>-10.5</v>
      </c>
      <c r="D122" s="10" t="n">
        <v>-10.5</v>
      </c>
      <c r="E122" s="0" t="n">
        <f aca="false">C122-D122</f>
        <v>0</v>
      </c>
      <c r="H122" s="10" t="n">
        <v>1E-006</v>
      </c>
      <c r="I122" s="7" t="str">
        <f aca="false">IF(ABS(E122)&lt;=H122,"PASS","FAIL")</f>
        <v>PASS</v>
      </c>
    </row>
    <row r="123" customFormat="false" ht="15" hidden="false" customHeight="false" outlineLevel="0" collapsed="false">
      <c r="A123" s="8" t="s">
        <v>1429</v>
      </c>
      <c r="C123" s="0" t="n">
        <f aca="false">-(90-87.5)</f>
        <v>-2.5</v>
      </c>
      <c r="D123" s="10" t="n">
        <v>-2.5</v>
      </c>
      <c r="E123" s="0" t="n">
        <f aca="false">C123-D123</f>
        <v>0</v>
      </c>
      <c r="H123" s="10" t="n">
        <v>1E-006</v>
      </c>
      <c r="I123" s="7" t="str">
        <f aca="false">IF(ABS(E123)&lt;=H123,"PASS","FAIL")</f>
        <v>PASS</v>
      </c>
    </row>
    <row r="124" customFormat="false" ht="15" hidden="false" customHeight="false" outlineLevel="0" collapsed="false">
      <c r="A124" s="16" t="s">
        <v>1430</v>
      </c>
      <c r="B124" s="17"/>
      <c r="C124" s="17"/>
      <c r="D124" s="17"/>
      <c r="E124" s="17"/>
      <c r="F124" s="17"/>
      <c r="G124" s="17"/>
      <c r="H124" s="17"/>
      <c r="I124" s="17"/>
    </row>
    <row r="125" customFormat="false" ht="15" hidden="false" customHeight="false" outlineLevel="0" collapsed="false">
      <c r="A125" s="18" t="s">
        <v>1303</v>
      </c>
      <c r="B125" s="19" t="s">
        <v>95</v>
      </c>
      <c r="C125" s="19" t="s">
        <v>1328</v>
      </c>
      <c r="D125" s="19"/>
      <c r="E125" s="19"/>
      <c r="F125" s="19"/>
      <c r="G125" s="19"/>
      <c r="H125" s="19" t="s">
        <v>1304</v>
      </c>
      <c r="I125" s="19" t="s">
        <v>101</v>
      </c>
    </row>
    <row r="126" customFormat="false" ht="15" hidden="false" customHeight="false" outlineLevel="0" collapsed="false">
      <c r="A126" s="8" t="s">
        <v>1431</v>
      </c>
      <c r="B126" s="8" t="s">
        <v>1432</v>
      </c>
      <c r="C126" s="94" t="n">
        <f aca="false">Capex!$F$65-SUMPRODUCT(Capex!$C$58:$I$58,1/(1+Capex!$F$16)^Capex!$C$37:$I$37)</f>
        <v>0</v>
      </c>
      <c r="H126" s="10" t="n">
        <v>0.0001</v>
      </c>
      <c r="I126" s="7" t="str">
        <f aca="false">IF(ABS(C126)&lt;=H126,"PASS","FAIL")</f>
        <v>PASS</v>
      </c>
    </row>
    <row r="127" customFormat="false" ht="15" hidden="false" customHeight="false" outlineLevel="0" collapsed="false">
      <c r="A127" s="8" t="s">
        <v>1433</v>
      </c>
      <c r="B127" s="8" t="s">
        <v>1432</v>
      </c>
      <c r="C127" s="94" t="n">
        <f aca="false">IF(ISNUMBER(Capex!$F$66),SUMPRODUCT(Capex!$C$58:$I$58,1/(1+Capex!$F$66)^Capex!$C$37:$I$37),0)</f>
        <v>4.30766533554561E-014</v>
      </c>
      <c r="H127" s="10" t="n">
        <v>0.001</v>
      </c>
      <c r="I127" s="7" t="str">
        <f aca="false">IF(ABS(C127)&lt;=H127,"PASS","FAIL")</f>
        <v>PASS</v>
      </c>
    </row>
    <row r="128" customFormat="false" ht="15" hidden="false" customHeight="false" outlineLevel="0" collapsed="false">
      <c r="A128" s="8" t="s">
        <v>1434</v>
      </c>
      <c r="B128" s="8" t="s">
        <v>1435</v>
      </c>
      <c r="C128" s="94" t="n">
        <f aca="false">SUMPRODUCT(ABS(Capex!$D$50:$I$50-((Capex!$D$42:$I$42-Capex!$D$41:$I$41)*Capex!$D$40:$I$40-Capex!$C$27*(Capex!$D$42:$I$42/Capex!$C$29-Capex!$D$41:$I$41/Capex!$C$28)+Capex!$F$10-Capex!$F$11)))</f>
        <v>1.32782673745169E-013</v>
      </c>
      <c r="H128" s="10" t="n">
        <v>0.0001</v>
      </c>
      <c r="I128" s="7" t="str">
        <f aca="false">IF(ABS(C128)&lt;=H128,"PASS","FAIL")</f>
        <v>PASS</v>
      </c>
    </row>
    <row r="129" customFormat="false" ht="15" hidden="false" customHeight="false" outlineLevel="0" collapsed="false">
      <c r="A129" s="8" t="s">
        <v>1436</v>
      </c>
      <c r="B129" s="8" t="s">
        <v>1435</v>
      </c>
      <c r="C129" s="94" t="n">
        <f aca="false">SUMPRODUCT(--(Capex!$D$42:$I$42&lt;Capex!$D$41:$I$41-0.000001))+SUMPRODUCT(--(Capex!$D$42:$I$42&gt;Capex!$D$39:$I$39+0.000001))</f>
        <v>0</v>
      </c>
      <c r="H129" s="10" t="n">
        <v>0</v>
      </c>
      <c r="I129" s="7" t="str">
        <f aca="false">IF(ABS(C129)&lt;=H129,"PASS","FAIL")</f>
        <v>PASS</v>
      </c>
    </row>
    <row r="130" customFormat="false" ht="15" hidden="false" customHeight="false" outlineLevel="0" collapsed="false">
      <c r="A130" s="8" t="s">
        <v>1437</v>
      </c>
      <c r="B130" s="8" t="s">
        <v>1435</v>
      </c>
      <c r="C130" s="94" t="n">
        <f aca="false">ABS(SUM(Capex!$C$51:$I$51)-(Capex!$F$19-Capex!$F$13))+ABS(SUM(Capex!$C$56:$I$56))</f>
        <v>0</v>
      </c>
      <c r="H130" s="10" t="n">
        <v>0.0001</v>
      </c>
      <c r="I130" s="7" t="str">
        <f aca="false">IF(ABS(C130)&lt;=H130,"PASS","FAIL")</f>
        <v>PASS</v>
      </c>
    </row>
    <row r="131" customFormat="false" ht="15" hidden="false" customHeight="false" outlineLevel="0" collapsed="false">
      <c r="A131" s="8" t="s">
        <v>1438</v>
      </c>
      <c r="B131" s="8" t="s">
        <v>1435</v>
      </c>
      <c r="C131" s="94" t="n">
        <f aca="false">Capex!$I$61-SUM(Capex!$C$58:$I$58)</f>
        <v>0</v>
      </c>
      <c r="H131" s="10" t="n">
        <v>0.0001</v>
      </c>
      <c r="I131" s="7" t="str">
        <f aca="false">IF(ABS(C131)&lt;=H131,"PASS","FAIL")</f>
        <v>PASS</v>
      </c>
    </row>
    <row r="132" customFormat="false" ht="15" hidden="false" customHeight="false" outlineLevel="0" collapsed="false">
      <c r="A132" s="8" t="s">
        <v>1439</v>
      </c>
      <c r="B132" s="8" t="s">
        <v>1432</v>
      </c>
      <c r="C132" s="94" t="n">
        <f aca="false">Capex!$F$103-SUMPRODUCT(Capex!$C$96:$I$96,1/(1+Capex!$F$16)^Capex!$C$75:$I$75)</f>
        <v>0</v>
      </c>
      <c r="H132" s="10" t="n">
        <v>0.0001</v>
      </c>
      <c r="I132" s="7" t="str">
        <f aca="false">IF(ABS(C132)&lt;=H132,"PASS","FAIL")</f>
        <v>PASS</v>
      </c>
    </row>
    <row r="133" customFormat="false" ht="15" hidden="false" customHeight="false" outlineLevel="0" collapsed="false">
      <c r="A133" s="8" t="s">
        <v>1440</v>
      </c>
      <c r="B133" s="8" t="s">
        <v>1432</v>
      </c>
      <c r="C133" s="94" t="n">
        <f aca="false">IF(ISNUMBER(Capex!$F$104),SUMPRODUCT(Capex!$C$96:$I$96,1/(1+Capex!$F$104)^Capex!$C$75:$I$75),0)</f>
        <v>7.7937656328686E-014</v>
      </c>
      <c r="H133" s="10" t="n">
        <v>0.001</v>
      </c>
      <c r="I133" s="7" t="str">
        <f aca="false">IF(ABS(C133)&lt;=H133,"PASS","FAIL")</f>
        <v>PASS</v>
      </c>
    </row>
    <row r="134" customFormat="false" ht="15" hidden="false" customHeight="false" outlineLevel="0" collapsed="false">
      <c r="A134" s="8" t="s">
        <v>1441</v>
      </c>
      <c r="B134" s="8" t="s">
        <v>1435</v>
      </c>
      <c r="C134" s="94" t="n">
        <f aca="false">SUMPRODUCT(ABS(Capex!$D$88:$I$88-((Capex!$D$80:$I$80-Capex!$D$79:$I$79)*Capex!$D$78:$I$78-Capex!$D$27*(Capex!$D$80:$I$80/Capex!$D$29-Capex!$D$79:$I$79/Capex!$D$28)+Capex!$F$10-Capex!$F$11)))</f>
        <v>1.77635683940025E-014</v>
      </c>
      <c r="H134" s="10" t="n">
        <v>0.0001</v>
      </c>
      <c r="I134" s="7" t="str">
        <f aca="false">IF(ABS(C134)&lt;=H134,"PASS","FAIL")</f>
        <v>PASS</v>
      </c>
    </row>
    <row r="135" customFormat="false" ht="15" hidden="false" customHeight="false" outlineLevel="0" collapsed="false">
      <c r="A135" s="8" t="s">
        <v>1442</v>
      </c>
      <c r="B135" s="8" t="s">
        <v>1435</v>
      </c>
      <c r="C135" s="94" t="n">
        <f aca="false">SUMPRODUCT(--(Capex!$D$80:$I$80&lt;Capex!$D$79:$I$79-0.000001))+SUMPRODUCT(--(Capex!$D$80:$I$80&gt;Capex!$D$77:$I$77+0.000001))</f>
        <v>0</v>
      </c>
      <c r="H135" s="10" t="n">
        <v>0</v>
      </c>
      <c r="I135" s="7" t="str">
        <f aca="false">IF(ABS(C135)&lt;=H135,"PASS","FAIL")</f>
        <v>PASS</v>
      </c>
    </row>
    <row r="136" customFormat="false" ht="15" hidden="false" customHeight="false" outlineLevel="0" collapsed="false">
      <c r="A136" s="8" t="s">
        <v>1443</v>
      </c>
      <c r="B136" s="8" t="s">
        <v>1435</v>
      </c>
      <c r="C136" s="94" t="n">
        <f aca="false">ABS(SUM(Capex!$C$89:$I$89)-(Capex!$F$19-Capex!$F$13))+ABS(SUM(Capex!$C$94:$I$94))</f>
        <v>0</v>
      </c>
      <c r="H136" s="10" t="n">
        <v>0.0001</v>
      </c>
      <c r="I136" s="7" t="str">
        <f aca="false">IF(ABS(C136)&lt;=H136,"PASS","FAIL")</f>
        <v>PASS</v>
      </c>
    </row>
    <row r="137" customFormat="false" ht="15" hidden="false" customHeight="false" outlineLevel="0" collapsed="false">
      <c r="A137" s="8" t="s">
        <v>1444</v>
      </c>
      <c r="B137" s="8" t="s">
        <v>1435</v>
      </c>
      <c r="C137" s="94" t="n">
        <f aca="false">Capex!$I$99-SUM(Capex!$C$96:$I$96)</f>
        <v>0</v>
      </c>
      <c r="H137" s="10" t="n">
        <v>0.0001</v>
      </c>
      <c r="I137" s="7" t="str">
        <f aca="false">IF(ABS(C137)&lt;=H137,"PASS","FAIL")</f>
        <v>PASS</v>
      </c>
    </row>
    <row r="138" customFormat="false" ht="15" hidden="false" customHeight="false" outlineLevel="0" collapsed="false">
      <c r="A138" s="8" t="s">
        <v>1445</v>
      </c>
      <c r="B138" s="8" t="s">
        <v>1432</v>
      </c>
      <c r="C138" s="94" t="n">
        <f aca="false">Capex!$F$141-SUMPRODUCT(Capex!$C$134:$I$134,1/(1+Capex!$F$16)^Capex!$C$113:$I$113)</f>
        <v>0</v>
      </c>
      <c r="H138" s="10" t="n">
        <v>0.0001</v>
      </c>
      <c r="I138" s="7" t="str">
        <f aca="false">IF(ABS(C138)&lt;=H138,"PASS","FAIL")</f>
        <v>PASS</v>
      </c>
    </row>
    <row r="139" customFormat="false" ht="15" hidden="false" customHeight="false" outlineLevel="0" collapsed="false">
      <c r="A139" s="8" t="s">
        <v>1446</v>
      </c>
      <c r="B139" s="8" t="s">
        <v>1432</v>
      </c>
      <c r="C139" s="94" t="n">
        <f aca="false">IF(ISNUMBER(Capex!$F$142),SUMPRODUCT(Capex!$C$134:$I$134,1/(1+Capex!$F$142)^Capex!$C$113:$I$113),0)</f>
        <v>6.60582699651968E-015</v>
      </c>
      <c r="H139" s="10" t="n">
        <v>0.001</v>
      </c>
      <c r="I139" s="7" t="str">
        <f aca="false">IF(ABS(C139)&lt;=H139,"PASS","FAIL")</f>
        <v>PASS</v>
      </c>
    </row>
    <row r="140" customFormat="false" ht="15" hidden="false" customHeight="false" outlineLevel="0" collapsed="false">
      <c r="A140" s="8" t="s">
        <v>1447</v>
      </c>
      <c r="B140" s="8" t="s">
        <v>1435</v>
      </c>
      <c r="C140" s="94" t="n">
        <f aca="false">SUMPRODUCT(ABS(Capex!$D$126:$I$126-((Capex!$D$118:$I$118-Capex!$D$117:$I$117)*Capex!$D$116:$I$116-Capex!$E$27*(Capex!$D$118:$I$118/Capex!$E$29-Capex!$D$117:$I$117/Capex!$E$28)+Capex!$F$10-Capex!$F$11)))</f>
        <v>0</v>
      </c>
      <c r="H140" s="10" t="n">
        <v>0.0001</v>
      </c>
      <c r="I140" s="7" t="str">
        <f aca="false">IF(ABS(C140)&lt;=H140,"PASS","FAIL")</f>
        <v>PASS</v>
      </c>
    </row>
    <row r="141" customFormat="false" ht="15" hidden="false" customHeight="false" outlineLevel="0" collapsed="false">
      <c r="A141" s="8" t="s">
        <v>1448</v>
      </c>
      <c r="B141" s="8" t="s">
        <v>1435</v>
      </c>
      <c r="C141" s="94" t="n">
        <f aca="false">SUMPRODUCT(--(Capex!$D$118:$I$118&lt;Capex!$D$117:$I$117-0.000001))+SUMPRODUCT(--(Capex!$D$118:$I$118&gt;Capex!$D$115:$I$115+0.000001))</f>
        <v>0</v>
      </c>
      <c r="H141" s="10" t="n">
        <v>0</v>
      </c>
      <c r="I141" s="7" t="str">
        <f aca="false">IF(ABS(C141)&lt;=H141,"PASS","FAIL")</f>
        <v>PASS</v>
      </c>
    </row>
    <row r="142" customFormat="false" ht="15" hidden="false" customHeight="false" outlineLevel="0" collapsed="false">
      <c r="A142" s="8" t="s">
        <v>1449</v>
      </c>
      <c r="B142" s="8" t="s">
        <v>1435</v>
      </c>
      <c r="C142" s="94" t="n">
        <f aca="false">ABS(SUM(Capex!$C$127:$I$127)-(Capex!$F$19-Capex!$F$13))+ABS(SUM(Capex!$C$132:$I$132))</f>
        <v>0</v>
      </c>
      <c r="H142" s="10" t="n">
        <v>0.0001</v>
      </c>
      <c r="I142" s="7" t="str">
        <f aca="false">IF(ABS(C142)&lt;=H142,"PASS","FAIL")</f>
        <v>PASS</v>
      </c>
    </row>
    <row r="143" customFormat="false" ht="15" hidden="false" customHeight="false" outlineLevel="0" collapsed="false">
      <c r="A143" s="8" t="s">
        <v>1450</v>
      </c>
      <c r="B143" s="8" t="s">
        <v>1435</v>
      </c>
      <c r="C143" s="94" t="n">
        <f aca="false">Capex!$I$137-SUM(Capex!$C$134:$I$134)</f>
        <v>0</v>
      </c>
      <c r="H143" s="10" t="n">
        <v>0.0001</v>
      </c>
      <c r="I143" s="7" t="str">
        <f aca="false">IF(ABS(C143)&lt;=H143,"PASS","FAIL")</f>
        <v>PASS</v>
      </c>
    </row>
    <row r="144" customFormat="false" ht="15" hidden="false" customHeight="false" outlineLevel="0" collapsed="false">
      <c r="A144" s="8" t="s">
        <v>1451</v>
      </c>
      <c r="B144" s="8" t="s">
        <v>1339</v>
      </c>
      <c r="C144" s="94" t="n">
        <f aca="false">IF(Assumptions!$C$6="Base",Capex!$D$25-Assumptions!$C$63,0)</f>
        <v>0</v>
      </c>
      <c r="H144" s="10" t="n">
        <v>0.0001</v>
      </c>
      <c r="I144" s="7" t="str">
        <f aca="false">IF(ABS(C144)&lt;=H144,"PASS","FAIL")</f>
        <v>PASS</v>
      </c>
    </row>
    <row r="145" customFormat="false" ht="15" hidden="false" customHeight="false" outlineLevel="0" collapsed="false">
      <c r="A145" s="8" t="s">
        <v>1452</v>
      </c>
      <c r="B145" s="8" t="s">
        <v>1339</v>
      </c>
      <c r="C145" s="94" t="n">
        <f aca="false">ABS(Capex!$C$30-Assumptions!$C$18)+ABS(Capex!$D$30-Assumptions!$D$18)+ABS(Capex!$E$30-Assumptions!$E$18)</f>
        <v>0</v>
      </c>
      <c r="H145" s="10" t="n">
        <v>0.0001</v>
      </c>
      <c r="I145" s="7" t="str">
        <f aca="false">IF(ABS(C145)&lt;=H145,"PASS","FAIL")</f>
        <v>PASS</v>
      </c>
    </row>
    <row r="146" customFormat="false" ht="15" hidden="false" customHeight="false" outlineLevel="0" collapsed="false">
      <c r="A146" s="8" t="s">
        <v>1453</v>
      </c>
      <c r="B146" s="8" t="s">
        <v>1339</v>
      </c>
      <c r="C146" s="94" t="n">
        <f aca="false">Capex!$F$151-INDEX(Capex!$C$151:$E$151,1,Assumptions!$D$6)</f>
        <v>0</v>
      </c>
      <c r="H146" s="10" t="n">
        <v>0.0001</v>
      </c>
      <c r="I146" s="7" t="str">
        <f aca="false">IF(ABS(C146)&lt;=H146,"PASS","FAIL")</f>
        <v>PASS</v>
      </c>
    </row>
    <row r="147" customFormat="false" ht="15" hidden="false" customHeight="false" outlineLevel="0" collapsed="false">
      <c r="A147" s="18" t="s">
        <v>1361</v>
      </c>
      <c r="B147" s="19"/>
      <c r="C147" s="19" t="s">
        <v>1328</v>
      </c>
      <c r="D147" s="19" t="s">
        <v>1329</v>
      </c>
      <c r="E147" s="19" t="s">
        <v>800</v>
      </c>
      <c r="F147" s="19"/>
      <c r="G147" s="19"/>
      <c r="H147" s="19" t="s">
        <v>1304</v>
      </c>
      <c r="I147" s="19" t="s">
        <v>101</v>
      </c>
    </row>
    <row r="148" customFormat="false" ht="15" hidden="false" customHeight="false" outlineLevel="0" collapsed="false">
      <c r="A148" s="8" t="s">
        <v>1454</v>
      </c>
      <c r="C148" s="95" t="n">
        <f aca="false">-100+NPV(0.1,60,60)</f>
        <v>4.13223140495867</v>
      </c>
      <c r="D148" s="10" t="n">
        <v>4.13223140495867</v>
      </c>
      <c r="E148" s="95" t="n">
        <f aca="false">C148-D148</f>
        <v>0</v>
      </c>
      <c r="H148" s="10" t="n">
        <v>1E-006</v>
      </c>
      <c r="I148" s="7" t="str">
        <f aca="false">IF(ABS(E148)&lt;=H148,"PASS","FAIL")</f>
        <v>PASS</v>
      </c>
    </row>
    <row r="149" customFormat="false" ht="15" hidden="false" customHeight="false" outlineLevel="0" collapsed="false">
      <c r="A149" s="8" t="s">
        <v>1455</v>
      </c>
      <c r="C149" s="96" t="n">
        <f aca="false">IRR({-100,60,60})</f>
        <v>0.130662386291807</v>
      </c>
      <c r="D149" s="10" t="n">
        <v>0.130662386</v>
      </c>
      <c r="E149" s="96" t="n">
        <f aca="false">C149-D149</f>
        <v>2.91807467078797E-010</v>
      </c>
      <c r="H149" s="10" t="n">
        <v>1E-006</v>
      </c>
      <c r="I149" s="7" t="str">
        <f aca="false">IF(ABS(E149)&lt;=H149,"PASS","FAIL")</f>
        <v>PASS</v>
      </c>
    </row>
    <row r="150" customFormat="false" ht="15" hidden="false" customHeight="false" outlineLevel="0" collapsed="false">
      <c r="A150" s="8" t="s">
        <v>1456</v>
      </c>
      <c r="C150" s="0" t="n">
        <f aca="false">1+40/60</f>
        <v>1.66666666666667</v>
      </c>
      <c r="D150" s="10" t="n">
        <v>1.66666666666667</v>
      </c>
      <c r="E150" s="0" t="n">
        <f aca="false">C150-D150</f>
        <v>0</v>
      </c>
      <c r="H150" s="10" t="n">
        <v>1E-006</v>
      </c>
      <c r="I150" s="7" t="str">
        <f aca="false">IF(ABS(E150)&lt;=H150,"PASS","FAIL")</f>
        <v>PASS</v>
      </c>
    </row>
    <row r="151" customFormat="false" ht="15" hidden="false" customHeight="false" outlineLevel="0" collapsed="false">
      <c r="A151" s="8" t="s">
        <v>1457</v>
      </c>
      <c r="C151" s="0" t="n">
        <f aca="false">1/1.09^3</f>
        <v>0.772183480061064</v>
      </c>
      <c r="D151" s="10" t="n">
        <v>0.772183480061064</v>
      </c>
      <c r="E151" s="0" t="n">
        <f aca="false">C151-D151</f>
        <v>0</v>
      </c>
      <c r="H151" s="10" t="n">
        <v>1E-006</v>
      </c>
      <c r="I151" s="7" t="str">
        <f aca="false">IF(ABS(E151)&lt;=H151,"PASS","FAIL")</f>
        <v>PASS</v>
      </c>
    </row>
    <row r="152" customFormat="false" ht="15" hidden="false" customHeight="false" outlineLevel="0" collapsed="false">
      <c r="A152" s="8" t="s">
        <v>1458</v>
      </c>
      <c r="C152" s="0" t="n">
        <f aca="false">-(-20)/80</f>
        <v>0.25</v>
      </c>
      <c r="D152" s="10" t="n">
        <v>0.25</v>
      </c>
      <c r="E152" s="0" t="n">
        <f aca="false">C152-D152</f>
        <v>0</v>
      </c>
      <c r="H152" s="10" t="n">
        <v>1E-006</v>
      </c>
      <c r="I152" s="7" t="str">
        <f aca="false">IF(ABS(E152)&lt;=H152,"PASS","FAIL")</f>
        <v>PASS</v>
      </c>
    </row>
    <row r="153" customFormat="false" ht="15" hidden="false" customHeight="false" outlineLevel="0" collapsed="false">
      <c r="A153" s="8" t="s">
        <v>1459</v>
      </c>
      <c r="C153" s="0" t="n">
        <f aca="false">10*(1/0.85-1/0.88)</f>
        <v>0.401069518716577</v>
      </c>
      <c r="D153" s="10" t="n">
        <v>0.401069518716577</v>
      </c>
      <c r="E153" s="0" t="n">
        <f aca="false">C153-D153</f>
        <v>0</v>
      </c>
      <c r="H153" s="10" t="n">
        <v>1E-006</v>
      </c>
      <c r="I153" s="7" t="str">
        <f aca="false">IF(ABS(E153)&lt;=H153,"PASS","FAIL")</f>
        <v>PASS</v>
      </c>
    </row>
    <row r="154" customFormat="false" ht="15" hidden="false" customHeight="false" outlineLevel="0" collapsed="false">
      <c r="A154" s="8" t="s">
        <v>1460</v>
      </c>
      <c r="C154" s="0" t="n">
        <f aca="false">27/6*0.18</f>
        <v>0.81</v>
      </c>
      <c r="D154" s="10" t="n">
        <v>0.81</v>
      </c>
      <c r="E154" s="0" t="n">
        <f aca="false">C154-D154</f>
        <v>0</v>
      </c>
      <c r="H154" s="10" t="n">
        <v>1E-006</v>
      </c>
      <c r="I154" s="7" t="str">
        <f aca="false">IF(ABS(E154)&lt;=H154,"PASS","FAIL")</f>
        <v>PASS</v>
      </c>
    </row>
    <row r="155" customFormat="false" ht="15" hidden="false" customHeight="false" outlineLevel="0" collapsed="false">
      <c r="A155" s="16" t="s">
        <v>1461</v>
      </c>
      <c r="B155" s="17"/>
      <c r="C155" s="17"/>
      <c r="D155" s="17"/>
      <c r="E155" s="17"/>
      <c r="F155" s="17"/>
      <c r="G155" s="17"/>
      <c r="H155" s="17"/>
      <c r="I155" s="17"/>
    </row>
    <row r="156" customFormat="false" ht="15" hidden="false" customHeight="false" outlineLevel="0" collapsed="false">
      <c r="A156" s="18" t="s">
        <v>1303</v>
      </c>
      <c r="B156" s="19" t="s">
        <v>95</v>
      </c>
      <c r="C156" s="19" t="s">
        <v>1328</v>
      </c>
      <c r="D156" s="19"/>
      <c r="E156" s="19"/>
      <c r="F156" s="19"/>
      <c r="G156" s="19"/>
      <c r="H156" s="19" t="s">
        <v>1304</v>
      </c>
      <c r="I156" s="19" t="s">
        <v>101</v>
      </c>
    </row>
    <row r="157" customFormat="false" ht="15" hidden="false" customHeight="false" outlineLevel="0" collapsed="false">
      <c r="A157" s="8" t="s">
        <v>1462</v>
      </c>
      <c r="B157" s="8" t="s">
        <v>1463</v>
      </c>
      <c r="C157" s="94" t="n">
        <f aca="false">(ROWS(Dash_Export!$A$19:$A$30)&lt;&gt;12)+(SUMPRODUCT(1/COUNTIF(Dash_Export!$A$19:$A$30,Dash_Export!$A$19:$A$30))&lt;&gt;12)+(INDEX(Dash_Export!$A$19:$A$30,1)&lt;&gt;DATE(2026,1,1))+(INDEX(Dash_Export!$A$19:$A$30,12)&lt;&gt;DATE(2026,12,1))</f>
        <v>0</v>
      </c>
      <c r="H157" s="10" t="n">
        <v>0</v>
      </c>
      <c r="I157" s="7" t="str">
        <f aca="false">IF(ABS(C157)&lt;=H157,"PASS","FAIL")</f>
        <v>PASS</v>
      </c>
    </row>
    <row r="158" customFormat="false" ht="15" hidden="false" customHeight="false" outlineLevel="0" collapsed="false">
      <c r="A158" s="8" t="s">
        <v>1464</v>
      </c>
      <c r="B158" s="8" t="s">
        <v>1463</v>
      </c>
      <c r="C158" s="94" t="n">
        <f aca="false">(ROWS(Dash_Export!$A$34:$A$69)&lt;&gt;36)+(SUMPRODUCT(1/COUNTIFS(Dash_Export!$A$34:$A$69,Dash_Export!$A$34:$A$69,Dash_Export!$B$34:$B$69,Dash_Export!$B$34:$B$69))&lt;&gt;36)+(COUNTIF(Dash_Export!$B$34:$B$69,"POWER")&lt;&gt;12)+(COUNTIF(Dash_Export!$B$34:$B$69,"SIGNAL")&lt;&gt;12)+(COUNTIF(Dash_Export!$B$34:$B$69,"EMBEDDED")&lt;&gt;12)</f>
        <v>0</v>
      </c>
      <c r="H158" s="10" t="n">
        <v>0</v>
      </c>
      <c r="I158" s="7" t="str">
        <f aca="false">IF(ABS(C158)&lt;=H158,"PASS","FAIL")</f>
        <v>PASS</v>
      </c>
    </row>
    <row r="159" customFormat="false" ht="15" hidden="false" customHeight="false" outlineLevel="0" collapsed="false">
      <c r="A159" s="8" t="s">
        <v>1465</v>
      </c>
      <c r="B159" s="8" t="s">
        <v>1463</v>
      </c>
      <c r="C159" s="94" t="n">
        <f aca="false">COUNTBLANK(Dash_Export!$D$19:$D$30)+COUNTBLANK(Dash_Export!$H$19:$H$30)+COUNTBLANK(Dash_Export!$L$19:$L$30)+COUNTBLANK(Dash_Export!$I$34:$I$69)</f>
        <v>0</v>
      </c>
      <c r="H159" s="10" t="n">
        <v>0</v>
      </c>
      <c r="I159" s="7" t="str">
        <f aca="false">IF(ABS(C159)&lt;=H159,"PASS","FAIL")</f>
        <v>PASS</v>
      </c>
    </row>
    <row r="160" customFormat="false" ht="15" hidden="false" customHeight="false" outlineLevel="0" collapsed="false">
      <c r="A160" s="8" t="s">
        <v>1466</v>
      </c>
      <c r="B160" s="8" t="s">
        <v>1343</v>
      </c>
      <c r="C160" s="94" t="n">
        <f aca="false">(COUNT(Dash_Export!$R$19:$R$30)&lt;&gt;5)+(COUNTIF(Dash_Export!$C$19:$C$30,"Actual")&lt;&gt;5)</f>
        <v>0</v>
      </c>
      <c r="H160" s="10" t="n">
        <v>0</v>
      </c>
      <c r="I160" s="7" t="str">
        <f aca="false">IF(ABS(C160)&lt;=H160,"PASS","FAIL")</f>
        <v>PASS</v>
      </c>
    </row>
    <row r="161" customFormat="false" ht="15" hidden="false" customHeight="false" outlineLevel="0" collapsed="false">
      <c r="A161" s="8" t="s">
        <v>1467</v>
      </c>
      <c r="B161" s="8" t="s">
        <v>1468</v>
      </c>
      <c r="C161" s="94" t="n">
        <f aca="false">ABS(SUM(Dash_Export!$D$19:$D$30)-PnL!$O$8)+ABS(SUM(Dash_Export!$H$19:$H$30)-PnL!$O$17)+ABS(SUM(Dash_Export!$L$19:$L$30)-FCF!$O$25)</f>
        <v>0</v>
      </c>
      <c r="H161" s="10" t="n">
        <v>0.0001</v>
      </c>
      <c r="I161" s="7" t="str">
        <f aca="false">IF(ABS(C161)&lt;=H161,"PASS","FAIL")</f>
        <v>PASS</v>
      </c>
    </row>
    <row r="162" customFormat="false" ht="15" hidden="false" customHeight="false" outlineLevel="0" collapsed="false">
      <c r="A162" s="8" t="s">
        <v>1469</v>
      </c>
      <c r="B162" s="8" t="s">
        <v>1468</v>
      </c>
      <c r="C162" s="94" t="n">
        <f aca="false">ABS(SUM(Dash_Export!$I$34:$I$69)-PnL!$O$8)+ABS(SUM(Dash_Export!$C$73:$C$75)-PnL!$O$8)+ABS(SUM(Dash_Export!$G$73:$G$75)-Ops_Model!$O$105)</f>
        <v>0</v>
      </c>
      <c r="H162" s="10" t="n">
        <v>0.0001</v>
      </c>
      <c r="I162" s="7" t="str">
        <f aca="false">IF(ABS(C162)&lt;=H162,"PASS","FAIL")</f>
        <v>PASS</v>
      </c>
    </row>
    <row r="163" customFormat="false" ht="15" hidden="false" customHeight="false" outlineLevel="0" collapsed="false">
      <c r="A163" s="8" t="s">
        <v>1470</v>
      </c>
      <c r="B163" s="8" t="s">
        <v>1468</v>
      </c>
      <c r="C163" s="94" t="n">
        <f aca="false">ABS(SUM(Dash_Export!$O$19:$O$30)-Budget!$O$97)+ABS(SUM(Dash_Export!$Q$19:$Q$30)-Budget!$O$109)+ABS(SUM(Dash_Export!$R$19:$R$30)-Actuals!$H$100)+ABS(SUM(Dash_Export!$T$19:$T$30)-Actuals!$H$112)</f>
        <v>0</v>
      </c>
      <c r="H163" s="10" t="n">
        <v>0.0001</v>
      </c>
      <c r="I163" s="7" t="str">
        <f aca="false">IF(ABS(C163)&lt;=H163,"PASS","FAIL")</f>
        <v>PASS</v>
      </c>
    </row>
    <row r="164" customFormat="false" ht="15" hidden="false" customHeight="false" outlineLevel="0" collapsed="false">
      <c r="A164" s="8" t="s">
        <v>1471</v>
      </c>
      <c r="B164" s="8" t="s">
        <v>1468</v>
      </c>
      <c r="C164" s="94" t="n">
        <f aca="false">ABS(SUM(Dash_Export!$U$19:$U$30)-(Actuals!$H$100+SUM(PnL!$H$8:$N$8)))+ABS(SUM(Dash_Export!$V$19:$V$30)-(Actuals!$H$112+SUM(PnL!$H$17:$N$17)))</f>
        <v>0</v>
      </c>
      <c r="H164" s="10" t="n">
        <v>0.0001</v>
      </c>
      <c r="I164" s="7" t="str">
        <f aca="false">IF(ABS(C164)&lt;=H164,"PASS","FAIL")</f>
        <v>PASS</v>
      </c>
    </row>
    <row r="165" customFormat="false" ht="15" hidden="false" customHeight="false" outlineLevel="0" collapsed="false">
      <c r="A165" s="8" t="s">
        <v>1472</v>
      </c>
      <c r="B165" s="8" t="s">
        <v>1415</v>
      </c>
      <c r="C165" s="94" t="n">
        <f aca="false">ABS(Dash_Export!$D$129+SUM(Dash_Export!$D$130:$D$138)-Dash_Export!$D$139)+ABS(Dash_Export!$D$139-Actuals!$H$112)</f>
        <v>0</v>
      </c>
      <c r="H165" s="10" t="n">
        <v>0.0001</v>
      </c>
      <c r="I165" s="7" t="str">
        <f aca="false">IF(ABS(C165)&lt;=H165,"PASS","FAIL")</f>
        <v>PASS</v>
      </c>
    </row>
    <row r="166" customFormat="false" ht="15" hidden="false" customHeight="false" outlineLevel="0" collapsed="false">
      <c r="A166" s="8" t="s">
        <v>1473</v>
      </c>
      <c r="B166" s="8" t="s">
        <v>1468</v>
      </c>
      <c r="C166" s="94" t="n">
        <f aca="false">ABS(INDEX(Dash_Export!$B$177:$B$179,1)-Capex!$F$65)+ABS(INDEX(Dash_Export!$B$177:$B$179,2)-Capex!$F$103)+ABS(INDEX(Dash_Export!$B$177:$B$179,3)-Capex!$F$141)</f>
        <v>0</v>
      </c>
      <c r="H166" s="10" t="n">
        <v>0.0001</v>
      </c>
      <c r="I166" s="7" t="str">
        <f aca="false">IF(ABS(C166)&lt;=H166,"PASS","FAIL")</f>
        <v>PASS</v>
      </c>
    </row>
    <row r="167" customFormat="false" ht="15" hidden="false" customHeight="false" outlineLevel="0" collapsed="false">
      <c r="A167" s="8" t="s">
        <v>1474</v>
      </c>
      <c r="B167" s="8" t="s">
        <v>1463</v>
      </c>
      <c r="C167" s="94" t="n">
        <f aca="false">(ROWS(Dash_Export!$D$183:$D$203)&lt;&gt;21)+SUMPRODUCT((Dash_Export!$A$183:$A$203="Base")*Dash_Export!$D$183:$D$203/(1+Capex!$F$16)^Dash_Export!$B$183:$B$203)-INDEX(Dash_Export!$B$177:$B$179,2)</f>
        <v>0</v>
      </c>
      <c r="H167" s="10" t="n">
        <v>0.0001</v>
      </c>
      <c r="I167" s="7" t="str">
        <f aca="false">IF(ABS(C167)&lt;=H167,"PASS","FAIL")</f>
        <v>PASS</v>
      </c>
    </row>
    <row r="168" customFormat="false" ht="15" hidden="false" customHeight="false" outlineLevel="0" collapsed="false">
      <c r="A168" s="8" t="s">
        <v>1475</v>
      </c>
      <c r="B168" s="8" t="s">
        <v>1343</v>
      </c>
      <c r="C168" s="94" t="n">
        <f aca="false">SUMPRODUCT((Dash_Export!$M$34:$M$69&lt;0)+(Dash_Export!$M$34:$M$69&gt;1)+(Dash_Export!$N$34:$N$69&lt;0)+(Dash_Export!$N$34:$N$69&gt;1)+(Dash_Export!$L$34:$L$69&lt;-1)+(Dash_Export!$L$34:$L$69&gt;1))</f>
        <v>0</v>
      </c>
      <c r="H168" s="10" t="n">
        <v>0</v>
      </c>
      <c r="I168" s="7" t="str">
        <f aca="false">IF(ABS(C168)&lt;=H168,"PASS","FAIL")</f>
        <v>PASS</v>
      </c>
    </row>
    <row r="169" customFormat="false" ht="15" hidden="false" customHeight="false" outlineLevel="0" collapsed="false">
      <c r="A169" s="8" t="s">
        <v>1476</v>
      </c>
      <c r="B169" s="8" t="s">
        <v>1343</v>
      </c>
      <c r="C169" s="94" t="n">
        <f aca="false">(ROWS(Dash_Export!$A$236:$A$240)&lt;&gt;5)+ABS(SUM(Dash_Export!$B$236:$B$240)-SUM(Hist_Data!$C$7:$G$7))</f>
        <v>0</v>
      </c>
      <c r="H169" s="10" t="n">
        <v>0.0001</v>
      </c>
      <c r="I169" s="7" t="str">
        <f aca="false">IF(ABS(C169)&lt;=H169,"PASS","FAIL")</f>
        <v>PASS</v>
      </c>
    </row>
    <row r="170" customFormat="false" ht="15" hidden="false" customHeight="false" outlineLevel="0" collapsed="false">
      <c r="A170" s="8" t="s">
        <v>1477</v>
      </c>
      <c r="B170" s="8" t="s">
        <v>1339</v>
      </c>
      <c r="C170" s="94" t="n">
        <f aca="false">IF(INDEX(Dash_Export!$B$7:$B$15,1)=Assumptions!$C$6,0,1)</f>
        <v>0</v>
      </c>
      <c r="H170" s="10" t="n">
        <v>0</v>
      </c>
      <c r="I170" s="7" t="str">
        <f aca="false">IF(ABS(C170)&lt;=H170,"PASS","FAIL")</f>
        <v>PASS</v>
      </c>
    </row>
    <row r="172" customFormat="false" ht="15" hidden="false" customHeight="false" outlineLevel="0" collapsed="false">
      <c r="A172" s="97" t="s">
        <v>1478</v>
      </c>
      <c r="C172" s="89" t="str">
        <f aca="false">IF(COUNTIF(I6:I171,"FAIL")=0,"ALL CHECKS PASS","CHECK FAILURES: "&amp;COUNTIF(I6:I171,"FAIL"))</f>
        <v>ALL CHECKS PASS</v>
      </c>
      <c r="G172" s="7" t="str">
        <f aca="false">COUNTIF(I6:I171,"PASS")&amp;" pass / "&amp;COUNTIF(I6:I171,"FAIL")&amp;" fail"</f>
        <v>147 pass / 0 fail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LibreOffice/26.8.0.3$Windows_X86_64 LibreOffice_project/bce0998afefdbc355585ca324285661a2170ba77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2026-09-23T01:50:35Z</dcterms:created>
  <dc:creator>openpyxl</dc:creator>
  <dc:description/>
  <dc:language>en-US</dc:language>
  <cp:lastModifiedBy/>
  <dcterms:modified xsi:type="dcterms:W3CDTF">2026-09-23T01:50:35Z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